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8d012eb72b4596" /></Relationships>
</file>

<file path=xl/workbook.xml><?xml version="1.0" encoding="utf-8"?>
<x:workbook xmlns:x="http://schemas.openxmlformats.org/spreadsheetml/2006/main">
  <x:sheets>
    <x:sheet xmlns:r="http://schemas.openxmlformats.org/officeDocument/2006/relationships" name="00 Summary" sheetId="1" r:id="Rbed96db3d2b64f19"/>
    <x:sheet xmlns:r="http://schemas.openxmlformats.org/officeDocument/2006/relationships" name="01 Exceptions" sheetId="2" r:id="R0d414e00df8746e6"/>
    <x:sheet xmlns:r="http://schemas.openxmlformats.org/officeDocument/2006/relationships" name="02 Witness Inventory" sheetId="3" r:id="R5e950734228d4d6e"/>
    <x:sheet xmlns:r="http://schemas.openxmlformats.org/officeDocument/2006/relationships" name="03 Result States" sheetId="4" r:id="Ra25ce33b39c14df3"/>
    <x:sheet xmlns:r="http://schemas.openxmlformats.org/officeDocument/2006/relationships" name="04 Qualification" sheetId="5" r:id="R710fb9e7b99c450d"/>
    <x:sheet xmlns:r="http://schemas.openxmlformats.org/officeDocument/2006/relationships" name="01 W" sheetId="6" r:id="R4fc016b03ba34885"/>
    <x:sheet xmlns:r="http://schemas.openxmlformats.org/officeDocument/2006/relationships" name="02 U" sheetId="7" r:id="R0e24ea9f37244fa3"/>
    <x:sheet xmlns:r="http://schemas.openxmlformats.org/officeDocument/2006/relationships" name="03 B" sheetId="8" r:id="Ra117132dc0c04dc1"/>
    <x:sheet xmlns:r="http://schemas.openxmlformats.org/officeDocument/2006/relationships" name="04 R" sheetId="9" r:id="R362377d17c1a4e8f"/>
    <x:sheet xmlns:r="http://schemas.openxmlformats.org/officeDocument/2006/relationships" name="05 G" sheetId="10" r:id="R0f476272501d4d24"/>
    <x:sheet xmlns:r="http://schemas.openxmlformats.org/officeDocument/2006/relationships" name="06 WU" sheetId="11" r:id="Rb58c449ad1fe4e94"/>
    <x:sheet xmlns:r="http://schemas.openxmlformats.org/officeDocument/2006/relationships" name="07 WR" sheetId="12" r:id="R822311ed2eaf4779"/>
    <x:sheet xmlns:r="http://schemas.openxmlformats.org/officeDocument/2006/relationships" name="08 BR" sheetId="13" r:id="R0dbcffc4f2dd40fe"/>
    <x:sheet xmlns:r="http://schemas.openxmlformats.org/officeDocument/2006/relationships" name="09 BG" sheetId="14" r:id="R1fb8f13c223b4314"/>
    <x:sheet xmlns:r="http://schemas.openxmlformats.org/officeDocument/2006/relationships" name="10 RG" sheetId="15" r:id="Reabfcf460c1a4ac8"/>
    <x:sheet xmlns:r="http://schemas.openxmlformats.org/officeDocument/2006/relationships" name="11 UB" sheetId="16" r:id="Rc0f391617e2e426f"/>
    <x:sheet xmlns:r="http://schemas.openxmlformats.org/officeDocument/2006/relationships" name="12 UR" sheetId="17" r:id="R7447fff611a84301"/>
    <x:sheet xmlns:r="http://schemas.openxmlformats.org/officeDocument/2006/relationships" name="13 WB" sheetId="18" r:id="R3f138802e9934951"/>
    <x:sheet xmlns:r="http://schemas.openxmlformats.org/officeDocument/2006/relationships" name="14 WG" sheetId="19" r:id="R9432406b1cbd4227"/>
    <x:sheet xmlns:r="http://schemas.openxmlformats.org/officeDocument/2006/relationships" name="15 UG" sheetId="20" r:id="Ra47b2329c2e04cc3"/>
    <x:sheet xmlns:r="http://schemas.openxmlformats.org/officeDocument/2006/relationships" name="16 LOREHOLD" sheetId="21" r:id="R059830490b5b4639"/>
    <x:sheet xmlns:r="http://schemas.openxmlformats.org/officeDocument/2006/relationships" name="17 PRISMARI" sheetId="22" r:id="Rca54115cd24644bb"/>
    <x:sheet xmlns:r="http://schemas.openxmlformats.org/officeDocument/2006/relationships" name="18 QUANDRIX" sheetId="23" r:id="R04606af48eb14d2b"/>
    <x:sheet xmlns:r="http://schemas.openxmlformats.org/officeDocument/2006/relationships" name="19 SILVERQUILL" sheetId="24" r:id="R141abea5c12b4116"/>
    <x:sheet xmlns:r="http://schemas.openxmlformats.org/officeDocument/2006/relationships" name="20 WITHERBLOOM" sheetId="25" r:id="R8610cda610c547b4"/>
    <x:sheet xmlns:r="http://schemas.openxmlformats.org/officeDocument/2006/relationships" name="21 BANT" sheetId="26" r:id="Rd3b5f98f358e42e4"/>
    <x:sheet xmlns:r="http://schemas.openxmlformats.org/officeDocument/2006/relationships" name="22 ESPER" sheetId="27" r:id="R21161b9939e5469c"/>
    <x:sheet xmlns:r="http://schemas.openxmlformats.org/officeDocument/2006/relationships" name="23 GRIXIS" sheetId="28" r:id="R1c06d7d562d64b27"/>
    <x:sheet xmlns:r="http://schemas.openxmlformats.org/officeDocument/2006/relationships" name="24 JUND" sheetId="29" r:id="Rf663fa5d05bb42db"/>
    <x:sheet xmlns:r="http://schemas.openxmlformats.org/officeDocument/2006/relationships" name="25 NAYA" sheetId="30" r:id="Rda5a2efa3c9f4818"/>
    <x:sheet xmlns:r="http://schemas.openxmlformats.org/officeDocument/2006/relationships" name="26 ABZAN" sheetId="31" r:id="Rd1de49957c154546"/>
    <x:sheet xmlns:r="http://schemas.openxmlformats.org/officeDocument/2006/relationships" name="27 JESKAI" sheetId="32" r:id="Rae49bb04cec440f8"/>
    <x:sheet xmlns:r="http://schemas.openxmlformats.org/officeDocument/2006/relationships" name="28 MARDU" sheetId="33" r:id="Receea36e37a84dc1"/>
    <x:sheet xmlns:r="http://schemas.openxmlformats.org/officeDocument/2006/relationships" name="29 SULTAI" sheetId="34" r:id="R50b4ca0562a246f1"/>
    <x:sheet xmlns:r="http://schemas.openxmlformats.org/officeDocument/2006/relationships" name="30 TEMUR" sheetId="35" r:id="R7d0d7ef39dd7463e"/>
    <x:sheet xmlns:r="http://schemas.openxmlformats.org/officeDocument/2006/relationships" name="31 DUNE" sheetId="36" r:id="R0a2490fef5134bb2"/>
    <x:sheet xmlns:r="http://schemas.openxmlformats.org/officeDocument/2006/relationships" name="32 GLINT" sheetId="37" r:id="R9e30952d138b4cb6"/>
    <x:sheet xmlns:r="http://schemas.openxmlformats.org/officeDocument/2006/relationships" name="33 INK" sheetId="38" r:id="Rf1d41b7e53ac4c9d"/>
    <x:sheet xmlns:r="http://schemas.openxmlformats.org/officeDocument/2006/relationships" name="34 WITCH" sheetId="39" r:id="R6684d2551b06463a"/>
    <x:sheet xmlns:r="http://schemas.openxmlformats.org/officeDocument/2006/relationships" name="35 YORE" sheetId="40" r:id="Rb3787bcff5764c87"/>
    <x:sheet xmlns:r="http://schemas.openxmlformats.org/officeDocument/2006/relationships" name="36 COLORLESS" sheetId="41" r:id="R96069684830847fa"/>
    <x:sheet xmlns:r="http://schemas.openxmlformats.org/officeDocument/2006/relationships" name="37 WUBRG" sheetId="42" r:id="Rf311f725e2fd49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10">
    <x:font>
      <x:sz val="11"/>
      <x:name val="Carlito"/>
    </x:font>
    <x:font>
      <x:b/>
      <x:sz val="20"/>
      <x:color rgb="FFFFFFFF"/>
      <x:name val="Aptos Display"/>
    </x:font>
    <x:font>
      <x:sz val="10"/>
      <x:color rgb="FF17212B"/>
      <x:name val="Aptos"/>
    </x:font>
    <x:font>
      <x:b/>
      <x:sz val="9"/>
      <x:color rgb="FFFFFFFF"/>
      <x:name val="Aptos"/>
    </x:font>
    <x:font>
      <x:b/>
      <x:sz val="18"/>
      <x:color rgb="FF1F7A75"/>
      <x:name val="Aptos Display"/>
    </x:font>
    <x:font>
      <x:b/>
      <x:sz val="18"/>
      <x:color rgb="FF027A48"/>
      <x:name val="Aptos Display"/>
    </x:font>
    <x:font>
      <x:b/>
      <x:sz val="18"/>
      <x:color rgb="FFB42318"/>
      <x:name val="Aptos Display"/>
    </x:font>
    <x:font>
      <x:b/>
      <x:sz val="18"/>
      <x:color rgb="FFC69B3C"/>
      <x:name val="Aptos Display"/>
    </x:font>
    <x:font>
      <x:b/>
      <x:sz val="10"/>
      <x:color rgb="FFFFFFFF"/>
      <x:name val="Aptos"/>
    </x:font>
    <x:font>
      <x:sz val="9"/>
      <x:color rgb="FF17212B"/>
      <x:name val="Aptos"/>
    </x:font>
  </x:fonts>
  <x:fills count="10">
    <x:fill>
      <x:patternFill patternType="none"/>
    </x:fill>
    <x:fill>
      <x:patternFill patternType="gray125"/>
    </x:fill>
    <x:fill>
      <x:patternFill patternType="solid">
        <x:fgColor rgb="FF243447"/>
      </x:patternFill>
    </x:fill>
    <x:fill>
      <x:patternFill patternType="solid">
        <x:fgColor rgb="FFEDF2F5"/>
      </x:patternFill>
    </x:fill>
    <x:fill>
      <x:patternFill patternType="solid">
        <x:fgColor rgb="FF1F7A75"/>
      </x:patternFill>
    </x:fill>
    <x:fill>
      <x:patternFill patternType="solid">
        <x:fgColor rgb="FFF8FAFB"/>
      </x:patternFill>
    </x:fill>
    <x:fill>
      <x:patternFill patternType="solid">
        <x:fgColor rgb="FF027A48"/>
      </x:patternFill>
    </x:fill>
    <x:fill>
      <x:patternFill patternType="solid">
        <x:fgColor rgb="FFB42318"/>
      </x:patternFill>
    </x:fill>
    <x:fill>
      <x:patternFill patternType="solid">
        <x:fgColor rgb="FFC69B3C"/>
      </x:patternFill>
    </x:fill>
    <x:fill>
      <x:patternFill patternType="solid">
        <x:fgColor rgb="FF6750A4"/>
      </x:patternFill>
    </x:fill>
  </x:fills>
  <x:borders count="10">
    <x:border/>
    <x:border>
      <x:left style="thin">
        <x:color rgb="FF1F7A75"/>
      </x:left>
      <x:top style="thin">
        <x:color rgb="FF1F7A75"/>
      </x:top>
      <x:bottom style="thin">
        <x:color rgb="FF1F7A75"/>
      </x:bottom>
    </x:border>
    <x:border>
      <x:right style="thin">
        <x:color rgb="FF1F7A75"/>
      </x:right>
      <x:top style="thin">
        <x:color rgb="FF1F7A75"/>
      </x:top>
      <x:bottom style="thin">
        <x:color rgb="FF1F7A75"/>
      </x:bottom>
    </x:border>
    <x:border>
      <x:left style="thin">
        <x:color rgb="FF027A48"/>
      </x:left>
      <x:top style="thin">
        <x:color rgb="FF027A48"/>
      </x:top>
      <x:bottom style="thin">
        <x:color rgb="FF027A48"/>
      </x:bottom>
    </x:border>
    <x:border>
      <x:right style="thin">
        <x:color rgb="FF027A48"/>
      </x:right>
      <x:top style="thin">
        <x:color rgb="FF027A48"/>
      </x:top>
      <x:bottom style="thin">
        <x:color rgb="FF027A48"/>
      </x:bottom>
    </x:border>
    <x:border>
      <x:left style="thin">
        <x:color rgb="FFB42318"/>
      </x:left>
      <x:top style="thin">
        <x:color rgb="FFB42318"/>
      </x:top>
      <x:bottom style="thin">
        <x:color rgb="FFB42318"/>
      </x:bottom>
    </x:border>
    <x:border>
      <x:right style="thin">
        <x:color rgb="FFB42318"/>
      </x:right>
      <x:top style="thin">
        <x:color rgb="FFB42318"/>
      </x:top>
      <x:bottom style="thin">
        <x:color rgb="FFB42318"/>
      </x:bottom>
    </x:border>
    <x:border>
      <x:left style="thin">
        <x:color rgb="FFC69B3C"/>
      </x:left>
      <x:top style="thin">
        <x:color rgb="FFC69B3C"/>
      </x:top>
      <x:bottom style="thin">
        <x:color rgb="FFC69B3C"/>
      </x:bottom>
    </x:border>
    <x:border>
      <x:right style="thin">
        <x:color rgb="FFC69B3C"/>
      </x:right>
      <x:top style="thin">
        <x:color rgb="FFC69B3C"/>
      </x:top>
      <x:bottom style="thin">
        <x:color rgb="FFC69B3C"/>
      </x:bottom>
    </x:border>
    <x:border>
      <x:left style="thin">
        <x:color rgb="FFD4DCE3"/>
      </x:left>
      <x:right style="thin">
        <x:color rgb="FFD4DCE3"/>
      </x:right>
      <x:top style="thin">
        <x:color rgb="FFD4DCE3"/>
      </x:top>
      <x:bottom style="thin">
        <x:color rgb="FFD4DCE3"/>
      </x:bottom>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5" fillId="5" borderId="0"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3" xfId="0" applyNumberFormat="1" applyFont="1" applyFill="1" applyBorder="1" applyAlignment="1">
      <x:alignment horizontal="center"/>
    </x:xf>
    <x:xf numFmtId="0" fontId="5" fillId="5" borderId="4"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6" fillId="5" borderId="0"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5" xfId="0" applyNumberFormat="1" applyFont="1" applyFill="1" applyBorder="1" applyAlignment="1">
      <x:alignment horizontal="center"/>
    </x:xf>
    <x:xf numFmtId="0" fontId="6" fillId="5" borderId="6"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7" fillId="5" borderId="0"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7" xfId="0" applyNumberFormat="1" applyFont="1" applyFill="1" applyBorder="1" applyAlignment="1">
      <x:alignment horizontal="center"/>
    </x:xf>
    <x:xf numFmtId="0" fontId="7" fillId="5" borderId="8" xfId="0" applyNumberFormat="1" applyFont="1" applyFill="1" applyBorder="1" applyAlignment="1">
      <x:alignment horizontal="center"/>
    </x:xf>
    <x:xf numFmtId="0" fontId="0" fillId="9" borderId="0" xfId="0" applyNumberFormat="1" applyFont="1" applyFill="1" applyBorder="1"/>
    <x:xf numFmtId="0" fontId="8" fillId="9" borderId="0" xfId="0" applyNumberFormat="1" applyFont="1" applyFill="1" applyBorder="1"/>
    <x:xf numFmtId="0" fontId="8" fillId="9" borderId="9" xfId="0" applyNumberFormat="1" applyFont="1" applyFill="1" applyBorder="1"/>
    <x:xf numFmtId="0" fontId="8" fillId="9" borderId="9" xfId="0" applyNumberFormat="1" applyFont="1" applyFill="1" applyBorder="1" applyAlignment="1">
      <x:alignment wrapText="1"/>
    </x:xf>
    <x:xf numFmtId="0" fontId="8" fillId="9" borderId="9"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9" fillId="0" borderId="0" xfId="0" applyNumberFormat="1" applyFont="1" applyFill="1" applyBorder="1"/>
    <x:xf numFmtId="0" fontId="9" fillId="0" borderId="0" xfId="0" applyNumberFormat="1" applyFont="1" applyFill="1" applyBorder="1">
      <x:extLst>
        <x:ext uri="{C7286773-470A-42A8-94C5-96B5CB345126}">
          <xfpb:xfComplement xmlns:xfpb="http://schemas.microsoft.com/office/spreadsheetml/2022/featurepropertybag" i="0"/>
        </x:ext>
      </x:extLst>
    </x:xf>
    <x:xf numFmtId="0" fontId="9" fillId="0" borderId="9" xfId="0" applyNumberFormat="1" applyFont="1" applyFill="1" applyBorder="1"/>
    <x:xf numFmtId="0" fontId="9" fillId="0" borderId="9" xfId="0" applyNumberFormat="1" applyFont="1" applyFill="1" applyBorder="1">
      <x:extLst>
        <x:ext uri="{C7286773-470A-42A8-94C5-96B5CB345126}">
          <xfpb:xfComplement xmlns:xfpb="http://schemas.microsoft.com/office/spreadsheetml/2022/featurepropertybag" i="0"/>
        </x:ext>
      </x:extLst>
    </x:xf>
    <x:xf numFmtId="0" fontId="9" fillId="0" borderId="9" xfId="0" applyNumberFormat="1" applyFont="1" applyFill="1" applyBorder="1" applyAlignment="1">
      <x:alignment wrapText="1"/>
    </x:xf>
    <x:xf numFmtId="0" fontId="9" fillId="0"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9" fillId="0" borderId="9" xfId="0" applyNumberFormat="1" applyFont="1" applyFill="1" applyBorder="1" applyAlignment="1">
      <x:alignment vertical="top" wrapText="1"/>
    </x:xf>
    <x:xf numFmtId="0" fontId="9"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9"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1a8abbbfb74d8b" /><Relationship Type="http://schemas.openxmlformats.org/officeDocument/2006/relationships/theme" Target="/xl/theme/theme1.xml" Id="R7d54fb729205466d" /><Relationship Type="http://schemas.microsoft.com/office/2022/11/relationships/FeaturePropertyBag" Target="/xl/featurePropertyBag/featurePropertyBag.xml" Id="R2f625acd63db45b5" /><Relationship Type="http://schemas.openxmlformats.org/officeDocument/2006/relationships/sharedStrings" Target="/xl/sharedStrings.xml" Id="Ra60048e97a6844c7" /><Relationship Type="http://schemas.openxmlformats.org/officeDocument/2006/relationships/worksheet" Target="/xl/worksheets/sheet1.xml" Id="Rbed96db3d2b64f19" /><Relationship Type="http://schemas.openxmlformats.org/officeDocument/2006/relationships/worksheet" Target="/xl/worksheets/sheet2.xml" Id="R0d414e00df8746e6" /><Relationship Type="http://schemas.openxmlformats.org/officeDocument/2006/relationships/worksheet" Target="/xl/worksheets/sheet3.xml" Id="R5e950734228d4d6e" /><Relationship Type="http://schemas.openxmlformats.org/officeDocument/2006/relationships/worksheet" Target="/xl/worksheets/sheet4.xml" Id="Ra25ce33b39c14df3" /><Relationship Type="http://schemas.openxmlformats.org/officeDocument/2006/relationships/worksheet" Target="/xl/worksheets/sheet5.xml" Id="R710fb9e7b99c450d" /><Relationship Type="http://schemas.openxmlformats.org/officeDocument/2006/relationships/worksheet" Target="/xl/worksheets/sheet6.xml" Id="R4fc016b03ba34885" /><Relationship Type="http://schemas.openxmlformats.org/officeDocument/2006/relationships/worksheet" Target="/xl/worksheets/sheet7.xml" Id="R0e24ea9f37244fa3" /><Relationship Type="http://schemas.openxmlformats.org/officeDocument/2006/relationships/worksheet" Target="/xl/worksheets/sheet8.xml" Id="Ra117132dc0c04dc1" /><Relationship Type="http://schemas.openxmlformats.org/officeDocument/2006/relationships/worksheet" Target="/xl/worksheets/sheet9.xml" Id="R362377d17c1a4e8f" /><Relationship Type="http://schemas.openxmlformats.org/officeDocument/2006/relationships/worksheet" Target="/xl/worksheets/sheet10.xml" Id="R0f476272501d4d24" /><Relationship Type="http://schemas.openxmlformats.org/officeDocument/2006/relationships/worksheet" Target="/xl/worksheets/sheet11.xml" Id="Rb58c449ad1fe4e94" /><Relationship Type="http://schemas.openxmlformats.org/officeDocument/2006/relationships/worksheet" Target="/xl/worksheets/sheet12.xml" Id="R822311ed2eaf4779" /><Relationship Type="http://schemas.openxmlformats.org/officeDocument/2006/relationships/worksheet" Target="/xl/worksheets/sheet13.xml" Id="R0dbcffc4f2dd40fe" /><Relationship Type="http://schemas.openxmlformats.org/officeDocument/2006/relationships/worksheet" Target="/xl/worksheets/sheet14.xml" Id="R1fb8f13c223b4314" /><Relationship Type="http://schemas.openxmlformats.org/officeDocument/2006/relationships/worksheet" Target="/xl/worksheets/sheet15.xml" Id="Reabfcf460c1a4ac8" /><Relationship Type="http://schemas.openxmlformats.org/officeDocument/2006/relationships/worksheet" Target="/xl/worksheets/sheet16.xml" Id="Rc0f391617e2e426f" /><Relationship Type="http://schemas.openxmlformats.org/officeDocument/2006/relationships/worksheet" Target="/xl/worksheets/sheet17.xml" Id="R7447fff611a84301" /><Relationship Type="http://schemas.openxmlformats.org/officeDocument/2006/relationships/worksheet" Target="/xl/worksheets/sheet18.xml" Id="R3f138802e9934951" /><Relationship Type="http://schemas.openxmlformats.org/officeDocument/2006/relationships/worksheet" Target="/xl/worksheets/sheet19.xml" Id="R9432406b1cbd4227" /><Relationship Type="http://schemas.openxmlformats.org/officeDocument/2006/relationships/worksheet" Target="/xl/worksheets/sheet20.xml" Id="Ra47b2329c2e04cc3" /><Relationship Type="http://schemas.openxmlformats.org/officeDocument/2006/relationships/worksheet" Target="/xl/worksheets/sheet21.xml" Id="R059830490b5b4639" /><Relationship Type="http://schemas.openxmlformats.org/officeDocument/2006/relationships/worksheet" Target="/xl/worksheets/sheet22.xml" Id="Rca54115cd24644bb" /><Relationship Type="http://schemas.openxmlformats.org/officeDocument/2006/relationships/worksheet" Target="/xl/worksheets/sheet23.xml" Id="R04606af48eb14d2b" /><Relationship Type="http://schemas.openxmlformats.org/officeDocument/2006/relationships/worksheet" Target="/xl/worksheets/sheet24.xml" Id="R141abea5c12b4116" /><Relationship Type="http://schemas.openxmlformats.org/officeDocument/2006/relationships/worksheet" Target="/xl/worksheets/sheet25.xml" Id="R8610cda610c547b4" /><Relationship Type="http://schemas.openxmlformats.org/officeDocument/2006/relationships/worksheet" Target="/xl/worksheets/sheet26.xml" Id="Rd3b5f98f358e42e4" /><Relationship Type="http://schemas.openxmlformats.org/officeDocument/2006/relationships/worksheet" Target="/xl/worksheets/sheet27.xml" Id="R21161b9939e5469c" /><Relationship Type="http://schemas.openxmlformats.org/officeDocument/2006/relationships/worksheet" Target="/xl/worksheets/sheet28.xml" Id="R1c06d7d562d64b27" /><Relationship Type="http://schemas.openxmlformats.org/officeDocument/2006/relationships/worksheet" Target="/xl/worksheets/sheet29.xml" Id="Rf663fa5d05bb42db" /><Relationship Type="http://schemas.openxmlformats.org/officeDocument/2006/relationships/worksheet" Target="/xl/worksheets/sheet30.xml" Id="Rda5a2efa3c9f4818" /><Relationship Type="http://schemas.openxmlformats.org/officeDocument/2006/relationships/worksheet" Target="/xl/worksheets/sheet31.xml" Id="Rd1de49957c154546" /><Relationship Type="http://schemas.openxmlformats.org/officeDocument/2006/relationships/worksheet" Target="/xl/worksheets/sheet32.xml" Id="Rae49bb04cec440f8" /><Relationship Type="http://schemas.openxmlformats.org/officeDocument/2006/relationships/worksheet" Target="/xl/worksheets/sheet33.xml" Id="Receea36e37a84dc1" /><Relationship Type="http://schemas.openxmlformats.org/officeDocument/2006/relationships/worksheet" Target="/xl/worksheets/sheet34.xml" Id="R50b4ca0562a246f1" /><Relationship Type="http://schemas.openxmlformats.org/officeDocument/2006/relationships/worksheet" Target="/xl/worksheets/sheet35.xml" Id="R7d0d7ef39dd7463e" /><Relationship Type="http://schemas.openxmlformats.org/officeDocument/2006/relationships/worksheet" Target="/xl/worksheets/sheet36.xml" Id="R0a2490fef5134bb2" /><Relationship Type="http://schemas.openxmlformats.org/officeDocument/2006/relationships/worksheet" Target="/xl/worksheets/sheet37.xml" Id="R9e30952d138b4cb6" /><Relationship Type="http://schemas.openxmlformats.org/officeDocument/2006/relationships/worksheet" Target="/xl/worksheets/sheet38.xml" Id="Rf1d41b7e53ac4c9d" /><Relationship Type="http://schemas.openxmlformats.org/officeDocument/2006/relationships/worksheet" Target="/xl/worksheets/sheet39.xml" Id="R6684d2551b06463a" /><Relationship Type="http://schemas.openxmlformats.org/officeDocument/2006/relationships/worksheet" Target="/xl/worksheets/sheet40.xml" Id="Rb3787bcff5764c87" /><Relationship Type="http://schemas.openxmlformats.org/officeDocument/2006/relationships/worksheet" Target="/xl/worksheets/sheet41.xml" Id="R96069684830847fa" /><Relationship Type="http://schemas.openxmlformats.org/officeDocument/2006/relationships/worksheet" Target="/xl/worksheets/sheet42.xml" Id="Rf311f725e2fd49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5" hidden="0" customWidth="1"/>
    <x:col min="4" max="4" width="20" hidden="0" customWidth="1"/>
    <x:col min="5" max="5" width="9" hidden="0" customWidth="1"/>
    <x:col min="6" max="6" width="12" hidden="0" customWidth="1"/>
    <x:col min="7" max="7" width="14" hidden="0" customWidth="1"/>
    <x:col min="8" max="8" width="13" hidden="0" customWidth="1"/>
    <x:col min="9" max="9" width="18" hidden="0" customWidth="1"/>
    <x:col min="10" max="10" width="12" hidden="0" customWidth="1"/>
    <x:col min="11" max="11" width="11" hidden="0" customWidth="1"/>
    <x:col min="12" max="12" width="14" hidden="0" customWidth="1"/>
    <x:col min="13" max="13" width="17" hidden="0" customWidth="1"/>
    <x:col min="14" max="14" width="24" hidden="0" customWidth="1"/>
    <x:col min="15" max="15" width="52" hidden="0" customWidth="1"/>
    <x:col min="16" max="16" width="13" hidden="0" customWidth="1"/>
    <x:col min="17" max="17" width="28" hidden="0" customWidth="1"/>
    <x:col min="18" max="18" width="65" hidden="0" customWidth="1"/>
  </x:cols>
  <x:sheetData>
    <x:row r="1" ht="34" customHeight="1">
      <x:c r="A1" s="3" t="str">
        <x:v>Archscry Engine Validation — Current State</x:v>
      </x:c>
      <x:c r="B1" s="3"/>
      <x:c r="C1" s="3"/>
      <x:c r="D1" s="3"/>
      <x:c r="E1" s="3"/>
      <x:c r="F1" s="3"/>
      <x:c r="G1" s="3"/>
      <x:c r="H1" s="3"/>
      <x:c r="I1" s="3"/>
      <x:c r="J1" s="3"/>
      <x:c r="K1" s="3"/>
      <x:c r="L1" s="3"/>
      <x:c r="M1" s="3"/>
      <x:c r="N1" s="3"/>
      <x:c r="O1" s="3"/>
      <x:c r="P1" s="3"/>
      <x:c r="Q1" s="3"/>
      <x:c r="R1" s="3"/>
    </x:row>
    <x:row r="2" ht="30" customHeight="1">
      <x:c r="A2" s="7" t="str">
        <x:v>Exact baseline db9a16a40c2bfb7d0d493eacef348f19d70bb05a • current model and approved witness inventory • expected identity used only after replay</x:v>
      </x:c>
      <x:c r="B2" s="7"/>
      <x:c r="C2" s="7"/>
      <x:c r="D2" s="7"/>
      <x:c r="E2" s="7"/>
      <x:c r="F2" s="7"/>
      <x:c r="G2" s="7"/>
      <x:c r="H2" s="7"/>
      <x:c r="I2" s="7"/>
      <x:c r="J2" s="7"/>
      <x:c r="K2" s="7"/>
      <x:c r="L2" s="7"/>
      <x:c r="M2" s="7"/>
      <x:c r="N2" s="7"/>
      <x:c r="O2" s="7"/>
      <x:c r="P2" s="7"/>
      <x:c r="Q2" s="7"/>
      <x:c r="R2" s="7"/>
    </x:row>
    <x:row r="3">
      <x:c r="A3" s="10" t="str">
        <x:v>WITNESSES</x:v>
      </x:c>
      <x:c r="B3" s="10" t="str">
        <x:v>WITNESSES</x:v>
      </x:c>
      <x:c r="D3" s="19" t="str">
        <x:v>NAMED MATCHES</x:v>
      </x:c>
      <x:c r="E3" s="19" t="str">
        <x:v>NAMED MATCHES</x:v>
      </x:c>
      <x:c r="G3" s="27" t="str">
        <x:v>MISMATCHES</x:v>
      </x:c>
      <x:c r="H3" s="27" t="str">
        <x:v>MISMATCHES</x:v>
      </x:c>
      <x:c r="J3" s="35" t="str">
        <x:v>BOUNDED NO-RESULT</x:v>
      </x:c>
      <x:c r="K3" s="35" t="str">
        <x:v>BOUNDED NO-RESULT</x:v>
      </x:c>
    </x:row>
    <x:row r="4">
      <x:c r="A4" s="15" t="n">
        <x:f>COUNTA(B8:B44)</x:f>
        <x:v>37</x:v>
      </x:c>
      <x:c r="B4" s="16"/>
      <x:c r="D4" s="23" t="n">
        <x:f>COUNTIF(G8:G44,"PASS_MATCH")</x:f>
        <x:v>36</x:v>
      </x:c>
      <x:c r="E4" s="24"/>
      <x:c r="G4" s="31" t="n">
        <x:f>COUNTIF(G8:G44,"MISMATCH")</x:f>
        <x:v>0</x:v>
      </x:c>
      <x:c r="H4" s="32"/>
      <x:c r="J4" s="39" t="n">
        <x:f>COUNTIF(G8:G44,"NO_RESULT")</x:f>
        <x:v>1</x:v>
      </x:c>
      <x:c r="K4" s="40"/>
    </x:row>
    <x:row r="7" ht="28" customHeight="1">
      <x:c r="A7" s="45" t="str">
        <x:v>Expected Key</x:v>
      </x:c>
      <x:c r="B7" s="45" t="str">
        <x:v>Expected Name</x:v>
      </x:c>
      <x:c r="C7" s="45" t="str">
        <x:v>Public Contract</x:v>
      </x:c>
      <x:c r="D7" s="45" t="str">
        <x:v>Witness</x:v>
      </x:c>
      <x:c r="E7" s="45" t="str">
        <x:v>Answers</x:v>
      </x:c>
      <x:c r="F7" s="45" t="str">
        <x:v>Actual</x:v>
      </x:c>
      <x:c r="G7" s="45" t="str">
        <x:v>Match</x:v>
      </x:c>
      <x:c r="H7" s="45" t="str">
        <x:v>State</x:v>
      </x:c>
      <x:c r="I7" s="45" t="str">
        <x:v>Public Label</x:v>
      </x:c>
      <x:c r="J7" s="45" t="str">
        <x:v>Raw Leader</x:v>
      </x:c>
      <x:c r="K7" s="45" t="str">
        <x:v>Raw Score</x:v>
      </x:c>
      <x:c r="L7" s="45" t="str">
        <x:v>Raw Qualified</x:v>
      </x:c>
      <x:c r="M7" s="45" t="str">
        <x:v>Selected Qualified</x:v>
      </x:c>
      <x:c r="N7" s="45" t="str">
        <x:v>Frontier</x:v>
      </x:c>
      <x:c r="O7" s="45" t="str">
        <x:v>Stop Reason</x:v>
      </x:c>
      <x:c r="P7" s="45" t="str">
        <x:v>Refine Answers</x:v>
      </x:c>
      <x:c r="Q7" s="45" t="str">
        <x:v>Refinement Kind</x:v>
      </x:c>
      <x:c r="R7" s="45" t="str">
        <x:v>Trace</x:v>
      </x:c>
    </x:row>
    <x:row r="8">
      <x:c r="A8" s="53" t="str">
        <x:v>W</x:v>
      </x:c>
      <x:c r="B8" s="53" t="str">
        <x:v>White</x:v>
      </x:c>
      <x:c r="C8" s="53" t="str">
        <x:v>NAMED_DOSSIER</x:v>
      </x:c>
      <x:c r="D8" s="53" t="str">
        <x:v>CURRENT_COMPATIBLE</x:v>
      </x:c>
      <x:c r="E8" s="53" t="n">
        <x:v>6</x:v>
      </x:c>
      <x:c r="F8" s="53" t="str">
        <x:v>W</x:v>
      </x:c>
      <x:c r="G8" s="53" t="str">
        <x:v>PASS_MATCH</x:v>
      </x:c>
      <x:c r="H8" s="53" t="str">
        <x:v>primary</x:v>
      </x:c>
      <x:c r="I8" s="53" t="str">
        <x:v>current-best-fit</x:v>
      </x:c>
      <x:c r="J8" s="53" t="str">
        <x:v>W</x:v>
      </x:c>
      <x:c r="K8" s="55" t="n">
        <x:v>0.8125</x:v>
      </x:c>
      <x:c r="L8" s="54" t="b">
        <x:v>1</x:v>
      </x:c>
      <x:c r="M8" s="54" t="b">
        <x:v>1</x:v>
      </x:c>
      <x:c r="N8" s="53" t="str">
        <x:v>W</x:v>
      </x:c>
      <x:c r="O8" s="53" t="str">
        <x:v>clear_separation</x:v>
      </x:c>
      <x:c r="P8" s="53" t="n">
        <x:v>0</x:v>
      </x:c>
      <x:c r="Q8" s="53" t="str">
        <x:v>no_approved_discriminator</x:v>
      </x:c>
      <x:c r="R8" s="53" t="str">
        <x:v>outputs/01a02cd6-bce7-7832-9558-3075c52f146a/archscry-current-state-2026-08-22/evidence/engine/traces/w.json</x:v>
      </x:c>
    </x:row>
    <x:row r="9">
      <x:c r="A9" s="53" t="str">
        <x:v>U</x:v>
      </x:c>
      <x:c r="B9" s="53" t="str">
        <x:v>Blue</x:v>
      </x:c>
      <x:c r="C9" s="53" t="str">
        <x:v>NAMED_DOSSIER</x:v>
      </x:c>
      <x:c r="D9" s="53" t="str">
        <x:v>CURRENT_COMPATIBLE</x:v>
      </x:c>
      <x:c r="E9" s="53" t="n">
        <x:v>7</x:v>
      </x:c>
      <x:c r="F9" s="53" t="str">
        <x:v>U</x:v>
      </x:c>
      <x:c r="G9" s="53" t="str">
        <x:v>PASS_MATCH</x:v>
      </x:c>
      <x:c r="H9" s="53" t="str">
        <x:v>primary</x:v>
      </x:c>
      <x:c r="I9" s="53" t="str">
        <x:v>current-best-fit</x:v>
      </x:c>
      <x:c r="J9" s="53" t="str">
        <x:v>U</x:v>
      </x:c>
      <x:c r="K9" s="55" t="n">
        <x:v>0.8125</x:v>
      </x:c>
      <x:c r="L9" s="54" t="b">
        <x:v>1</x:v>
      </x:c>
      <x:c r="M9" s="54" t="b">
        <x:v>1</x:v>
      </x:c>
      <x:c r="N9" s="53" t="str">
        <x:v>U</x:v>
      </x:c>
      <x:c r="O9" s="53" t="str">
        <x:v>clear_separation</x:v>
      </x:c>
      <x:c r="P9" s="53" t="n">
        <x:v>0</x:v>
      </x:c>
      <x:c r="Q9" s="53" t="str">
        <x:v>no_approved_discriminator</x:v>
      </x:c>
      <x:c r="R9" s="53" t="str">
        <x:v>outputs/01a02cd6-bce7-7832-9558-3075c52f146a/archscry-current-state-2026-08-22/evidence/engine/traces/u.json</x:v>
      </x:c>
    </x:row>
    <x:row r="10">
      <x:c r="A10" s="53" t="str">
        <x:v>B</x:v>
      </x:c>
      <x:c r="B10" s="53" t="str">
        <x:v>Black</x:v>
      </x:c>
      <x:c r="C10" s="53" t="str">
        <x:v>NAMED_DOSSIER</x:v>
      </x:c>
      <x:c r="D10" s="53" t="str">
        <x:v>CURRENT_COMPATIBLE</x:v>
      </x:c>
      <x:c r="E10" s="53" t="n">
        <x:v>8</x:v>
      </x:c>
      <x:c r="F10" s="53" t="str">
        <x:v>B</x:v>
      </x:c>
      <x:c r="G10" s="53" t="str">
        <x:v>PASS_MATCH</x:v>
      </x:c>
      <x:c r="H10" s="53" t="str">
        <x:v>primary</x:v>
      </x:c>
      <x:c r="I10" s="53" t="str">
        <x:v>current-best-fit</x:v>
      </x:c>
      <x:c r="J10" s="53" t="str">
        <x:v>B</x:v>
      </x:c>
      <x:c r="K10" s="55" t="n">
        <x:v>0.6875</x:v>
      </x:c>
      <x:c r="L10" s="54" t="b">
        <x:v>1</x:v>
      </x:c>
      <x:c r="M10" s="54" t="b">
        <x:v>1</x:v>
      </x:c>
      <x:c r="N10" s="53" t="str">
        <x:v>B</x:v>
      </x:c>
      <x:c r="O10" s="53" t="str">
        <x:v>clear_separation</x:v>
      </x:c>
      <x:c r="P10" s="53" t="n">
        <x:v>0</x:v>
      </x:c>
      <x:c r="Q10" s="53" t="str">
        <x:v>revisit_prior_answer</x:v>
      </x:c>
      <x:c r="R10" s="53" t="str">
        <x:v>outputs/01a02cd6-bce7-7832-9558-3075c52f146a/archscry-current-state-2026-08-22/evidence/engine/traces/b.json</x:v>
      </x:c>
    </x:row>
    <x:row r="11">
      <x:c r="A11" s="53" t="str">
        <x:v>R</x:v>
      </x:c>
      <x:c r="B11" s="53" t="str">
        <x:v>Red</x:v>
      </x:c>
      <x:c r="C11" s="53" t="str">
        <x:v>NAMED_DOSSIER</x:v>
      </x:c>
      <x:c r="D11" s="53" t="str">
        <x:v>CURRENT_COMPATIBLE</x:v>
      </x:c>
      <x:c r="E11" s="53" t="n">
        <x:v>8</x:v>
      </x:c>
      <x:c r="F11" s="53" t="str">
        <x:v>R</x:v>
      </x:c>
      <x:c r="G11" s="53" t="str">
        <x:v>PASS_MATCH</x:v>
      </x:c>
      <x:c r="H11" s="53" t="str">
        <x:v>primary</x:v>
      </x:c>
      <x:c r="I11" s="53" t="str">
        <x:v>current-best-fit</x:v>
      </x:c>
      <x:c r="J11" s="53" t="str">
        <x:v>R</x:v>
      </x:c>
      <x:c r="K11" s="55" t="n">
        <x:v>0.729167</x:v>
      </x:c>
      <x:c r="L11" s="54" t="b">
        <x:v>1</x:v>
      </x:c>
      <x:c r="M11" s="54" t="b">
        <x:v>1</x:v>
      </x:c>
      <x:c r="N11" s="53" t="str">
        <x:v>R</x:v>
      </x:c>
      <x:c r="O11" s="53" t="str">
        <x:v>clear_separation</x:v>
      </x:c>
      <x:c r="P11" s="53" t="n">
        <x:v>0</x:v>
      </x:c>
      <x:c r="Q11" s="53" t="str">
        <x:v>revisit_prior_answer</x:v>
      </x:c>
      <x:c r="R11" s="53" t="str">
        <x:v>outputs/01a02cd6-bce7-7832-9558-3075c52f146a/archscry-current-state-2026-08-22/evidence/engine/traces/r.json</x:v>
      </x:c>
    </x:row>
    <x:row r="12">
      <x:c r="A12" s="53" t="str">
        <x:v>G</x:v>
      </x:c>
      <x:c r="B12" s="53" t="str">
        <x:v>Green</x:v>
      </x:c>
      <x:c r="C12" s="53" t="str">
        <x:v>NAMED_DOSSIER</x:v>
      </x:c>
      <x:c r="D12" s="53" t="str">
        <x:v>CURRENT_COMPATIBLE</x:v>
      </x:c>
      <x:c r="E12" s="53" t="n">
        <x:v>8</x:v>
      </x:c>
      <x:c r="F12" s="53" t="str">
        <x:v>G</x:v>
      </x:c>
      <x:c r="G12" s="53" t="str">
        <x:v>PASS_MATCH</x:v>
      </x:c>
      <x:c r="H12" s="53" t="str">
        <x:v>primary</x:v>
      </x:c>
      <x:c r="I12" s="53" t="str">
        <x:v>current-best-fit</x:v>
      </x:c>
      <x:c r="J12" s="53" t="str">
        <x:v>RG</x:v>
      </x:c>
      <x:c r="K12" s="55" t="n">
        <x:v>0.916667</x:v>
      </x:c>
      <x:c r="L12" s="54" t="b">
        <x:v>0</x:v>
      </x:c>
      <x:c r="M12" s="54" t="b">
        <x:v>1</x:v>
      </x:c>
      <x:c r="N12" s="53" t="str">
        <x:v>G</x:v>
      </x:c>
      <x:c r="O12" s="53" t="str">
        <x:v>highest_responsible_candidate_trails_unqualified_internal_candidate</x:v>
      </x:c>
      <x:c r="P12" s="53" t="n">
        <x:v>0</x:v>
      </x:c>
      <x:c r="Q12" s="53" t="str">
        <x:v>no_approved_discriminator</x:v>
      </x:c>
      <x:c r="R12" s="53" t="str">
        <x:v>outputs/01a02cd6-bce7-7832-9558-3075c52f146a/archscry-current-state-2026-08-22/evidence/engine/traces/g.json</x:v>
      </x:c>
    </x:row>
    <x:row r="13">
      <x:c r="A13" s="53" t="str">
        <x:v>WU</x:v>
      </x:c>
      <x:c r="B13" s="53" t="str">
        <x:v>Azorius Senate</x:v>
      </x:c>
      <x:c r="C13" s="53" t="str">
        <x:v>NAMED_DOSSIER</x:v>
      </x:c>
      <x:c r="D13" s="53" t="str">
        <x:v>CURRENT_COMPATIBLE</x:v>
      </x:c>
      <x:c r="E13" s="53" t="n">
        <x:v>7</x:v>
      </x:c>
      <x:c r="F13" s="53" t="str">
        <x:v>WU</x:v>
      </x:c>
      <x:c r="G13" s="53" t="str">
        <x:v>PASS_MATCH</x:v>
      </x:c>
      <x:c r="H13" s="53" t="str">
        <x:v>primary</x:v>
      </x:c>
      <x:c r="I13" s="53" t="str">
        <x:v>current-best-fit</x:v>
      </x:c>
      <x:c r="J13" s="53" t="str">
        <x:v>W</x:v>
      </x:c>
      <x:c r="K13" s="55" t="n">
        <x:v>0.833333</x:v>
      </x:c>
      <x:c r="L13" s="54" t="b">
        <x:v>0</x:v>
      </x:c>
      <x:c r="M13" s="54" t="b">
        <x:v>1</x:v>
      </x:c>
      <x:c r="N13" s="53" t="str">
        <x:v>WU</x:v>
      </x:c>
      <x:c r="O13" s="53" t="str">
        <x:v>next_question_cannot_improve_responsible_top_boundary</x:v>
      </x:c>
      <x:c r="P13" s="53" t="n">
        <x:v>0</x:v>
      </x:c>
      <x:c r="Q13" s="53" t="str">
        <x:v>no_approved_discriminator</x:v>
      </x:c>
      <x:c r="R13" s="53" t="str">
        <x:v>outputs/01a02cd6-bce7-7832-9558-3075c52f146a/archscry-current-state-2026-08-22/evidence/engine/traces/wu.json</x:v>
      </x:c>
    </x:row>
    <x:row r="14">
      <x:c r="A14" s="53" t="str">
        <x:v>WR</x:v>
      </x:c>
      <x:c r="B14" s="53" t="str">
        <x:v>Boros Legion</x:v>
      </x:c>
      <x:c r="C14" s="53" t="str">
        <x:v>NAMED_DOSSIER</x:v>
      </x:c>
      <x:c r="D14" s="53" t="str">
        <x:v>CURRENT_COMPATIBLE</x:v>
      </x:c>
      <x:c r="E14" s="53" t="n">
        <x:v>8</x:v>
      </x:c>
      <x:c r="F14" s="53" t="str">
        <x:v>WR</x:v>
      </x:c>
      <x:c r="G14" s="53" t="str">
        <x:v>PASS_MATCH</x:v>
      </x:c>
      <x:c r="H14" s="53" t="str">
        <x:v>primary</x:v>
      </x:c>
      <x:c r="I14" s="53" t="str">
        <x:v>current-best-fit</x:v>
      </x:c>
      <x:c r="J14" s="53" t="str">
        <x:v>WR</x:v>
      </x:c>
      <x:c r="K14" s="55" t="n">
        <x:v>1</x:v>
      </x:c>
      <x:c r="L14" s="54" t="b">
        <x:v>1</x:v>
      </x:c>
      <x:c r="M14" s="54" t="b">
        <x:v>1</x:v>
      </x:c>
      <x:c r="N14" s="53" t="str">
        <x:v>WR</x:v>
      </x:c>
      <x:c r="O14" s="53" t="str">
        <x:v>clear_separation</x:v>
      </x:c>
      <x:c r="P14" s="53" t="n">
        <x:v>0</x:v>
      </x:c>
      <x:c r="Q14" s="53" t="str">
        <x:v>no_approved_discriminator</x:v>
      </x:c>
      <x:c r="R14" s="53" t="str">
        <x:v>outputs/01a02cd6-bce7-7832-9558-3075c52f146a/archscry-current-state-2026-08-22/evidence/engine/traces/wr.json</x:v>
      </x:c>
    </x:row>
    <x:row r="15">
      <x:c r="A15" s="53" t="str">
        <x:v>BR</x:v>
      </x:c>
      <x:c r="B15" s="53" t="str">
        <x:v>Cult of Rakdos</x:v>
      </x:c>
      <x:c r="C15" s="53" t="str">
        <x:v>NAMED_DOSSIER</x:v>
      </x:c>
      <x:c r="D15" s="53" t="str">
        <x:v>CURRENT_COMPATIBLE</x:v>
      </x:c>
      <x:c r="E15" s="53" t="n">
        <x:v>6</x:v>
      </x:c>
      <x:c r="F15" s="53" t="str">
        <x:v>BR</x:v>
      </x:c>
      <x:c r="G15" s="53" t="str">
        <x:v>PASS_MATCH</x:v>
      </x:c>
      <x:c r="H15" s="53" t="str">
        <x:v>primary</x:v>
      </x:c>
      <x:c r="I15" s="53" t="str">
        <x:v>current-best-fit</x:v>
      </x:c>
      <x:c r="J15" s="53" t="str">
        <x:v>BR</x:v>
      </x:c>
      <x:c r="K15" s="55" t="n">
        <x:v>0.729167</x:v>
      </x:c>
      <x:c r="L15" s="54" t="b">
        <x:v>1</x:v>
      </x:c>
      <x:c r="M15" s="54" t="b">
        <x:v>1</x:v>
      </x:c>
      <x:c r="N15" s="53" t="str">
        <x:v>BR</x:v>
      </x:c>
      <x:c r="O15" s="53" t="str">
        <x:v>clear_separation</x:v>
      </x:c>
      <x:c r="P15" s="53" t="n">
        <x:v>0</x:v>
      </x:c>
      <x:c r="Q15" s="53" t="str">
        <x:v>revisit_prior_answer</x:v>
      </x:c>
      <x:c r="R15" s="53" t="str">
        <x:v>outputs/01a02cd6-bce7-7832-9558-3075c52f146a/archscry-current-state-2026-08-22/evidence/engine/traces/br.json</x:v>
      </x:c>
    </x:row>
    <x:row r="16">
      <x:c r="A16" s="53" t="str">
        <x:v>BG</x:v>
      </x:c>
      <x:c r="B16" s="53" t="str">
        <x:v>Golgari Swarm</x:v>
      </x:c>
      <x:c r="C16" s="53" t="str">
        <x:v>NAMED_DOSSIER</x:v>
      </x:c>
      <x:c r="D16" s="53" t="str">
        <x:v>CURRENT_COMPATIBLE</x:v>
      </x:c>
      <x:c r="E16" s="53" t="n">
        <x:v>8</x:v>
      </x:c>
      <x:c r="F16" s="53" t="str">
        <x:v>BG</x:v>
      </x:c>
      <x:c r="G16" s="53" t="str">
        <x:v>PASS_MATCH</x:v>
      </x:c>
      <x:c r="H16" s="53" t="str">
        <x:v>primary</x:v>
      </x:c>
      <x:c r="I16" s="53" t="str">
        <x:v>current-best-fit</x:v>
      </x:c>
      <x:c r="J16" s="53" t="str">
        <x:v>BG</x:v>
      </x:c>
      <x:c r="K16" s="55" t="n">
        <x:v>0.8125</x:v>
      </x:c>
      <x:c r="L16" s="54" t="b">
        <x:v>1</x:v>
      </x:c>
      <x:c r="M16" s="54" t="b">
        <x:v>1</x:v>
      </x:c>
      <x:c r="N16" s="53" t="str">
        <x:v>BG</x:v>
      </x:c>
      <x:c r="O16" s="53" t="str">
        <x:v>clear_separation</x:v>
      </x:c>
      <x:c r="P16" s="53" t="n">
        <x:v>0</x:v>
      </x:c>
      <x:c r="Q16" s="53" t="str">
        <x:v>no_approved_discriminator</x:v>
      </x:c>
      <x:c r="R16" s="53" t="str">
        <x:v>outputs/01a02cd6-bce7-7832-9558-3075c52f146a/archscry-current-state-2026-08-22/evidence/engine/traces/bg.json</x:v>
      </x:c>
    </x:row>
    <x:row r="17">
      <x:c r="A17" s="53" t="str">
        <x:v>RG</x:v>
      </x:c>
      <x:c r="B17" s="53" t="str">
        <x:v>Gruul Clans</x:v>
      </x:c>
      <x:c r="C17" s="53" t="str">
        <x:v>NAMED_DOSSIER</x:v>
      </x:c>
      <x:c r="D17" s="53" t="str">
        <x:v>CURRENT_COMPATIBLE</x:v>
      </x:c>
      <x:c r="E17" s="53" t="n">
        <x:v>6</x:v>
      </x:c>
      <x:c r="F17" s="53" t="str">
        <x:v>RG</x:v>
      </x:c>
      <x:c r="G17" s="53" t="str">
        <x:v>PASS_MATCH</x:v>
      </x:c>
      <x:c r="H17" s="53" t="str">
        <x:v>primary</x:v>
      </x:c>
      <x:c r="I17" s="53" t="str">
        <x:v>current-best-fit</x:v>
      </x:c>
      <x:c r="J17" s="53" t="str">
        <x:v>JUND</x:v>
      </x:c>
      <x:c r="K17" s="55" t="n">
        <x:v>1</x:v>
      </x:c>
      <x:c r="L17" s="54" t="b">
        <x:v>0</x:v>
      </x:c>
      <x:c r="M17" s="54" t="b">
        <x:v>1</x:v>
      </x:c>
      <x:c r="N17" s="53" t="str">
        <x:v>RG</x:v>
      </x:c>
      <x:c r="O17" s="53" t="str">
        <x:v>next_question_cannot_improve_responsible_top_boundary</x:v>
      </x:c>
      <x:c r="P17" s="53" t="n">
        <x:v>0</x:v>
      </x:c>
      <x:c r="Q17" s="53" t="str">
        <x:v>no_approved_discriminator</x:v>
      </x:c>
      <x:c r="R17" s="53" t="str">
        <x:v>outputs/01a02cd6-bce7-7832-9558-3075c52f146a/archscry-current-state-2026-08-22/evidence/engine/traces/rg.json</x:v>
      </x:c>
    </x:row>
    <x:row r="18">
      <x:c r="A18" s="53" t="str">
        <x:v>UB</x:v>
      </x:c>
      <x:c r="B18" s="53" t="str">
        <x:v>House Dimir</x:v>
      </x:c>
      <x:c r="C18" s="53" t="str">
        <x:v>NAMED_DOSSIER</x:v>
      </x:c>
      <x:c r="D18" s="53" t="str">
        <x:v>CURRENT_COMPATIBLE</x:v>
      </x:c>
      <x:c r="E18" s="53" t="n">
        <x:v>7</x:v>
      </x:c>
      <x:c r="F18" s="53" t="str">
        <x:v>UB</x:v>
      </x:c>
      <x:c r="G18" s="53" t="str">
        <x:v>PASS_MATCH</x:v>
      </x:c>
      <x:c r="H18" s="53" t="str">
        <x:v>primary</x:v>
      </x:c>
      <x:c r="I18" s="53" t="str">
        <x:v>current-best-fit</x:v>
      </x:c>
      <x:c r="J18" s="53" t="str">
        <x:v>UB</x:v>
      </x:c>
      <x:c r="K18" s="55" t="n">
        <x:v>0.75</x:v>
      </x:c>
      <x:c r="L18" s="54" t="b">
        <x:v>1</x:v>
      </x:c>
      <x:c r="M18" s="54" t="b">
        <x:v>1</x:v>
      </x:c>
      <x:c r="N18" s="53" t="str">
        <x:v>UB</x:v>
      </x:c>
      <x:c r="O18" s="53" t="str">
        <x:v>clear_separation</x:v>
      </x:c>
      <x:c r="P18" s="53" t="n">
        <x:v>0</x:v>
      </x:c>
      <x:c r="Q18" s="53" t="str">
        <x:v>revisit_prior_answer</x:v>
      </x:c>
      <x:c r="R18" s="53" t="str">
        <x:v>outputs/01a02cd6-bce7-7832-9558-3075c52f146a/archscry-current-state-2026-08-22/evidence/engine/traces/ub.json</x:v>
      </x:c>
    </x:row>
    <x:row r="19">
      <x:c r="A19" s="53" t="str">
        <x:v>UR</x:v>
      </x:c>
      <x:c r="B19" s="53" t="str">
        <x:v>Izzet League</x:v>
      </x:c>
      <x:c r="C19" s="53" t="str">
        <x:v>NAMED_DOSSIER</x:v>
      </x:c>
      <x:c r="D19" s="53" t="str">
        <x:v>CURRENT_COMPATIBLE</x:v>
      </x:c>
      <x:c r="E19" s="53" t="n">
        <x:v>8</x:v>
      </x:c>
      <x:c r="F19" s="53" t="str">
        <x:v>UR</x:v>
      </x:c>
      <x:c r="G19" s="53" t="str">
        <x:v>PASS_MATCH</x:v>
      </x:c>
      <x:c r="H19" s="53" t="str">
        <x:v>primary</x:v>
      </x:c>
      <x:c r="I19" s="53" t="str">
        <x:v>current-best-fit</x:v>
      </x:c>
      <x:c r="J19" s="53" t="str">
        <x:v>UR</x:v>
      </x:c>
      <x:c r="K19" s="55" t="n">
        <x:v>0.666667</x:v>
      </x:c>
      <x:c r="L19" s="54" t="b">
        <x:v>1</x:v>
      </x:c>
      <x:c r="M19" s="54" t="b">
        <x:v>1</x:v>
      </x:c>
      <x:c r="N19" s="53" t="str">
        <x:v>UR</x:v>
      </x:c>
      <x:c r="O19" s="53" t="str">
        <x:v>clear_separation</x:v>
      </x:c>
      <x:c r="P19" s="53" t="n">
        <x:v>0</x:v>
      </x:c>
      <x:c r="Q19" s="53" t="str">
        <x:v>no_approved_discriminator</x:v>
      </x:c>
      <x:c r="R19" s="53" t="str">
        <x:v>outputs/01a02cd6-bce7-7832-9558-3075c52f146a/archscry-current-state-2026-08-22/evidence/engine/traces/ur.json</x:v>
      </x:c>
    </x:row>
    <x:row r="20">
      <x:c r="A20" s="53" t="str">
        <x:v>WB</x:v>
      </x:c>
      <x:c r="B20" s="53" t="str">
        <x:v>Orzhov Syndicate</x:v>
      </x:c>
      <x:c r="C20" s="53" t="str">
        <x:v>NAMED_DOSSIER</x:v>
      </x:c>
      <x:c r="D20" s="53" t="str">
        <x:v>CURRENT_COMPATIBLE</x:v>
      </x:c>
      <x:c r="E20" s="53" t="n">
        <x:v>8</x:v>
      </x:c>
      <x:c r="F20" s="53" t="str">
        <x:v>WB</x:v>
      </x:c>
      <x:c r="G20" s="53" t="str">
        <x:v>PASS_MATCH</x:v>
      </x:c>
      <x:c r="H20" s="53" t="str">
        <x:v>primary</x:v>
      </x:c>
      <x:c r="I20" s="53" t="str">
        <x:v>current-best-fit</x:v>
      </x:c>
      <x:c r="J20" s="53" t="str">
        <x:v>WB</x:v>
      </x:c>
      <x:c r="K20" s="55" t="n">
        <x:v>0.645833</x:v>
      </x:c>
      <x:c r="L20" s="54" t="b">
        <x:v>1</x:v>
      </x:c>
      <x:c r="M20" s="54" t="b">
        <x:v>1</x:v>
      </x:c>
      <x:c r="N20" s="53" t="str">
        <x:v>WB</x:v>
      </x:c>
      <x:c r="O20" s="53" t="str">
        <x:v>single_named_direction_with_unresolved_alternatives</x:v>
      </x:c>
      <x:c r="P20" s="53" t="n">
        <x:v>0</x:v>
      </x:c>
      <x:c r="Q20" s="53" t="str">
        <x:v>no_approved_discriminator</x:v>
      </x:c>
      <x:c r="R20" s="53" t="str">
        <x:v>outputs/01a02cd6-bce7-7832-9558-3075c52f146a/archscry-current-state-2026-08-22/evidence/engine/traces/wb.json</x:v>
      </x:c>
    </x:row>
    <x:row r="21">
      <x:c r="A21" s="53" t="str">
        <x:v>WG</x:v>
      </x:c>
      <x:c r="B21" s="53" t="str">
        <x:v>Selesnya Conclave</x:v>
      </x:c>
      <x:c r="C21" s="53" t="str">
        <x:v>NAMED_DOSSIER</x:v>
      </x:c>
      <x:c r="D21" s="53" t="str">
        <x:v>CURRENT_COMPATIBLE</x:v>
      </x:c>
      <x:c r="E21" s="53" t="n">
        <x:v>7</x:v>
      </x:c>
      <x:c r="F21" s="53" t="str">
        <x:v>WG</x:v>
      </x:c>
      <x:c r="G21" s="53" t="str">
        <x:v>PASS_MATCH</x:v>
      </x:c>
      <x:c r="H21" s="53" t="str">
        <x:v>primary</x:v>
      </x:c>
      <x:c r="I21" s="53" t="str">
        <x:v>current-best-fit</x:v>
      </x:c>
      <x:c r="J21" s="53" t="str">
        <x:v>WG</x:v>
      </x:c>
      <x:c r="K21" s="55" t="n">
        <x:v>0.729167</x:v>
      </x:c>
      <x:c r="L21" s="54" t="b">
        <x:v>1</x:v>
      </x:c>
      <x:c r="M21" s="54" t="b">
        <x:v>1</x:v>
      </x:c>
      <x:c r="N21" s="53" t="str">
        <x:v>WG</x:v>
      </x:c>
      <x:c r="O21" s="53" t="str">
        <x:v>clear_separation</x:v>
      </x:c>
      <x:c r="P21" s="53" t="n">
        <x:v>0</x:v>
      </x:c>
      <x:c r="Q21" s="53" t="str">
        <x:v>no_approved_discriminator</x:v>
      </x:c>
      <x:c r="R21" s="53" t="str">
        <x:v>outputs/01a02cd6-bce7-7832-9558-3075c52f146a/archscry-current-state-2026-08-22/evidence/engine/traces/wg.json</x:v>
      </x:c>
    </x:row>
    <x:row r="22">
      <x:c r="A22" s="53" t="str">
        <x:v>UG</x:v>
      </x:c>
      <x:c r="B22" s="53" t="str">
        <x:v>Simic Combine</x:v>
      </x:c>
      <x:c r="C22" s="53" t="str">
        <x:v>NAMED_DOSSIER</x:v>
      </x:c>
      <x:c r="D22" s="53" t="str">
        <x:v>CURRENT_COMPATIBLE</x:v>
      </x:c>
      <x:c r="E22" s="53" t="n">
        <x:v>8</x:v>
      </x:c>
      <x:c r="F22" s="53" t="str">
        <x:v>UG</x:v>
      </x:c>
      <x:c r="G22" s="53" t="str">
        <x:v>PASS_MATCH</x:v>
      </x:c>
      <x:c r="H22" s="53" t="str">
        <x:v>primary</x:v>
      </x:c>
      <x:c r="I22" s="53" t="str">
        <x:v>current-best-fit</x:v>
      </x:c>
      <x:c r="J22" s="53" t="str">
        <x:v>UG</x:v>
      </x:c>
      <x:c r="K22" s="55" t="n">
        <x:v>0.8125</x:v>
      </x:c>
      <x:c r="L22" s="54" t="b">
        <x:v>1</x:v>
      </x:c>
      <x:c r="M22" s="54" t="b">
        <x:v>1</x:v>
      </x:c>
      <x:c r="N22" s="53" t="str">
        <x:v>UG</x:v>
      </x:c>
      <x:c r="O22" s="53" t="str">
        <x:v>clear_separation</x:v>
      </x:c>
      <x:c r="P22" s="53" t="n">
        <x:v>0</x:v>
      </x:c>
      <x:c r="Q22" s="53" t="str">
        <x:v>no_approved_discriminator</x:v>
      </x:c>
      <x:c r="R22" s="53" t="str">
        <x:v>outputs/01a02cd6-bce7-7832-9558-3075c52f146a/archscry-current-state-2026-08-22/evidence/engine/traces/ug.json</x:v>
      </x:c>
    </x:row>
    <x:row r="23">
      <x:c r="A23" s="53" t="str">
        <x:v>LOREHOLD</x:v>
      </x:c>
      <x:c r="B23" s="53" t="str">
        <x:v>Lorehold College</x:v>
      </x:c>
      <x:c r="C23" s="53" t="str">
        <x:v>NAMED_DOSSIER</x:v>
      </x:c>
      <x:c r="D23" s="53" t="str">
        <x:v>CURRENT_COMPATIBLE</x:v>
      </x:c>
      <x:c r="E23" s="53" t="n">
        <x:v>9</x:v>
      </x:c>
      <x:c r="F23" s="53" t="str">
        <x:v>LOREHOLD</x:v>
      </x:c>
      <x:c r="G23" s="53" t="str">
        <x:v>PASS_MATCH</x:v>
      </x:c>
      <x:c r="H23" s="53" t="str">
        <x:v>primary</x:v>
      </x:c>
      <x:c r="I23" s="53" t="str">
        <x:v>current-best-fit</x:v>
      </x:c>
      <x:c r="J23" s="53" t="str">
        <x:v>LOREHOLD</x:v>
      </x:c>
      <x:c r="K23" s="55" t="n">
        <x:v>0.729167</x:v>
      </x:c>
      <x:c r="L23" s="54" t="b">
        <x:v>1</x:v>
      </x:c>
      <x:c r="M23" s="54" t="b">
        <x:v>1</x:v>
      </x:c>
      <x:c r="N23" s="53" t="str">
        <x:v>LOREHOLD</x:v>
      </x:c>
      <x:c r="O23" s="53" t="str">
        <x:v>clear_separation</x:v>
      </x:c>
      <x:c r="P23" s="53" t="n">
        <x:v>1</x:v>
      </x:c>
      <x:c r="Q23" s="53" t="str">
        <x:v>no_approved_discriminator</x:v>
      </x:c>
      <x:c r="R23" s="53" t="str">
        <x:v>outputs/01a02cd6-bce7-7832-9558-3075c52f146a/archscry-current-state-2026-08-22/evidence/engine/traces/lorehold.json</x:v>
      </x:c>
    </x:row>
    <x:row r="24">
      <x:c r="A24" s="53" t="str">
        <x:v>PRISMARI</x:v>
      </x:c>
      <x:c r="B24" s="53" t="str">
        <x:v>Prismari College</x:v>
      </x:c>
      <x:c r="C24" s="53" t="str">
        <x:v>NAMED_DOSSIER</x:v>
      </x:c>
      <x:c r="D24" s="53" t="str">
        <x:v>CURRENT_COMPATIBLE</x:v>
      </x:c>
      <x:c r="E24" s="53" t="n">
        <x:v>8</x:v>
      </x:c>
      <x:c r="F24" s="53" t="str">
        <x:v>PRISMARI</x:v>
      </x:c>
      <x:c r="G24" s="53" t="str">
        <x:v>PASS_MATCH</x:v>
      </x:c>
      <x:c r="H24" s="53" t="str">
        <x:v>primary</x:v>
      </x:c>
      <x:c r="I24" s="53" t="str">
        <x:v>current-best-fit</x:v>
      </x:c>
      <x:c r="J24" s="53" t="str">
        <x:v>PRISMARI</x:v>
      </x:c>
      <x:c r="K24" s="55" t="n">
        <x:v>1</x:v>
      </x:c>
      <x:c r="L24" s="54" t="b">
        <x:v>1</x:v>
      </x:c>
      <x:c r="M24" s="54" t="b">
        <x:v>1</x:v>
      </x:c>
      <x:c r="N24" s="53" t="str">
        <x:v>PRISMARI</x:v>
      </x:c>
      <x:c r="O24" s="53" t="str">
        <x:v>clear_separation</x:v>
      </x:c>
      <x:c r="P24" s="53" t="n">
        <x:v>0</x:v>
      </x:c>
      <x:c r="Q24" s="53" t="str">
        <x:v>no_approved_discriminator</x:v>
      </x:c>
      <x:c r="R24" s="53" t="str">
        <x:v>outputs/01a02cd6-bce7-7832-9558-3075c52f146a/archscry-current-state-2026-08-22/evidence/engine/traces/prismari.json</x:v>
      </x:c>
    </x:row>
    <x:row r="25">
      <x:c r="A25" s="53" t="str">
        <x:v>QUANDRIX</x:v>
      </x:c>
      <x:c r="B25" s="53" t="str">
        <x:v>Quandrix College</x:v>
      </x:c>
      <x:c r="C25" s="53" t="str">
        <x:v>NAMED_DOSSIER</x:v>
      </x:c>
      <x:c r="D25" s="53" t="str">
        <x:v>CURRENT_COMPATIBLE</x:v>
      </x:c>
      <x:c r="E25" s="53" t="n">
        <x:v>8</x:v>
      </x:c>
      <x:c r="F25" s="53" t="str">
        <x:v>QUANDRIX</x:v>
      </x:c>
      <x:c r="G25" s="53" t="str">
        <x:v>PASS_MATCH</x:v>
      </x:c>
      <x:c r="H25" s="53" t="str">
        <x:v>primary</x:v>
      </x:c>
      <x:c r="I25" s="53" t="str">
        <x:v>current-best-fit</x:v>
      </x:c>
      <x:c r="J25" s="53" t="str">
        <x:v>QUANDRIX</x:v>
      </x:c>
      <x:c r="K25" s="55" t="n">
        <x:v>0.729167</x:v>
      </x:c>
      <x:c r="L25" s="54" t="b">
        <x:v>1</x:v>
      </x:c>
      <x:c r="M25" s="54" t="b">
        <x:v>1</x:v>
      </x:c>
      <x:c r="N25" s="53" t="str">
        <x:v>QUANDRIX</x:v>
      </x:c>
      <x:c r="O25" s="53" t="str">
        <x:v>clear_separation</x:v>
      </x:c>
      <x:c r="P25" s="53" t="n">
        <x:v>0</x:v>
      </x:c>
      <x:c r="Q25" s="53" t="str">
        <x:v>no_approved_discriminator</x:v>
      </x:c>
      <x:c r="R25" s="53" t="str">
        <x:v>outputs/01a02cd6-bce7-7832-9558-3075c52f146a/archscry-current-state-2026-08-22/evidence/engine/traces/quandrix.json</x:v>
      </x:c>
    </x:row>
    <x:row r="26">
      <x:c r="A26" s="53" t="str">
        <x:v>SILVERQUILL</x:v>
      </x:c>
      <x:c r="B26" s="53" t="str">
        <x:v>Silverquill College</x:v>
      </x:c>
      <x:c r="C26" s="53" t="str">
        <x:v>NAMED_DOSSIER</x:v>
      </x:c>
      <x:c r="D26" s="53" t="str">
        <x:v>CURRENT_COMPATIBLE</x:v>
      </x:c>
      <x:c r="E26" s="53" t="n">
        <x:v>8</x:v>
      </x:c>
      <x:c r="F26" s="53" t="str">
        <x:v>SILVERQUILL</x:v>
      </x:c>
      <x:c r="G26" s="53" t="str">
        <x:v>PASS_MATCH</x:v>
      </x:c>
      <x:c r="H26" s="53" t="str">
        <x:v>primary</x:v>
      </x:c>
      <x:c r="I26" s="53" t="str">
        <x:v>current-best-fit</x:v>
      </x:c>
      <x:c r="J26" s="53" t="str">
        <x:v>SILVERQUILL</x:v>
      </x:c>
      <x:c r="K26" s="55" t="n">
        <x:v>0.729167</x:v>
      </x:c>
      <x:c r="L26" s="54" t="b">
        <x:v>1</x:v>
      </x:c>
      <x:c r="M26" s="54" t="b">
        <x:v>1</x:v>
      </x:c>
      <x:c r="N26" s="53" t="str">
        <x:v>SILVERQUILL</x:v>
      </x:c>
      <x:c r="O26" s="53" t="str">
        <x:v>clear_separation</x:v>
      </x:c>
      <x:c r="P26" s="53" t="n">
        <x:v>0</x:v>
      </x:c>
      <x:c r="Q26" s="53" t="str">
        <x:v>no_approved_discriminator</x:v>
      </x:c>
      <x:c r="R26" s="53" t="str">
        <x:v>outputs/01a02cd6-bce7-7832-9558-3075c52f146a/archscry-current-state-2026-08-22/evidence/engine/traces/silverquill.json</x:v>
      </x:c>
    </x:row>
    <x:row r="27">
      <x:c r="A27" s="53" t="str">
        <x:v>WITHERBLOOM</x:v>
      </x:c>
      <x:c r="B27" s="53" t="str">
        <x:v>Witherbloom College</x:v>
      </x:c>
      <x:c r="C27" s="53" t="str">
        <x:v>NAMED_DOSSIER</x:v>
      </x:c>
      <x:c r="D27" s="53" t="str">
        <x:v>CURRENT_COMPATIBLE</x:v>
      </x:c>
      <x:c r="E27" s="53" t="n">
        <x:v>8</x:v>
      </x:c>
      <x:c r="F27" s="53" t="str">
        <x:v>WITHERBLOOM</x:v>
      </x:c>
      <x:c r="G27" s="53" t="str">
        <x:v>PASS_MATCH</x:v>
      </x:c>
      <x:c r="H27" s="53" t="str">
        <x:v>primary</x:v>
      </x:c>
      <x:c r="I27" s="53" t="str">
        <x:v>current-best-fit</x:v>
      </x:c>
      <x:c r="J27" s="53" t="str">
        <x:v>WITHERBLOOM</x:v>
      </x:c>
      <x:c r="K27" s="55" t="n">
        <x:v>0.729167</x:v>
      </x:c>
      <x:c r="L27" s="54" t="b">
        <x:v>1</x:v>
      </x:c>
      <x:c r="M27" s="54" t="b">
        <x:v>1</x:v>
      </x:c>
      <x:c r="N27" s="53" t="str">
        <x:v>WITHERBLOOM</x:v>
      </x:c>
      <x:c r="O27" s="53" t="str">
        <x:v>clear_separation</x:v>
      </x:c>
      <x:c r="P27" s="53" t="n">
        <x:v>0</x:v>
      </x:c>
      <x:c r="Q27" s="53" t="str">
        <x:v>revisit_prior_answer</x:v>
      </x:c>
      <x:c r="R27" s="53" t="str">
        <x:v>outputs/01a02cd6-bce7-7832-9558-3075c52f146a/archscry-current-state-2026-08-22/evidence/engine/traces/witherbloom.json</x:v>
      </x:c>
    </x:row>
    <x:row r="28">
      <x:c r="A28" s="53" t="str">
        <x:v>BANT</x:v>
      </x:c>
      <x:c r="B28" s="53" t="str">
        <x:v>Bant</x:v>
      </x:c>
      <x:c r="C28" s="53" t="str">
        <x:v>NAMED_DOSSIER</x:v>
      </x:c>
      <x:c r="D28" s="53" t="str">
        <x:v>CURRENT_COMPATIBLE</x:v>
      </x:c>
      <x:c r="E28" s="53" t="n">
        <x:v>8</x:v>
      </x:c>
      <x:c r="F28" s="53" t="str">
        <x:v>BANT</x:v>
      </x:c>
      <x:c r="G28" s="53" t="str">
        <x:v>PASS_MATCH</x:v>
      </x:c>
      <x:c r="H28" s="53" t="str">
        <x:v>primary</x:v>
      </x:c>
      <x:c r="I28" s="53" t="str">
        <x:v>current-best-fit</x:v>
      </x:c>
      <x:c r="J28" s="53" t="str">
        <x:v>BANT</x:v>
      </x:c>
      <x:c r="K28" s="55" t="n">
        <x:v>0.916667</x:v>
      </x:c>
      <x:c r="L28" s="54" t="b">
        <x:v>1</x:v>
      </x:c>
      <x:c r="M28" s="54" t="b">
        <x:v>1</x:v>
      </x:c>
      <x:c r="N28" s="53" t="str">
        <x:v>BANT</x:v>
      </x:c>
      <x:c r="O28" s="53" t="str">
        <x:v>clear_separation</x:v>
      </x:c>
      <x:c r="P28" s="53" t="n">
        <x:v>0</x:v>
      </x:c>
      <x:c r="Q28" s="53" t="str">
        <x:v>no_approved_discriminator</x:v>
      </x:c>
      <x:c r="R28" s="53" t="str">
        <x:v>outputs/01a02cd6-bce7-7832-9558-3075c52f146a/archscry-current-state-2026-08-22/evidence/engine/traces/bant.json</x:v>
      </x:c>
    </x:row>
    <x:row r="29">
      <x:c r="A29" s="53" t="str">
        <x:v>ESPER</x:v>
      </x:c>
      <x:c r="B29" s="53" t="str">
        <x:v>Esper</x:v>
      </x:c>
      <x:c r="C29" s="53" t="str">
        <x:v>NAMED_DOSSIER</x:v>
      </x:c>
      <x:c r="D29" s="53" t="str">
        <x:v>CURRENT_COMPATIBLE</x:v>
      </x:c>
      <x:c r="E29" s="53" t="n">
        <x:v>8</x:v>
      </x:c>
      <x:c r="F29" s="53" t="str">
        <x:v>ESPER</x:v>
      </x:c>
      <x:c r="G29" s="53" t="str">
        <x:v>PASS_MATCH</x:v>
      </x:c>
      <x:c r="H29" s="53" t="str">
        <x:v>primary</x:v>
      </x:c>
      <x:c r="I29" s="53" t="str">
        <x:v>current-best-fit</x:v>
      </x:c>
      <x:c r="J29" s="53" t="str">
        <x:v>ESPER</x:v>
      </x:c>
      <x:c r="K29" s="55" t="n">
        <x:v>0.7875</x:v>
      </x:c>
      <x:c r="L29" s="54" t="b">
        <x:v>1</x:v>
      </x:c>
      <x:c r="M29" s="54" t="b">
        <x:v>1</x:v>
      </x:c>
      <x:c r="N29" s="53" t="str">
        <x:v>ESPER</x:v>
      </x:c>
      <x:c r="O29" s="53" t="str">
        <x:v>clear_separation</x:v>
      </x:c>
      <x:c r="P29" s="53" t="n">
        <x:v>0</x:v>
      </x:c>
      <x:c r="Q29" s="53" t="str">
        <x:v>no_approved_discriminator</x:v>
      </x:c>
      <x:c r="R29" s="53" t="str">
        <x:v>outputs/01a02cd6-bce7-7832-9558-3075c52f146a/archscry-current-state-2026-08-22/evidence/engine/traces/esper.json</x:v>
      </x:c>
    </x:row>
    <x:row r="30">
      <x:c r="A30" s="53" t="str">
        <x:v>GRIXIS</x:v>
      </x:c>
      <x:c r="B30" s="53" t="str">
        <x:v>Grixis</x:v>
      </x:c>
      <x:c r="C30" s="53" t="str">
        <x:v>NAMED_DOSSIER</x:v>
      </x:c>
      <x:c r="D30" s="53" t="str">
        <x:v>CURRENT_COMPATIBLE</x:v>
      </x:c>
      <x:c r="E30" s="53" t="n">
        <x:v>8</x:v>
      </x:c>
      <x:c r="F30" s="53" t="str">
        <x:v>GRIXIS</x:v>
      </x:c>
      <x:c r="G30" s="53" t="str">
        <x:v>PASS_MATCH</x:v>
      </x:c>
      <x:c r="H30" s="53" t="str">
        <x:v>primary</x:v>
      </x:c>
      <x:c r="I30" s="53" t="str">
        <x:v>current-best-fit</x:v>
      </x:c>
      <x:c r="J30" s="53" t="str">
        <x:v>GRIXIS</x:v>
      </x:c>
      <x:c r="K30" s="55" t="n">
        <x:v>0.9375</x:v>
      </x:c>
      <x:c r="L30" s="54" t="b">
        <x:v>1</x:v>
      </x:c>
      <x:c r="M30" s="54" t="b">
        <x:v>1</x:v>
      </x:c>
      <x:c r="N30" s="53" t="str">
        <x:v>GRIXIS</x:v>
      </x:c>
      <x:c r="O30" s="53" t="str">
        <x:v>clear_separation</x:v>
      </x:c>
      <x:c r="P30" s="53" t="n">
        <x:v>0</x:v>
      </x:c>
      <x:c r="Q30" s="53" t="str">
        <x:v>no_approved_discriminator</x:v>
      </x:c>
      <x:c r="R30" s="53" t="str">
        <x:v>outputs/01a02cd6-bce7-7832-9558-3075c52f146a/archscry-current-state-2026-08-22/evidence/engine/traces/grixis.json</x:v>
      </x:c>
    </x:row>
    <x:row r="31">
      <x:c r="A31" s="53" t="str">
        <x:v>JUND</x:v>
      </x:c>
      <x:c r="B31" s="53" t="str">
        <x:v>Jund</x:v>
      </x:c>
      <x:c r="C31" s="53" t="str">
        <x:v>NAMED_DOSSIER</x:v>
      </x:c>
      <x:c r="D31" s="53" t="str">
        <x:v>CURRENT_COMPATIBLE</x:v>
      </x:c>
      <x:c r="E31" s="53" t="n">
        <x:v>6</x:v>
      </x:c>
      <x:c r="F31" s="53" t="str">
        <x:v>JUND</x:v>
      </x:c>
      <x:c r="G31" s="53" t="str">
        <x:v>PASS_MATCH</x:v>
      </x:c>
      <x:c r="H31" s="53" t="str">
        <x:v>close</x:v>
      </x:c>
      <x:c r="I31" s="53" t="str">
        <x:v>close</x:v>
      </x:c>
      <x:c r="J31" s="53" t="str">
        <x:v>R</x:v>
      </x:c>
      <x:c r="K31" s="55" t="n">
        <x:v>0.916667</x:v>
      </x:c>
      <x:c r="L31" s="54" t="b">
        <x:v>0</x:v>
      </x:c>
      <x:c r="M31" s="54" t="b">
        <x:v>1</x:v>
      </x:c>
      <x:c r="N31" s="53" t="str">
        <x:v>JUND | RG</x:v>
      </x:c>
      <x:c r="O31" s="53" t="str">
        <x:v>next_question_cannot_improve_responsible_top_boundary</x:v>
      </x:c>
      <x:c r="P31" s="53" t="n">
        <x:v>0</x:v>
      </x:c>
      <x:c r="Q31" s="53" t="str">
        <x:v>no_approved_discriminator</x:v>
      </x:c>
      <x:c r="R31" s="53" t="str">
        <x:v>outputs/01a02cd6-bce7-7832-9558-3075c52f146a/archscry-current-state-2026-08-22/evidence/engine/traces/jund.json</x:v>
      </x:c>
    </x:row>
    <x:row r="32">
      <x:c r="A32" s="53" t="str">
        <x:v>NAYA</x:v>
      </x:c>
      <x:c r="B32" s="53" t="str">
        <x:v>Naya</x:v>
      </x:c>
      <x:c r="C32" s="53" t="str">
        <x:v>NAMED_DOSSIER</x:v>
      </x:c>
      <x:c r="D32" s="53" t="str">
        <x:v>CURRENT_COMPATIBLE</x:v>
      </x:c>
      <x:c r="E32" s="53" t="n">
        <x:v>8</x:v>
      </x:c>
      <x:c r="F32" s="53" t="str">
        <x:v>NAYA</x:v>
      </x:c>
      <x:c r="G32" s="53" t="str">
        <x:v>PASS_MATCH</x:v>
      </x:c>
      <x:c r="H32" s="53" t="str">
        <x:v>primary</x:v>
      </x:c>
      <x:c r="I32" s="53" t="str">
        <x:v>current-best-fit</x:v>
      </x:c>
      <x:c r="J32" s="53" t="str">
        <x:v>NAYA</x:v>
      </x:c>
      <x:c r="K32" s="55" t="n">
        <x:v>0.645833</x:v>
      </x:c>
      <x:c r="L32" s="54" t="b">
        <x:v>1</x:v>
      </x:c>
      <x:c r="M32" s="54" t="b">
        <x:v>1</x:v>
      </x:c>
      <x:c r="N32" s="53" t="str">
        <x:v>NAYA</x:v>
      </x:c>
      <x:c r="O32" s="53" t="str">
        <x:v>single_named_direction_with_unresolved_alternatives</x:v>
      </x:c>
      <x:c r="P32" s="53" t="n">
        <x:v>0</x:v>
      </x:c>
      <x:c r="Q32" s="53" t="str">
        <x:v>no_approved_discriminator</x:v>
      </x:c>
      <x:c r="R32" s="53" t="str">
        <x:v>outputs/01a02cd6-bce7-7832-9558-3075c52f146a/archscry-current-state-2026-08-22/evidence/engine/traces/naya.json</x:v>
      </x:c>
    </x:row>
    <x:row r="33">
      <x:c r="A33" s="53" t="str">
        <x:v>ABZAN</x:v>
      </x:c>
      <x:c r="B33" s="53" t="str">
        <x:v>Abzan Houses</x:v>
      </x:c>
      <x:c r="C33" s="53" t="str">
        <x:v>NAMED_DOSSIER</x:v>
      </x:c>
      <x:c r="D33" s="53" t="str">
        <x:v>CURRENT_COMPATIBLE</x:v>
      </x:c>
      <x:c r="E33" s="53" t="n">
        <x:v>6</x:v>
      </x:c>
      <x:c r="F33" s="53" t="str">
        <x:v>ABZAN</x:v>
      </x:c>
      <x:c r="G33" s="53" t="str">
        <x:v>PASS_MATCH</x:v>
      </x:c>
      <x:c r="H33" s="53" t="str">
        <x:v>primary</x:v>
      </x:c>
      <x:c r="I33" s="53" t="str">
        <x:v>current-best-fit</x:v>
      </x:c>
      <x:c r="J33" s="53" t="str">
        <x:v>ABZAN</x:v>
      </x:c>
      <x:c r="K33" s="55" t="n">
        <x:v>0.8125</x:v>
      </x:c>
      <x:c r="L33" s="54" t="b">
        <x:v>1</x:v>
      </x:c>
      <x:c r="M33" s="54" t="b">
        <x:v>1</x:v>
      </x:c>
      <x:c r="N33" s="53" t="str">
        <x:v>ABZAN</x:v>
      </x:c>
      <x:c r="O33" s="53" t="str">
        <x:v>clear_separation</x:v>
      </x:c>
      <x:c r="P33" s="53" t="n">
        <x:v>0</x:v>
      </x:c>
      <x:c r="Q33" s="53" t="str">
        <x:v>no_approved_discriminator</x:v>
      </x:c>
      <x:c r="R33" s="53" t="str">
        <x:v>outputs/01a02cd6-bce7-7832-9558-3075c52f146a/archscry-current-state-2026-08-22/evidence/engine/traces/abzan.json</x:v>
      </x:c>
    </x:row>
    <x:row r="34">
      <x:c r="A34" s="53" t="str">
        <x:v>JESKAI</x:v>
      </x:c>
      <x:c r="B34" s="53" t="str">
        <x:v>Jeskai Way</x:v>
      </x:c>
      <x:c r="C34" s="53" t="str">
        <x:v>NAMED_DOSSIER</x:v>
      </x:c>
      <x:c r="D34" s="53" t="str">
        <x:v>CURRENT_COMPATIBLE</x:v>
      </x:c>
      <x:c r="E34" s="53" t="n">
        <x:v>8</x:v>
      </x:c>
      <x:c r="F34" s="53" t="str">
        <x:v>JESKAI</x:v>
      </x:c>
      <x:c r="G34" s="53" t="str">
        <x:v>PASS_MATCH</x:v>
      </x:c>
      <x:c r="H34" s="53" t="str">
        <x:v>primary</x:v>
      </x:c>
      <x:c r="I34" s="53" t="str">
        <x:v>current-best-fit</x:v>
      </x:c>
      <x:c r="J34" s="53" t="str">
        <x:v>JESKAI</x:v>
      </x:c>
      <x:c r="K34" s="55" t="n">
        <x:v>0.75</x:v>
      </x:c>
      <x:c r="L34" s="54" t="b">
        <x:v>1</x:v>
      </x:c>
      <x:c r="M34" s="54" t="b">
        <x:v>1</x:v>
      </x:c>
      <x:c r="N34" s="53" t="str">
        <x:v>JESKAI</x:v>
      </x:c>
      <x:c r="O34" s="53" t="str">
        <x:v>clear_separation</x:v>
      </x:c>
      <x:c r="P34" s="53" t="n">
        <x:v>0</x:v>
      </x:c>
      <x:c r="Q34" s="53" t="str">
        <x:v>no_approved_discriminator</x:v>
      </x:c>
      <x:c r="R34" s="53" t="str">
        <x:v>outputs/01a02cd6-bce7-7832-9558-3075c52f146a/archscry-current-state-2026-08-22/evidence/engine/traces/jeskai.json</x:v>
      </x:c>
    </x:row>
    <x:row r="35">
      <x:c r="A35" s="53" t="str">
        <x:v>MARDU</x:v>
      </x:c>
      <x:c r="B35" s="53" t="str">
        <x:v>Mardu Horde</x:v>
      </x:c>
      <x:c r="C35" s="53" t="str">
        <x:v>NAMED_DOSSIER</x:v>
      </x:c>
      <x:c r="D35" s="53" t="str">
        <x:v>CURRENT_COMPATIBLE</x:v>
      </x:c>
      <x:c r="E35" s="53" t="n">
        <x:v>6</x:v>
      </x:c>
      <x:c r="F35" s="53" t="str">
        <x:v>MARDU</x:v>
      </x:c>
      <x:c r="G35" s="53" t="str">
        <x:v>PASS_MATCH</x:v>
      </x:c>
      <x:c r="H35" s="53" t="str">
        <x:v>primary</x:v>
      </x:c>
      <x:c r="I35" s="53" t="str">
        <x:v>current-best-fit</x:v>
      </x:c>
      <x:c r="J35" s="53" t="str">
        <x:v>MARDU</x:v>
      </x:c>
      <x:c r="K35" s="55" t="n">
        <x:v>0.8125</x:v>
      </x:c>
      <x:c r="L35" s="54" t="b">
        <x:v>1</x:v>
      </x:c>
      <x:c r="M35" s="54" t="b">
        <x:v>1</x:v>
      </x:c>
      <x:c r="N35" s="53" t="str">
        <x:v>MARDU</x:v>
      </x:c>
      <x:c r="O35" s="53" t="str">
        <x:v>clear_separation</x:v>
      </x:c>
      <x:c r="P35" s="53" t="n">
        <x:v>0</x:v>
      </x:c>
      <x:c r="Q35" s="53" t="str">
        <x:v>revisit_prior_answer</x:v>
      </x:c>
      <x:c r="R35" s="53" t="str">
        <x:v>outputs/01a02cd6-bce7-7832-9558-3075c52f146a/archscry-current-state-2026-08-22/evidence/engine/traces/mardu.json</x:v>
      </x:c>
    </x:row>
    <x:row r="36">
      <x:c r="A36" s="53" t="str">
        <x:v>SULTAI</x:v>
      </x:c>
      <x:c r="B36" s="53" t="str">
        <x:v>Sultai Brood</x:v>
      </x:c>
      <x:c r="C36" s="53" t="str">
        <x:v>NAMED_DOSSIER</x:v>
      </x:c>
      <x:c r="D36" s="53" t="str">
        <x:v>CURRENT_COMPATIBLE</x:v>
      </x:c>
      <x:c r="E36" s="53" t="n">
        <x:v>9</x:v>
      </x:c>
      <x:c r="F36" s="53" t="str">
        <x:v>SULTAI</x:v>
      </x:c>
      <x:c r="G36" s="53" t="str">
        <x:v>PASS_MATCH</x:v>
      </x:c>
      <x:c r="H36" s="53" t="str">
        <x:v>primary</x:v>
      </x:c>
      <x:c r="I36" s="53" t="str">
        <x:v>current-best-fit</x:v>
      </x:c>
      <x:c r="J36" s="53" t="str">
        <x:v>SULTAI</x:v>
      </x:c>
      <x:c r="K36" s="55" t="n">
        <x:v>0.729167</x:v>
      </x:c>
      <x:c r="L36" s="54" t="b">
        <x:v>1</x:v>
      </x:c>
      <x:c r="M36" s="54" t="b">
        <x:v>1</x:v>
      </x:c>
      <x:c r="N36" s="53" t="str">
        <x:v>SULTAI</x:v>
      </x:c>
      <x:c r="O36" s="53" t="str">
        <x:v>clear_separation</x:v>
      </x:c>
      <x:c r="P36" s="53" t="n">
        <x:v>1</x:v>
      </x:c>
      <x:c r="Q36" s="53" t="str">
        <x:v>revisit_prior_answer</x:v>
      </x:c>
      <x:c r="R36" s="53" t="str">
        <x:v>outputs/01a02cd6-bce7-7832-9558-3075c52f146a/archscry-current-state-2026-08-22/evidence/engine/traces/sultai.json</x:v>
      </x:c>
    </x:row>
    <x:row r="37">
      <x:c r="A37" s="53" t="str">
        <x:v>TEMUR</x:v>
      </x:c>
      <x:c r="B37" s="53" t="str">
        <x:v>Temur Frontier</x:v>
      </x:c>
      <x:c r="C37" s="53" t="str">
        <x:v>NAMED_DOSSIER</x:v>
      </x:c>
      <x:c r="D37" s="53" t="str">
        <x:v>CURRENT_COMPATIBLE</x:v>
      </x:c>
      <x:c r="E37" s="53" t="n">
        <x:v>8</x:v>
      </x:c>
      <x:c r="F37" s="53" t="str">
        <x:v>TEMUR</x:v>
      </x:c>
      <x:c r="G37" s="53" t="str">
        <x:v>PASS_MATCH</x:v>
      </x:c>
      <x:c r="H37" s="53" t="str">
        <x:v>primary</x:v>
      </x:c>
      <x:c r="I37" s="53" t="str">
        <x:v>current-best-fit</x:v>
      </x:c>
      <x:c r="J37" s="53" t="str">
        <x:v>NAYA</x:v>
      </x:c>
      <x:c r="K37" s="55" t="n">
        <x:v>0.833333</x:v>
      </x:c>
      <x:c r="L37" s="54" t="b">
        <x:v>0</x:v>
      </x:c>
      <x:c r="M37" s="54" t="b">
        <x:v>1</x:v>
      </x:c>
      <x:c r="N37" s="53" t="str">
        <x:v>TEMUR</x:v>
      </x:c>
      <x:c r="O37" s="53" t="str">
        <x:v>highest_responsible_candidate_trails_unqualified_internal_candidate</x:v>
      </x:c>
      <x:c r="P37" s="53" t="n">
        <x:v>0</x:v>
      </x:c>
      <x:c r="Q37" s="53" t="str">
        <x:v>no_approved_discriminator</x:v>
      </x:c>
      <x:c r="R37" s="53" t="str">
        <x:v>outputs/01a02cd6-bce7-7832-9558-3075c52f146a/archscry-current-state-2026-08-22/evidence/engine/traces/temur.json</x:v>
      </x:c>
    </x:row>
    <x:row r="38">
      <x:c r="A38" s="53" t="str">
        <x:v>DUNE</x:v>
      </x:c>
      <x:c r="B38" s="53" t="str">
        <x:v>Dune / Aggression</x:v>
      </x:c>
      <x:c r="C38" s="53" t="str">
        <x:v>NAMED_DOSSIER</x:v>
      </x:c>
      <x:c r="D38" s="53" t="str">
        <x:v>CURRENT_COMPATIBLE</x:v>
      </x:c>
      <x:c r="E38" s="53" t="n">
        <x:v>8</x:v>
      </x:c>
      <x:c r="F38" s="53" t="str">
        <x:v>DUNE</x:v>
      </x:c>
      <x:c r="G38" s="53" t="str">
        <x:v>PASS_MATCH</x:v>
      </x:c>
      <x:c r="H38" s="53" t="str">
        <x:v>primary</x:v>
      </x:c>
      <x:c r="I38" s="53" t="str">
        <x:v>current-best-fit</x:v>
      </x:c>
      <x:c r="J38" s="53" t="str">
        <x:v>DUNE</x:v>
      </x:c>
      <x:c r="K38" s="55" t="n">
        <x:v>1</x:v>
      </x:c>
      <x:c r="L38" s="54" t="b">
        <x:v>1</x:v>
      </x:c>
      <x:c r="M38" s="54" t="b">
        <x:v>1</x:v>
      </x:c>
      <x:c r="N38" s="53" t="str">
        <x:v>DUNE</x:v>
      </x:c>
      <x:c r="O38" s="53" t="str">
        <x:v>clear_separation</x:v>
      </x:c>
      <x:c r="P38" s="53" t="n">
        <x:v>0</x:v>
      </x:c>
      <x:c r="Q38" s="53" t="str">
        <x:v>no_approved_discriminator</x:v>
      </x:c>
      <x:c r="R38" s="53" t="str">
        <x:v>outputs/01a02cd6-bce7-7832-9558-3075c52f146a/archscry-current-state-2026-08-22/evidence/engine/traces/dune.json</x:v>
      </x:c>
    </x:row>
    <x:row r="39">
      <x:c r="A39" s="53" t="str">
        <x:v>GLINT</x:v>
      </x:c>
      <x:c r="B39" s="53" t="str">
        <x:v>Glint / Chaos</x:v>
      </x:c>
      <x:c r="C39" s="53" t="str">
        <x:v>NAMED_DOSSIER</x:v>
      </x:c>
      <x:c r="D39" s="53" t="str">
        <x:v>CURRENT_COMPATIBLE</x:v>
      </x:c>
      <x:c r="E39" s="53" t="n">
        <x:v>8</x:v>
      </x:c>
      <x:c r="F39" s="53" t="str">
        <x:v>GLINT</x:v>
      </x:c>
      <x:c r="G39" s="53" t="str">
        <x:v>PASS_MATCH</x:v>
      </x:c>
      <x:c r="H39" s="53" t="str">
        <x:v>primary</x:v>
      </x:c>
      <x:c r="I39" s="53" t="str">
        <x:v>current-best-fit</x:v>
      </x:c>
      <x:c r="J39" s="53" t="str">
        <x:v>GLINT</x:v>
      </x:c>
      <x:c r="K39" s="55" t="n">
        <x:v>0.916667</x:v>
      </x:c>
      <x:c r="L39" s="54" t="b">
        <x:v>1</x:v>
      </x:c>
      <x:c r="M39" s="54" t="b">
        <x:v>1</x:v>
      </x:c>
      <x:c r="N39" s="53" t="str">
        <x:v>GLINT</x:v>
      </x:c>
      <x:c r="O39" s="53" t="str">
        <x:v>clear_separation</x:v>
      </x:c>
      <x:c r="P39" s="53" t="n">
        <x:v>0</x:v>
      </x:c>
      <x:c r="Q39" s="53" t="str">
        <x:v>revisit_prior_answer</x:v>
      </x:c>
      <x:c r="R39" s="53" t="str">
        <x:v>outputs/01a02cd6-bce7-7832-9558-3075c52f146a/archscry-current-state-2026-08-22/evidence/engine/traces/glint.json</x:v>
      </x:c>
    </x:row>
    <x:row r="40">
      <x:c r="A40" s="53" t="str">
        <x:v>INK</x:v>
      </x:c>
      <x:c r="B40" s="53" t="str">
        <x:v>Ink / Altruism</x:v>
      </x:c>
      <x:c r="C40" s="53" t="str">
        <x:v>NAMED_DOSSIER</x:v>
      </x:c>
      <x:c r="D40" s="53" t="str">
        <x:v>CURRENT_COMPATIBLE</x:v>
      </x:c>
      <x:c r="E40" s="53" t="n">
        <x:v>8</x:v>
      </x:c>
      <x:c r="F40" s="53" t="str">
        <x:v>INK</x:v>
      </x:c>
      <x:c r="G40" s="53" t="str">
        <x:v>PASS_MATCH</x:v>
      </x:c>
      <x:c r="H40" s="53" t="str">
        <x:v>primary</x:v>
      </x:c>
      <x:c r="I40" s="53" t="str">
        <x:v>current-best-fit</x:v>
      </x:c>
      <x:c r="J40" s="53" t="str">
        <x:v>INK</x:v>
      </x:c>
      <x:c r="K40" s="55" t="n">
        <x:v>0.729167</x:v>
      </x:c>
      <x:c r="L40" s="54" t="b">
        <x:v>1</x:v>
      </x:c>
      <x:c r="M40" s="54" t="b">
        <x:v>1</x:v>
      </x:c>
      <x:c r="N40" s="53" t="str">
        <x:v>INK</x:v>
      </x:c>
      <x:c r="O40" s="53" t="str">
        <x:v>clear_separation</x:v>
      </x:c>
      <x:c r="P40" s="53" t="n">
        <x:v>0</x:v>
      </x:c>
      <x:c r="Q40" s="53" t="str">
        <x:v>no_approved_discriminator</x:v>
      </x:c>
      <x:c r="R40" s="53" t="str">
        <x:v>outputs/01a02cd6-bce7-7832-9558-3075c52f146a/archscry-current-state-2026-08-22/evidence/engine/traces/ink.json</x:v>
      </x:c>
    </x:row>
    <x:row r="41">
      <x:c r="A41" s="53" t="str">
        <x:v>WITCH</x:v>
      </x:c>
      <x:c r="B41" s="53" t="str">
        <x:v>Witch / Growth</x:v>
      </x:c>
      <x:c r="C41" s="53" t="str">
        <x:v>NAMED_DOSSIER</x:v>
      </x:c>
      <x:c r="D41" s="53" t="str">
        <x:v>CURRENT_COMPATIBLE</x:v>
      </x:c>
      <x:c r="E41" s="53" t="n">
        <x:v>10</x:v>
      </x:c>
      <x:c r="F41" s="53" t="str">
        <x:v>WITCH</x:v>
      </x:c>
      <x:c r="G41" s="53" t="str">
        <x:v>PASS_MATCH</x:v>
      </x:c>
      <x:c r="H41" s="53" t="str">
        <x:v>primary</x:v>
      </x:c>
      <x:c r="I41" s="53" t="str">
        <x:v>current-best-fit</x:v>
      </x:c>
      <x:c r="J41" s="53" t="str">
        <x:v>WITCH</x:v>
      </x:c>
      <x:c r="K41" s="55" t="n">
        <x:v>0.916667</x:v>
      </x:c>
      <x:c r="L41" s="54" t="b">
        <x:v>1</x:v>
      </x:c>
      <x:c r="M41" s="54" t="b">
        <x:v>1</x:v>
      </x:c>
      <x:c r="N41" s="53" t="str">
        <x:v>WITCH</x:v>
      </x:c>
      <x:c r="O41" s="53" t="str">
        <x:v>clear_separation</x:v>
      </x:c>
      <x:c r="P41" s="53" t="n">
        <x:v>2</x:v>
      </x:c>
      <x:c r="Q41" s="53" t="str">
        <x:v>no_approved_discriminator</x:v>
      </x:c>
      <x:c r="R41" s="53" t="str">
        <x:v>outputs/01a02cd6-bce7-7832-9558-3075c52f146a/archscry-current-state-2026-08-22/evidence/engine/traces/witch.json</x:v>
      </x:c>
    </x:row>
    <x:row r="42">
      <x:c r="A42" s="53" t="str">
        <x:v>YORE</x:v>
      </x:c>
      <x:c r="B42" s="53" t="str">
        <x:v>Yore / Artifice</x:v>
      </x:c>
      <x:c r="C42" s="53" t="str">
        <x:v>INTENTIONAL_BOUNDED_STATE</x:v>
      </x:c>
      <x:c r="D42" s="53" t="str">
        <x:v>CURRENT_COMPATIBLE</x:v>
      </x:c>
      <x:c r="E42" s="53" t="n">
        <x:v>8</x:v>
      </x:c>
      <x:c r="F42" s="53" t="str"/>
      <x:c r="G42" s="53" t="str">
        <x:v>NO_RESULT</x:v>
      </x:c>
      <x:c r="H42" s="53" t="str">
        <x:v>insufficient</x:v>
      </x:c>
      <x:c r="I42" s="53" t="str">
        <x:v>insufficient</x:v>
      </x:c>
      <x:c r="J42" s="53" t="str">
        <x:v>UB</x:v>
      </x:c>
      <x:c r="K42" s="55" t="n">
        <x:v>0.9375</x:v>
      </x:c>
      <x:c r="L42" s="54" t="b">
        <x:v>0</x:v>
      </x:c>
      <x:c r="M42" s="54" t="b">
        <x:v>0</x:v>
      </x:c>
      <x:c r="N42" s="53" t="str"/>
      <x:c r="O42" s="53" t="str">
        <x:v>no_responsible_named_placement</x:v>
      </x:c>
      <x:c r="P42" s="53" t="n">
        <x:v>0</x:v>
      </x:c>
      <x:c r="Q42" s="53" t="str">
        <x:v>ask_targeted_question</x:v>
      </x:c>
      <x:c r="R42" s="53" t="str">
        <x:v>outputs/01a02cd6-bce7-7832-9558-3075c52f146a/archscry-current-state-2026-08-22/evidence/engine/traces/yore.json</x:v>
      </x:c>
    </x:row>
    <x:row r="43">
      <x:c r="A43" s="53" t="str">
        <x:v>COLORLESS</x:v>
      </x:c>
      <x:c r="B43" s="53" t="str">
        <x:v>Colorless</x:v>
      </x:c>
      <x:c r="C43" s="53" t="str">
        <x:v>NAMED_DOSSIER</x:v>
      </x:c>
      <x:c r="D43" s="53" t="str">
        <x:v>CURRENT_COMPATIBLE</x:v>
      </x:c>
      <x:c r="E43" s="53" t="n">
        <x:v>8</x:v>
      </x:c>
      <x:c r="F43" s="53" t="str">
        <x:v>COLORLESS</x:v>
      </x:c>
      <x:c r="G43" s="53" t="str">
        <x:v>PASS_MATCH</x:v>
      </x:c>
      <x:c r="H43" s="53" t="str">
        <x:v>primary</x:v>
      </x:c>
      <x:c r="I43" s="53" t="str">
        <x:v>current-best-fit</x:v>
      </x:c>
      <x:c r="J43" s="53" t="str">
        <x:v>COLORLESS</x:v>
      </x:c>
      <x:c r="K43" s="55" t="n">
        <x:v>0.666667</x:v>
      </x:c>
      <x:c r="L43" s="54" t="b">
        <x:v>1</x:v>
      </x:c>
      <x:c r="M43" s="54" t="b">
        <x:v>1</x:v>
      </x:c>
      <x:c r="N43" s="53" t="str">
        <x:v>COLORLESS</x:v>
      </x:c>
      <x:c r="O43" s="53" t="str">
        <x:v>clear_separation</x:v>
      </x:c>
      <x:c r="P43" s="53" t="n">
        <x:v>0</x:v>
      </x:c>
      <x:c r="Q43" s="53" t="str">
        <x:v>no_approved_discriminator</x:v>
      </x:c>
      <x:c r="R43" s="53" t="str">
        <x:v>outputs/01a02cd6-bce7-7832-9558-3075c52f146a/archscry-current-state-2026-08-22/evidence/engine/traces/colorless.json</x:v>
      </x:c>
    </x:row>
    <x:row r="44">
      <x:c r="A44" s="53" t="str">
        <x:v>WUBRG</x:v>
      </x:c>
      <x:c r="B44" s="53" t="str">
        <x:v>Five-Color / WUBRG</x:v>
      </x:c>
      <x:c r="C44" s="53" t="str">
        <x:v>NAMED_DOSSIER</x:v>
      </x:c>
      <x:c r="D44" s="53" t="str">
        <x:v>CURRENT_COMPATIBLE</x:v>
      </x:c>
      <x:c r="E44" s="53" t="n">
        <x:v>8</x:v>
      </x:c>
      <x:c r="F44" s="53" t="str">
        <x:v>WUBRG</x:v>
      </x:c>
      <x:c r="G44" s="53" t="str">
        <x:v>PASS_MATCH</x:v>
      </x:c>
      <x:c r="H44" s="53" t="str">
        <x:v>primary</x:v>
      </x:c>
      <x:c r="I44" s="53" t="str">
        <x:v>current-best-fit</x:v>
      </x:c>
      <x:c r="J44" s="53" t="str">
        <x:v>WUBRG</x:v>
      </x:c>
      <x:c r="K44" s="55" t="n">
        <x:v>0.833333</x:v>
      </x:c>
      <x:c r="L44" s="54" t="b">
        <x:v>1</x:v>
      </x:c>
      <x:c r="M44" s="54" t="b">
        <x:v>1</x:v>
      </x:c>
      <x:c r="N44" s="53" t="str">
        <x:v>WUBRG</x:v>
      </x:c>
      <x:c r="O44" s="53" t="str">
        <x:v>single_named_direction_with_unresolved_alternatives</x:v>
      </x:c>
      <x:c r="P44" s="53" t="n">
        <x:v>0</x:v>
      </x:c>
      <x:c r="Q44" s="53" t="str">
        <x:v>no_approved_discriminator</x:v>
      </x:c>
      <x:c r="R44" s="53" t="str">
        <x:v>outputs/01a02cd6-bce7-7832-9558-3075c52f146a/archscry-current-state-2026-08-22/evidence/engine/traces/wubrg.json</x:v>
      </x:c>
    </x:row>
  </x:sheetData>
  <x:mergeCells>
    <x:mergeCell ref="A1:R1"/>
    <x:mergeCell ref="A2:R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26" hidden="0" customWidth="1"/>
    <x:col min="4" max="4" width="15" hidden="0" customWidth="1"/>
    <x:col min="5" max="5" width="15" hidden="0" customWidth="1"/>
    <x:col min="6" max="6" width="14" hidden="0" customWidth="1"/>
    <x:col min="7" max="7" width="55" hidden="0" customWidth="1"/>
    <x:col min="8" max="8" width="70" hidden="0" customWidth="1"/>
  </x:cols>
  <x:sheetData>
    <x:row r="1" ht="34" customHeight="1">
      <x:c r="A1" s="3" t="str">
        <x:v>Engine Exceptions</x:v>
      </x:c>
      <x:c r="B1" s="3"/>
      <x:c r="C1" s="3"/>
      <x:c r="D1" s="3"/>
      <x:c r="E1" s="3"/>
      <x:c r="F1" s="3"/>
      <x:c r="G1" s="3"/>
      <x:c r="H1" s="3"/>
    </x:row>
    <x:row r="2" ht="30" customHeight="1">
      <x:c r="A2" s="7" t="str">
        <x:v>Mismatches, stale/missing witnesses, errors, and intentional bounded results are separated.</x:v>
      </x:c>
      <x:c r="B2" s="7"/>
      <x:c r="C2" s="7"/>
      <x:c r="D2" s="7"/>
      <x:c r="E2" s="7"/>
      <x:c r="F2" s="7"/>
      <x:c r="G2" s="7"/>
      <x:c r="H2" s="7"/>
    </x:row>
    <x:row r="4" ht="28" customHeight="1">
      <x:c r="A4" s="45" t="str">
        <x:v>Audit ID</x:v>
      </x:c>
      <x:c r="B4" s="45" t="str">
        <x:v>Key</x:v>
      </x:c>
      <x:c r="C4" s="45" t="str">
        <x:v>Identity</x:v>
      </x:c>
      <x:c r="D4" s="45" t="str">
        <x:v>Match</x:v>
      </x:c>
      <x:c r="E4" s="45" t="str">
        <x:v>State</x:v>
      </x:c>
      <x:c r="F4" s="45" t="str">
        <x:v>Actual</x:v>
      </x:c>
      <x:c r="G4" s="45" t="str">
        <x:v>Reason</x:v>
      </x:c>
      <x:c r="H4" s="45" t="str">
        <x:v>Trace</x:v>
      </x:c>
    </x:row>
    <x:row r="5">
      <x:c r="A5" s="53" t="str">
        <x:v>ENGINE-YORE</x:v>
      </x:c>
      <x:c r="B5" s="53" t="str">
        <x:v>YORE</x:v>
      </x:c>
      <x:c r="C5" s="53" t="str">
        <x:v>Yore / Artifice</x:v>
      </x:c>
      <x:c r="D5" s="53" t="str">
        <x:v>NO_RESULT</x:v>
      </x:c>
      <x:c r="E5" s="53" t="str">
        <x:v>insufficient</x:v>
      </x:c>
      <x:c r="F5" s="53" t="str"/>
      <x:c r="G5" s="53" t="str">
        <x:v>no_responsible_named_placement</x:v>
      </x:c>
      <x:c r="H5" s="53" t="str">
        <x:v>outputs/01a02cd6-bce7-7832-9558-3075c52f146a/archscry-current-state-2026-08-22/evidence/engine/traces/yore.json</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25" hidden="0" customWidth="1"/>
    <x:col min="4" max="4" width="22" hidden="0" customWidth="1"/>
    <x:col min="5" max="5" width="9" hidden="0" customWidth="1"/>
    <x:col min="6" max="6" width="8" hidden="0" customWidth="1"/>
    <x:col min="7" max="7" width="9" hidden="0" customWidth="1"/>
    <x:col min="8" max="8" width="65" hidden="0" customWidth="1"/>
    <x:col min="9" max="9" width="67" hidden="0" customWidth="1"/>
    <x:col min="10" max="10" width="36" hidden="0" customWidth="1"/>
    <x:col min="11" max="11" width="67" hidden="0" customWidth="1"/>
  </x:cols>
  <x:sheetData>
    <x:row r="1" ht="34" customHeight="1">
      <x:c r="A1" s="3" t="str">
        <x:v>Witness Inventory</x:v>
      </x:c>
      <x:c r="B1" s="3"/>
      <x:c r="C1" s="3"/>
      <x:c r="D1" s="3"/>
      <x:c r="E1" s="3"/>
      <x:c r="F1" s="3"/>
      <x:c r="G1" s="3"/>
      <x:c r="H1" s="3"/>
      <x:c r="I1" s="3"/>
      <x:c r="J1" s="3"/>
      <x:c r="K1" s="3"/>
    </x:row>
    <x:row r="2" ht="30" customHeight="1">
      <x:c r="A2" s="7" t="str">
        <x:v>Only current-compatible real engine witnesses are included; authored preview routes are excluded.</x:v>
      </x:c>
      <x:c r="B2" s="7"/>
      <x:c r="C2" s="7"/>
      <x:c r="D2" s="7"/>
      <x:c r="E2" s="7"/>
      <x:c r="F2" s="7"/>
      <x:c r="G2" s="7"/>
      <x:c r="H2" s="7"/>
      <x:c r="I2" s="7"/>
      <x:c r="J2" s="7"/>
      <x:c r="K2" s="7"/>
    </x:row>
    <x:row r="4" ht="28" customHeight="1">
      <x:c r="A4" s="45" t="str">
        <x:v>Key</x:v>
      </x:c>
      <x:c r="B4" s="45" t="str">
        <x:v>Identity</x:v>
      </x:c>
      <x:c r="C4" s="45" t="str">
        <x:v>Public Contract</x:v>
      </x:c>
      <x:c r="D4" s="45" t="str">
        <x:v>Status</x:v>
      </x:c>
      <x:c r="E4" s="45" t="str">
        <x:v>Answers</x:v>
      </x:c>
      <x:c r="F4" s="45" t="str">
        <x:v>Main</x:v>
      </x:c>
      <x:c r="G4" s="45" t="str">
        <x:v>Refine</x:v>
      </x:c>
      <x:c r="H4" s="45" t="str">
        <x:v>Witness Source</x:v>
      </x:c>
      <x:c r="I4" s="45" t="str">
        <x:v>Witness SHA-256</x:v>
      </x:c>
      <x:c r="J4" s="45" t="str">
        <x:v>Model Source</x:v>
      </x:c>
      <x:c r="K4" s="45" t="str">
        <x:v>Model SHA-256</x:v>
      </x:c>
    </x:row>
    <x:row r="5">
      <x:c r="A5" s="53" t="str">
        <x:v>W</x:v>
      </x:c>
      <x:c r="B5" s="53" t="str">
        <x:v>White</x:v>
      </x:c>
      <x:c r="C5" s="53" t="str">
        <x:v>NAMED_DOSSIER</x:v>
      </x:c>
      <x:c r="D5" s="53" t="str">
        <x:v>CURRENT_COMPATIBLE</x:v>
      </x:c>
      <x:c r="E5" s="53" t="n">
        <x:v>6</x:v>
      </x:c>
      <x:c r="F5" s="53" t="n">
        <x:v>6</x:v>
      </x:c>
      <x:c r="G5" s="53" t="n">
        <x:v>0</x:v>
      </x:c>
      <x:c r="H5" s="53" t="str">
        <x:v>docs/audits/vm551-all-37-dossier-closeout/live-placement-witnesses.json</x:v>
      </x:c>
      <x:c r="I5" s="53" t="str">
        <x:v>3eb7607343fa4787c6e8df0f2f7babd7e2115293f13b5e5474961e237de755af</x:v>
      </x:c>
      <x:c r="J5" s="53" t="str">
        <x:v>data/gate-b1-placement-model.json</x:v>
      </x:c>
      <x:c r="K5" s="53" t="str">
        <x:v>1369c33417d92a4496a65694985d7e315d9f334d81f9c559a3f10c8d046583ea</x:v>
      </x:c>
    </x:row>
    <x:row r="6">
      <x:c r="A6" s="53" t="str">
        <x:v>U</x:v>
      </x:c>
      <x:c r="B6" s="53" t="str">
        <x:v>Blue</x:v>
      </x:c>
      <x:c r="C6" s="53" t="str">
        <x:v>NAMED_DOSSIER</x:v>
      </x:c>
      <x:c r="D6" s="53" t="str">
        <x:v>CURRENT_COMPATIBLE</x:v>
      </x:c>
      <x:c r="E6" s="53" t="n">
        <x:v>7</x:v>
      </x:c>
      <x:c r="F6" s="53" t="n">
        <x:v>7</x:v>
      </x:c>
      <x:c r="G6" s="53" t="n">
        <x:v>0</x:v>
      </x:c>
      <x:c r="H6" s="53" t="str">
        <x:v>docs/audits/vm551-all-37-dossier-closeout/live-placement-witnesses.json</x:v>
      </x:c>
      <x:c r="I6" s="53" t="str">
        <x:v>3eb7607343fa4787c6e8df0f2f7babd7e2115293f13b5e5474961e237de755af</x:v>
      </x:c>
      <x:c r="J6" s="53" t="str">
        <x:v>data/gate-b1-placement-model.json</x:v>
      </x:c>
      <x:c r="K6" s="53" t="str">
        <x:v>1369c33417d92a4496a65694985d7e315d9f334d81f9c559a3f10c8d046583ea</x:v>
      </x:c>
    </x:row>
    <x:row r="7">
      <x:c r="A7" s="53" t="str">
        <x:v>B</x:v>
      </x:c>
      <x:c r="B7" s="53" t="str">
        <x:v>Black</x:v>
      </x:c>
      <x:c r="C7" s="53" t="str">
        <x:v>NAMED_DOSSIER</x:v>
      </x:c>
      <x:c r="D7" s="53" t="str">
        <x:v>CURRENT_COMPATIBLE</x:v>
      </x:c>
      <x:c r="E7" s="53" t="n">
        <x:v>8</x:v>
      </x:c>
      <x:c r="F7" s="53" t="n">
        <x:v>8</x:v>
      </x:c>
      <x:c r="G7" s="53" t="n">
        <x:v>0</x:v>
      </x:c>
      <x:c r="H7" s="53" t="str">
        <x:v>docs/audits/vm551-all-37-dossier-closeout/live-placement-witnesses.json</x:v>
      </x:c>
      <x:c r="I7" s="53" t="str">
        <x:v>3eb7607343fa4787c6e8df0f2f7babd7e2115293f13b5e5474961e237de755af</x:v>
      </x:c>
      <x:c r="J7" s="53" t="str">
        <x:v>data/gate-b1-placement-model.json</x:v>
      </x:c>
      <x:c r="K7" s="53" t="str">
        <x:v>1369c33417d92a4496a65694985d7e315d9f334d81f9c559a3f10c8d046583ea</x:v>
      </x:c>
    </x:row>
    <x:row r="8">
      <x:c r="A8" s="53" t="str">
        <x:v>R</x:v>
      </x:c>
      <x:c r="B8" s="53" t="str">
        <x:v>Red</x:v>
      </x:c>
      <x:c r="C8" s="53" t="str">
        <x:v>NAMED_DOSSIER</x:v>
      </x:c>
      <x:c r="D8" s="53" t="str">
        <x:v>CURRENT_COMPATIBLE</x:v>
      </x:c>
      <x:c r="E8" s="53" t="n">
        <x:v>8</x:v>
      </x:c>
      <x:c r="F8" s="53" t="n">
        <x:v>8</x:v>
      </x:c>
      <x:c r="G8" s="53" t="n">
        <x:v>0</x:v>
      </x:c>
      <x:c r="H8" s="53" t="str">
        <x:v>docs/audits/vm551-all-37-dossier-closeout/live-placement-witnesses.json</x:v>
      </x:c>
      <x:c r="I8" s="53" t="str">
        <x:v>3eb7607343fa4787c6e8df0f2f7babd7e2115293f13b5e5474961e237de755af</x:v>
      </x:c>
      <x:c r="J8" s="53" t="str">
        <x:v>data/gate-b1-placement-model.json</x:v>
      </x:c>
      <x:c r="K8" s="53" t="str">
        <x:v>1369c33417d92a4496a65694985d7e315d9f334d81f9c559a3f10c8d046583ea</x:v>
      </x:c>
    </x:row>
    <x:row r="9">
      <x:c r="A9" s="53" t="str">
        <x:v>G</x:v>
      </x:c>
      <x:c r="B9" s="53" t="str">
        <x:v>Green</x:v>
      </x:c>
      <x:c r="C9" s="53" t="str">
        <x:v>NAMED_DOSSIER</x:v>
      </x:c>
      <x:c r="D9" s="53" t="str">
        <x:v>CURRENT_COMPATIBLE</x:v>
      </x:c>
      <x:c r="E9" s="53" t="n">
        <x:v>8</x:v>
      </x:c>
      <x:c r="F9" s="53" t="n">
        <x:v>8</x:v>
      </x:c>
      <x:c r="G9" s="53" t="n">
        <x:v>0</x:v>
      </x:c>
      <x:c r="H9" s="53" t="str">
        <x:v>docs/audits/vm551-all-37-dossier-closeout/live-placement-witnesses.json</x:v>
      </x:c>
      <x:c r="I9" s="53" t="str">
        <x:v>3eb7607343fa4787c6e8df0f2f7babd7e2115293f13b5e5474961e237de755af</x:v>
      </x:c>
      <x:c r="J9" s="53" t="str">
        <x:v>data/gate-b1-placement-model.json</x:v>
      </x:c>
      <x:c r="K9" s="53" t="str">
        <x:v>1369c33417d92a4496a65694985d7e315d9f334d81f9c559a3f10c8d046583ea</x:v>
      </x:c>
    </x:row>
    <x:row r="10">
      <x:c r="A10" s="53" t="str">
        <x:v>WU</x:v>
      </x:c>
      <x:c r="B10" s="53" t="str">
        <x:v>Azorius Senate</x:v>
      </x:c>
      <x:c r="C10" s="53" t="str">
        <x:v>NAMED_DOSSIER</x:v>
      </x:c>
      <x:c r="D10" s="53" t="str">
        <x:v>CURRENT_COMPATIBLE</x:v>
      </x:c>
      <x:c r="E10" s="53" t="n">
        <x:v>7</x:v>
      </x:c>
      <x:c r="F10" s="53" t="n">
        <x:v>7</x:v>
      </x:c>
      <x:c r="G10" s="53" t="n">
        <x:v>0</x:v>
      </x:c>
      <x:c r="H10" s="53" t="str">
        <x:v>docs/audits/vm551-all-37-dossier-closeout/live-placement-witnesses.json</x:v>
      </x:c>
      <x:c r="I10" s="53" t="str">
        <x:v>3eb7607343fa4787c6e8df0f2f7babd7e2115293f13b5e5474961e237de755af</x:v>
      </x:c>
      <x:c r="J10" s="53" t="str">
        <x:v>data/gate-b1-placement-model.json</x:v>
      </x:c>
      <x:c r="K10" s="53" t="str">
        <x:v>1369c33417d92a4496a65694985d7e315d9f334d81f9c559a3f10c8d046583ea</x:v>
      </x:c>
    </x:row>
    <x:row r="11">
      <x:c r="A11" s="53" t="str">
        <x:v>WR</x:v>
      </x:c>
      <x:c r="B11" s="53" t="str">
        <x:v>Boros Legion</x:v>
      </x:c>
      <x:c r="C11" s="53" t="str">
        <x:v>NAMED_DOSSIER</x:v>
      </x:c>
      <x:c r="D11" s="53" t="str">
        <x:v>CURRENT_COMPATIBLE</x:v>
      </x:c>
      <x:c r="E11" s="53" t="n">
        <x:v>8</x:v>
      </x:c>
      <x:c r="F11" s="53" t="n">
        <x:v>8</x:v>
      </x:c>
      <x:c r="G11" s="53" t="n">
        <x:v>0</x:v>
      </x:c>
      <x:c r="H11" s="53" t="str">
        <x:v>docs/audits/vm551-all-37-dossier-closeout/live-placement-witnesses.json</x:v>
      </x:c>
      <x:c r="I11" s="53" t="str">
        <x:v>3eb7607343fa4787c6e8df0f2f7babd7e2115293f13b5e5474961e237de755af</x:v>
      </x:c>
      <x:c r="J11" s="53" t="str">
        <x:v>data/gate-b1-placement-model.json</x:v>
      </x:c>
      <x:c r="K11" s="53" t="str">
        <x:v>1369c33417d92a4496a65694985d7e315d9f334d81f9c559a3f10c8d046583ea</x:v>
      </x:c>
    </x:row>
    <x:row r="12">
      <x:c r="A12" s="53" t="str">
        <x:v>BR</x:v>
      </x:c>
      <x:c r="B12" s="53" t="str">
        <x:v>Cult of Rakdos</x:v>
      </x:c>
      <x:c r="C12" s="53" t="str">
        <x:v>NAMED_DOSSIER</x:v>
      </x:c>
      <x:c r="D12" s="53" t="str">
        <x:v>CURRENT_COMPATIBLE</x:v>
      </x:c>
      <x:c r="E12" s="53" t="n">
        <x:v>6</x:v>
      </x:c>
      <x:c r="F12" s="53" t="n">
        <x:v>6</x:v>
      </x:c>
      <x:c r="G12" s="53" t="n">
        <x:v>0</x:v>
      </x:c>
      <x:c r="H12" s="53" t="str">
        <x:v>docs/audits/vm551-all-37-dossier-closeout/live-placement-witnesses.json</x:v>
      </x:c>
      <x:c r="I12" s="53" t="str">
        <x:v>3eb7607343fa4787c6e8df0f2f7babd7e2115293f13b5e5474961e237de755af</x:v>
      </x:c>
      <x:c r="J12" s="53" t="str">
        <x:v>data/gate-b1-placement-model.json</x:v>
      </x:c>
      <x:c r="K12" s="53" t="str">
        <x:v>1369c33417d92a4496a65694985d7e315d9f334d81f9c559a3f10c8d046583ea</x:v>
      </x:c>
    </x:row>
    <x:row r="13">
      <x:c r="A13" s="53" t="str">
        <x:v>BG</x:v>
      </x:c>
      <x:c r="B13" s="53" t="str">
        <x:v>Golgari Swarm</x:v>
      </x:c>
      <x:c r="C13" s="53" t="str">
        <x:v>NAMED_DOSSIER</x:v>
      </x:c>
      <x:c r="D13" s="53" t="str">
        <x:v>CURRENT_COMPATIBLE</x:v>
      </x:c>
      <x:c r="E13" s="53" t="n">
        <x:v>8</x:v>
      </x:c>
      <x:c r="F13" s="53" t="n">
        <x:v>8</x:v>
      </x:c>
      <x:c r="G13" s="53" t="n">
        <x:v>0</x:v>
      </x:c>
      <x:c r="H13" s="53" t="str">
        <x:v>docs/audits/vm551-all-37-dossier-closeout/live-placement-witnesses.json</x:v>
      </x:c>
      <x:c r="I13" s="53" t="str">
        <x:v>3eb7607343fa4787c6e8df0f2f7babd7e2115293f13b5e5474961e237de755af</x:v>
      </x:c>
      <x:c r="J13" s="53" t="str">
        <x:v>data/gate-b1-placement-model.json</x:v>
      </x:c>
      <x:c r="K13" s="53" t="str">
        <x:v>1369c33417d92a4496a65694985d7e315d9f334d81f9c559a3f10c8d046583ea</x:v>
      </x:c>
    </x:row>
    <x:row r="14">
      <x:c r="A14" s="53" t="str">
        <x:v>RG</x:v>
      </x:c>
      <x:c r="B14" s="53" t="str">
        <x:v>Gruul Clans</x:v>
      </x:c>
      <x:c r="C14" s="53" t="str">
        <x:v>NAMED_DOSSIER</x:v>
      </x:c>
      <x:c r="D14" s="53" t="str">
        <x:v>CURRENT_COMPATIBLE</x:v>
      </x:c>
      <x:c r="E14" s="53" t="n">
        <x:v>6</x:v>
      </x:c>
      <x:c r="F14" s="53" t="n">
        <x:v>6</x:v>
      </x:c>
      <x:c r="G14" s="53" t="n">
        <x:v>0</x:v>
      </x:c>
      <x:c r="H14" s="53" t="str">
        <x:v>docs/audits/vm551-all-37-dossier-closeout/live-placement-witnesses.json</x:v>
      </x:c>
      <x:c r="I14" s="53" t="str">
        <x:v>3eb7607343fa4787c6e8df0f2f7babd7e2115293f13b5e5474961e237de755af</x:v>
      </x:c>
      <x:c r="J14" s="53" t="str">
        <x:v>data/gate-b1-placement-model.json</x:v>
      </x:c>
      <x:c r="K14" s="53" t="str">
        <x:v>1369c33417d92a4496a65694985d7e315d9f334d81f9c559a3f10c8d046583ea</x:v>
      </x:c>
    </x:row>
    <x:row r="15">
      <x:c r="A15" s="53" t="str">
        <x:v>UB</x:v>
      </x:c>
      <x:c r="B15" s="53" t="str">
        <x:v>House Dimir</x:v>
      </x:c>
      <x:c r="C15" s="53" t="str">
        <x:v>NAMED_DOSSIER</x:v>
      </x:c>
      <x:c r="D15" s="53" t="str">
        <x:v>CURRENT_COMPATIBLE</x:v>
      </x:c>
      <x:c r="E15" s="53" t="n">
        <x:v>7</x:v>
      </x:c>
      <x:c r="F15" s="53" t="n">
        <x:v>7</x:v>
      </x:c>
      <x:c r="G15" s="53" t="n">
        <x:v>0</x:v>
      </x:c>
      <x:c r="H15" s="53" t="str">
        <x:v>docs/audits/vm551-all-37-dossier-closeout/live-placement-witnesses.json</x:v>
      </x:c>
      <x:c r="I15" s="53" t="str">
        <x:v>3eb7607343fa4787c6e8df0f2f7babd7e2115293f13b5e5474961e237de755af</x:v>
      </x:c>
      <x:c r="J15" s="53" t="str">
        <x:v>data/gate-b1-placement-model.json</x:v>
      </x:c>
      <x:c r="K15" s="53" t="str">
        <x:v>1369c33417d92a4496a65694985d7e315d9f334d81f9c559a3f10c8d046583ea</x:v>
      </x:c>
    </x:row>
    <x:row r="16">
      <x:c r="A16" s="53" t="str">
        <x:v>UR</x:v>
      </x:c>
      <x:c r="B16" s="53" t="str">
        <x:v>Izzet League</x:v>
      </x:c>
      <x:c r="C16" s="53" t="str">
        <x:v>NAMED_DOSSIER</x:v>
      </x:c>
      <x:c r="D16" s="53" t="str">
        <x:v>CURRENT_COMPATIBLE</x:v>
      </x:c>
      <x:c r="E16" s="53" t="n">
        <x:v>8</x:v>
      </x:c>
      <x:c r="F16" s="53" t="n">
        <x:v>8</x:v>
      </x:c>
      <x:c r="G16" s="53" t="n">
        <x:v>0</x:v>
      </x:c>
      <x:c r="H16" s="53" t="str">
        <x:v>docs/audits/vm551-all-37-dossier-closeout/live-placement-witnesses.json</x:v>
      </x:c>
      <x:c r="I16" s="53" t="str">
        <x:v>3eb7607343fa4787c6e8df0f2f7babd7e2115293f13b5e5474961e237de755af</x:v>
      </x:c>
      <x:c r="J16" s="53" t="str">
        <x:v>data/gate-b1-placement-model.json</x:v>
      </x:c>
      <x:c r="K16" s="53" t="str">
        <x:v>1369c33417d92a4496a65694985d7e315d9f334d81f9c559a3f10c8d046583ea</x:v>
      </x:c>
    </x:row>
    <x:row r="17">
      <x:c r="A17" s="53" t="str">
        <x:v>WB</x:v>
      </x:c>
      <x:c r="B17" s="53" t="str">
        <x:v>Orzhov Syndicate</x:v>
      </x:c>
      <x:c r="C17" s="53" t="str">
        <x:v>NAMED_DOSSIER</x:v>
      </x:c>
      <x:c r="D17" s="53" t="str">
        <x:v>CURRENT_COMPATIBLE</x:v>
      </x:c>
      <x:c r="E17" s="53" t="n">
        <x:v>8</x:v>
      </x:c>
      <x:c r="F17" s="53" t="n">
        <x:v>8</x:v>
      </x:c>
      <x:c r="G17" s="53" t="n">
        <x:v>0</x:v>
      </x:c>
      <x:c r="H17" s="53" t="str">
        <x:v>docs/audits/vm551-all-37-dossier-closeout/live-placement-witnesses.json</x:v>
      </x:c>
      <x:c r="I17" s="53" t="str">
        <x:v>3eb7607343fa4787c6e8df0f2f7babd7e2115293f13b5e5474961e237de755af</x:v>
      </x:c>
      <x:c r="J17" s="53" t="str">
        <x:v>data/gate-b1-placement-model.json</x:v>
      </x:c>
      <x:c r="K17" s="53" t="str">
        <x:v>1369c33417d92a4496a65694985d7e315d9f334d81f9c559a3f10c8d046583ea</x:v>
      </x:c>
    </x:row>
    <x:row r="18">
      <x:c r="A18" s="53" t="str">
        <x:v>WG</x:v>
      </x:c>
      <x:c r="B18" s="53" t="str">
        <x:v>Selesnya Conclave</x:v>
      </x:c>
      <x:c r="C18" s="53" t="str">
        <x:v>NAMED_DOSSIER</x:v>
      </x:c>
      <x:c r="D18" s="53" t="str">
        <x:v>CURRENT_COMPATIBLE</x:v>
      </x:c>
      <x:c r="E18" s="53" t="n">
        <x:v>7</x:v>
      </x:c>
      <x:c r="F18" s="53" t="n">
        <x:v>7</x:v>
      </x:c>
      <x:c r="G18" s="53" t="n">
        <x:v>0</x:v>
      </x:c>
      <x:c r="H18" s="53" t="str">
        <x:v>docs/audits/vm551-all-37-dossier-closeout/live-placement-witnesses.json</x:v>
      </x:c>
      <x:c r="I18" s="53" t="str">
        <x:v>3eb7607343fa4787c6e8df0f2f7babd7e2115293f13b5e5474961e237de755af</x:v>
      </x:c>
      <x:c r="J18" s="53" t="str">
        <x:v>data/gate-b1-placement-model.json</x:v>
      </x:c>
      <x:c r="K18" s="53" t="str">
        <x:v>1369c33417d92a4496a65694985d7e315d9f334d81f9c559a3f10c8d046583ea</x:v>
      </x:c>
    </x:row>
    <x:row r="19">
      <x:c r="A19" s="53" t="str">
        <x:v>UG</x:v>
      </x:c>
      <x:c r="B19" s="53" t="str">
        <x:v>Simic Combine</x:v>
      </x:c>
      <x:c r="C19" s="53" t="str">
        <x:v>NAMED_DOSSIER</x:v>
      </x:c>
      <x:c r="D19" s="53" t="str">
        <x:v>CURRENT_COMPATIBLE</x:v>
      </x:c>
      <x:c r="E19" s="53" t="n">
        <x:v>8</x:v>
      </x:c>
      <x:c r="F19" s="53" t="n">
        <x:v>8</x:v>
      </x:c>
      <x:c r="G19" s="53" t="n">
        <x:v>0</x:v>
      </x:c>
      <x:c r="H19" s="53" t="str">
        <x:v>docs/audits/vm551-all-37-dossier-closeout/live-placement-witnesses.json</x:v>
      </x:c>
      <x:c r="I19" s="53" t="str">
        <x:v>3eb7607343fa4787c6e8df0f2f7babd7e2115293f13b5e5474961e237de755af</x:v>
      </x:c>
      <x:c r="J19" s="53" t="str">
        <x:v>data/gate-b1-placement-model.json</x:v>
      </x:c>
      <x:c r="K19" s="53" t="str">
        <x:v>1369c33417d92a4496a65694985d7e315d9f334d81f9c559a3f10c8d046583ea</x:v>
      </x:c>
    </x:row>
    <x:row r="20">
      <x:c r="A20" s="53" t="str">
        <x:v>LOREHOLD</x:v>
      </x:c>
      <x:c r="B20" s="53" t="str">
        <x:v>Lorehold College</x:v>
      </x:c>
      <x:c r="C20" s="53" t="str">
        <x:v>NAMED_DOSSIER</x:v>
      </x:c>
      <x:c r="D20" s="53" t="str">
        <x:v>CURRENT_COMPATIBLE</x:v>
      </x:c>
      <x:c r="E20" s="53" t="n">
        <x:v>9</x:v>
      </x:c>
      <x:c r="F20" s="53" t="n">
        <x:v>8</x:v>
      </x:c>
      <x:c r="G20" s="53" t="n">
        <x:v>1</x:v>
      </x:c>
      <x:c r="H20" s="53" t="str">
        <x:v>docs/audits/vm551-all-37-dossier-closeout/live-placement-witnesses.json</x:v>
      </x:c>
      <x:c r="I20" s="53" t="str">
        <x:v>3eb7607343fa4787c6e8df0f2f7babd7e2115293f13b5e5474961e237de755af</x:v>
      </x:c>
      <x:c r="J20" s="53" t="str">
        <x:v>data/gate-b1-placement-model.json</x:v>
      </x:c>
      <x:c r="K20" s="53" t="str">
        <x:v>1369c33417d92a4496a65694985d7e315d9f334d81f9c559a3f10c8d046583ea</x:v>
      </x:c>
    </x:row>
    <x:row r="21">
      <x:c r="A21" s="53" t="str">
        <x:v>PRISMARI</x:v>
      </x:c>
      <x:c r="B21" s="53" t="str">
        <x:v>Prismari College</x:v>
      </x:c>
      <x:c r="C21" s="53" t="str">
        <x:v>NAMED_DOSSIER</x:v>
      </x:c>
      <x:c r="D21" s="53" t="str">
        <x:v>CURRENT_COMPATIBLE</x:v>
      </x:c>
      <x:c r="E21" s="53" t="n">
        <x:v>8</x:v>
      </x:c>
      <x:c r="F21" s="53" t="n">
        <x:v>8</x:v>
      </x:c>
      <x:c r="G21" s="53" t="n">
        <x:v>0</x:v>
      </x:c>
      <x:c r="H21" s="53" t="str">
        <x:v>docs/audits/vm551-all-37-dossier-closeout/live-placement-witnesses.json</x:v>
      </x:c>
      <x:c r="I21" s="53" t="str">
        <x:v>3eb7607343fa4787c6e8df0f2f7babd7e2115293f13b5e5474961e237de755af</x:v>
      </x:c>
      <x:c r="J21" s="53" t="str">
        <x:v>data/gate-b1-placement-model.json</x:v>
      </x:c>
      <x:c r="K21" s="53" t="str">
        <x:v>1369c33417d92a4496a65694985d7e315d9f334d81f9c559a3f10c8d046583ea</x:v>
      </x:c>
    </x:row>
    <x:row r="22">
      <x:c r="A22" s="53" t="str">
        <x:v>QUANDRIX</x:v>
      </x:c>
      <x:c r="B22" s="53" t="str">
        <x:v>Quandrix College</x:v>
      </x:c>
      <x:c r="C22" s="53" t="str">
        <x:v>NAMED_DOSSIER</x:v>
      </x:c>
      <x:c r="D22" s="53" t="str">
        <x:v>CURRENT_COMPATIBLE</x:v>
      </x:c>
      <x:c r="E22" s="53" t="n">
        <x:v>8</x:v>
      </x:c>
      <x:c r="F22" s="53" t="n">
        <x:v>8</x:v>
      </x:c>
      <x:c r="G22" s="53" t="n">
        <x:v>0</x:v>
      </x:c>
      <x:c r="H22" s="53" t="str">
        <x:v>docs/audits/vm551-all-37-dossier-closeout/live-placement-witnesses.json</x:v>
      </x:c>
      <x:c r="I22" s="53" t="str">
        <x:v>3eb7607343fa4787c6e8df0f2f7babd7e2115293f13b5e5474961e237de755af</x:v>
      </x:c>
      <x:c r="J22" s="53" t="str">
        <x:v>data/gate-b1-placement-model.json</x:v>
      </x:c>
      <x:c r="K22" s="53" t="str">
        <x:v>1369c33417d92a4496a65694985d7e315d9f334d81f9c559a3f10c8d046583ea</x:v>
      </x:c>
    </x:row>
    <x:row r="23">
      <x:c r="A23" s="53" t="str">
        <x:v>SILVERQUILL</x:v>
      </x:c>
      <x:c r="B23" s="53" t="str">
        <x:v>Silverquill College</x:v>
      </x:c>
      <x:c r="C23" s="53" t="str">
        <x:v>NAMED_DOSSIER</x:v>
      </x:c>
      <x:c r="D23" s="53" t="str">
        <x:v>CURRENT_COMPATIBLE</x:v>
      </x:c>
      <x:c r="E23" s="53" t="n">
        <x:v>8</x:v>
      </x:c>
      <x:c r="F23" s="53" t="n">
        <x:v>8</x:v>
      </x:c>
      <x:c r="G23" s="53" t="n">
        <x:v>0</x:v>
      </x:c>
      <x:c r="H23" s="53" t="str">
        <x:v>docs/audits/vm551-all-37-dossier-closeout/live-placement-witnesses.json</x:v>
      </x:c>
      <x:c r="I23" s="53" t="str">
        <x:v>3eb7607343fa4787c6e8df0f2f7babd7e2115293f13b5e5474961e237de755af</x:v>
      </x:c>
      <x:c r="J23" s="53" t="str">
        <x:v>data/gate-b1-placement-model.json</x:v>
      </x:c>
      <x:c r="K23" s="53" t="str">
        <x:v>1369c33417d92a4496a65694985d7e315d9f334d81f9c559a3f10c8d046583ea</x:v>
      </x:c>
    </x:row>
    <x:row r="24">
      <x:c r="A24" s="53" t="str">
        <x:v>WITHERBLOOM</x:v>
      </x:c>
      <x:c r="B24" s="53" t="str">
        <x:v>Witherbloom College</x:v>
      </x:c>
      <x:c r="C24" s="53" t="str">
        <x:v>NAMED_DOSSIER</x:v>
      </x:c>
      <x:c r="D24" s="53" t="str">
        <x:v>CURRENT_COMPATIBLE</x:v>
      </x:c>
      <x:c r="E24" s="53" t="n">
        <x:v>8</x:v>
      </x:c>
      <x:c r="F24" s="53" t="n">
        <x:v>8</x:v>
      </x:c>
      <x:c r="G24" s="53" t="n">
        <x:v>0</x:v>
      </x:c>
      <x:c r="H24" s="53" t="str">
        <x:v>docs/audits/vm551-all-37-dossier-closeout/live-placement-witnesses.json</x:v>
      </x:c>
      <x:c r="I24" s="53" t="str">
        <x:v>3eb7607343fa4787c6e8df0f2f7babd7e2115293f13b5e5474961e237de755af</x:v>
      </x:c>
      <x:c r="J24" s="53" t="str">
        <x:v>data/gate-b1-placement-model.json</x:v>
      </x:c>
      <x:c r="K24" s="53" t="str">
        <x:v>1369c33417d92a4496a65694985d7e315d9f334d81f9c559a3f10c8d046583ea</x:v>
      </x:c>
    </x:row>
    <x:row r="25">
      <x:c r="A25" s="53" t="str">
        <x:v>BANT</x:v>
      </x:c>
      <x:c r="B25" s="53" t="str">
        <x:v>Bant</x:v>
      </x:c>
      <x:c r="C25" s="53" t="str">
        <x:v>NAMED_DOSSIER</x:v>
      </x:c>
      <x:c r="D25" s="53" t="str">
        <x:v>CURRENT_COMPATIBLE</x:v>
      </x:c>
      <x:c r="E25" s="53" t="n">
        <x:v>8</x:v>
      </x:c>
      <x:c r="F25" s="53" t="n">
        <x:v>8</x:v>
      </x:c>
      <x:c r="G25" s="53" t="n">
        <x:v>0</x:v>
      </x:c>
      <x:c r="H25" s="53" t="str">
        <x:v>docs/audits/vm551-all-37-dossier-closeout/live-placement-witnesses.json</x:v>
      </x:c>
      <x:c r="I25" s="53" t="str">
        <x:v>3eb7607343fa4787c6e8df0f2f7babd7e2115293f13b5e5474961e237de755af</x:v>
      </x:c>
      <x:c r="J25" s="53" t="str">
        <x:v>data/gate-b1-placement-model.json</x:v>
      </x:c>
      <x:c r="K25" s="53" t="str">
        <x:v>1369c33417d92a4496a65694985d7e315d9f334d81f9c559a3f10c8d046583ea</x:v>
      </x:c>
    </x:row>
    <x:row r="26">
      <x:c r="A26" s="53" t="str">
        <x:v>ESPER</x:v>
      </x:c>
      <x:c r="B26" s="53" t="str">
        <x:v>Esper</x:v>
      </x:c>
      <x:c r="C26" s="53" t="str">
        <x:v>NAMED_DOSSIER</x:v>
      </x:c>
      <x:c r="D26" s="53" t="str">
        <x:v>CURRENT_COMPATIBLE</x:v>
      </x:c>
      <x:c r="E26" s="53" t="n">
        <x:v>8</x:v>
      </x:c>
      <x:c r="F26" s="53" t="n">
        <x:v>8</x:v>
      </x:c>
      <x:c r="G26" s="53" t="n">
        <x:v>0</x:v>
      </x:c>
      <x:c r="H26" s="53" t="str">
        <x:v>docs/audits/vm551-all-37-dossier-closeout/live-placement-witnesses.json</x:v>
      </x:c>
      <x:c r="I26" s="53" t="str">
        <x:v>3eb7607343fa4787c6e8df0f2f7babd7e2115293f13b5e5474961e237de755af</x:v>
      </x:c>
      <x:c r="J26" s="53" t="str">
        <x:v>data/gate-b1-placement-model.json</x:v>
      </x:c>
      <x:c r="K26" s="53" t="str">
        <x:v>1369c33417d92a4496a65694985d7e315d9f334d81f9c559a3f10c8d046583ea</x:v>
      </x:c>
    </x:row>
    <x:row r="27">
      <x:c r="A27" s="53" t="str">
        <x:v>GRIXIS</x:v>
      </x:c>
      <x:c r="B27" s="53" t="str">
        <x:v>Grixis</x:v>
      </x:c>
      <x:c r="C27" s="53" t="str">
        <x:v>NAMED_DOSSIER</x:v>
      </x:c>
      <x:c r="D27" s="53" t="str">
        <x:v>CURRENT_COMPATIBLE</x:v>
      </x:c>
      <x:c r="E27" s="53" t="n">
        <x:v>8</x:v>
      </x:c>
      <x:c r="F27" s="53" t="n">
        <x:v>8</x:v>
      </x:c>
      <x:c r="G27" s="53" t="n">
        <x:v>0</x:v>
      </x:c>
      <x:c r="H27" s="53" t="str">
        <x:v>docs/audits/vm551-all-37-dossier-closeout/live-placement-witnesses.json</x:v>
      </x:c>
      <x:c r="I27" s="53" t="str">
        <x:v>3eb7607343fa4787c6e8df0f2f7babd7e2115293f13b5e5474961e237de755af</x:v>
      </x:c>
      <x:c r="J27" s="53" t="str">
        <x:v>data/gate-b1-placement-model.json</x:v>
      </x:c>
      <x:c r="K27" s="53" t="str">
        <x:v>1369c33417d92a4496a65694985d7e315d9f334d81f9c559a3f10c8d046583ea</x:v>
      </x:c>
    </x:row>
    <x:row r="28">
      <x:c r="A28" s="53" t="str">
        <x:v>JUND</x:v>
      </x:c>
      <x:c r="B28" s="53" t="str">
        <x:v>Jund</x:v>
      </x:c>
      <x:c r="C28" s="53" t="str">
        <x:v>NAMED_DOSSIER</x:v>
      </x:c>
      <x:c r="D28" s="53" t="str">
        <x:v>CURRENT_COMPATIBLE</x:v>
      </x:c>
      <x:c r="E28" s="53" t="n">
        <x:v>6</x:v>
      </x:c>
      <x:c r="F28" s="53" t="n">
        <x:v>6</x:v>
      </x:c>
      <x:c r="G28" s="53" t="n">
        <x:v>0</x:v>
      </x:c>
      <x:c r="H28" s="53" t="str">
        <x:v>docs/audits/vm551-all-37-dossier-closeout/live-placement-witnesses.json</x:v>
      </x:c>
      <x:c r="I28" s="53" t="str">
        <x:v>3eb7607343fa4787c6e8df0f2f7babd7e2115293f13b5e5474961e237de755af</x:v>
      </x:c>
      <x:c r="J28" s="53" t="str">
        <x:v>data/gate-b1-placement-model.json</x:v>
      </x:c>
      <x:c r="K28" s="53" t="str">
        <x:v>1369c33417d92a4496a65694985d7e315d9f334d81f9c559a3f10c8d046583ea</x:v>
      </x:c>
    </x:row>
    <x:row r="29">
      <x:c r="A29" s="53" t="str">
        <x:v>NAYA</x:v>
      </x:c>
      <x:c r="B29" s="53" t="str">
        <x:v>Naya</x:v>
      </x:c>
      <x:c r="C29" s="53" t="str">
        <x:v>NAMED_DOSSIER</x:v>
      </x:c>
      <x:c r="D29" s="53" t="str">
        <x:v>CURRENT_COMPATIBLE</x:v>
      </x:c>
      <x:c r="E29" s="53" t="n">
        <x:v>8</x:v>
      </x:c>
      <x:c r="F29" s="53" t="n">
        <x:v>8</x:v>
      </x:c>
      <x:c r="G29" s="53" t="n">
        <x:v>0</x:v>
      </x:c>
      <x:c r="H29" s="53" t="str">
        <x:v>docs/audits/vm551-all-37-dossier-closeout/live-placement-witnesses.json</x:v>
      </x:c>
      <x:c r="I29" s="53" t="str">
        <x:v>3eb7607343fa4787c6e8df0f2f7babd7e2115293f13b5e5474961e237de755af</x:v>
      </x:c>
      <x:c r="J29" s="53" t="str">
        <x:v>data/gate-b1-placement-model.json</x:v>
      </x:c>
      <x:c r="K29" s="53" t="str">
        <x:v>1369c33417d92a4496a65694985d7e315d9f334d81f9c559a3f10c8d046583ea</x:v>
      </x:c>
    </x:row>
    <x:row r="30">
      <x:c r="A30" s="53" t="str">
        <x:v>ABZAN</x:v>
      </x:c>
      <x:c r="B30" s="53" t="str">
        <x:v>Abzan Houses</x:v>
      </x:c>
      <x:c r="C30" s="53" t="str">
        <x:v>NAMED_DOSSIER</x:v>
      </x:c>
      <x:c r="D30" s="53" t="str">
        <x:v>CURRENT_COMPATIBLE</x:v>
      </x:c>
      <x:c r="E30" s="53" t="n">
        <x:v>6</x:v>
      </x:c>
      <x:c r="F30" s="53" t="n">
        <x:v>6</x:v>
      </x:c>
      <x:c r="G30" s="53" t="n">
        <x:v>0</x:v>
      </x:c>
      <x:c r="H30" s="53" t="str">
        <x:v>docs/audits/vm551-all-37-dossier-closeout/live-placement-witnesses.json</x:v>
      </x:c>
      <x:c r="I30" s="53" t="str">
        <x:v>3eb7607343fa4787c6e8df0f2f7babd7e2115293f13b5e5474961e237de755af</x:v>
      </x:c>
      <x:c r="J30" s="53" t="str">
        <x:v>data/gate-b1-placement-model.json</x:v>
      </x:c>
      <x:c r="K30" s="53" t="str">
        <x:v>1369c33417d92a4496a65694985d7e315d9f334d81f9c559a3f10c8d046583ea</x:v>
      </x:c>
    </x:row>
    <x:row r="31">
      <x:c r="A31" s="53" t="str">
        <x:v>JESKAI</x:v>
      </x:c>
      <x:c r="B31" s="53" t="str">
        <x:v>Jeskai Way</x:v>
      </x:c>
      <x:c r="C31" s="53" t="str">
        <x:v>NAMED_DOSSIER</x:v>
      </x:c>
      <x:c r="D31" s="53" t="str">
        <x:v>CURRENT_COMPATIBLE</x:v>
      </x:c>
      <x:c r="E31" s="53" t="n">
        <x:v>8</x:v>
      </x:c>
      <x:c r="F31" s="53" t="n">
        <x:v>8</x:v>
      </x:c>
      <x:c r="G31" s="53" t="n">
        <x:v>0</x:v>
      </x:c>
      <x:c r="H31" s="53" t="str">
        <x:v>docs/audits/vm551-all-37-dossier-closeout/live-placement-witnesses.json</x:v>
      </x:c>
      <x:c r="I31" s="53" t="str">
        <x:v>3eb7607343fa4787c6e8df0f2f7babd7e2115293f13b5e5474961e237de755af</x:v>
      </x:c>
      <x:c r="J31" s="53" t="str">
        <x:v>data/gate-b1-placement-model.json</x:v>
      </x:c>
      <x:c r="K31" s="53" t="str">
        <x:v>1369c33417d92a4496a65694985d7e315d9f334d81f9c559a3f10c8d046583ea</x:v>
      </x:c>
    </x:row>
    <x:row r="32">
      <x:c r="A32" s="53" t="str">
        <x:v>MARDU</x:v>
      </x:c>
      <x:c r="B32" s="53" t="str">
        <x:v>Mardu Horde</x:v>
      </x:c>
      <x:c r="C32" s="53" t="str">
        <x:v>NAMED_DOSSIER</x:v>
      </x:c>
      <x:c r="D32" s="53" t="str">
        <x:v>CURRENT_COMPATIBLE</x:v>
      </x:c>
      <x:c r="E32" s="53" t="n">
        <x:v>6</x:v>
      </x:c>
      <x:c r="F32" s="53" t="n">
        <x:v>6</x:v>
      </x:c>
      <x:c r="G32" s="53" t="n">
        <x:v>0</x:v>
      </x:c>
      <x:c r="H32" s="53" t="str">
        <x:v>docs/audits/vm551-all-37-dossier-closeout/live-placement-witnesses.json</x:v>
      </x:c>
      <x:c r="I32" s="53" t="str">
        <x:v>3eb7607343fa4787c6e8df0f2f7babd7e2115293f13b5e5474961e237de755af</x:v>
      </x:c>
      <x:c r="J32" s="53" t="str">
        <x:v>data/gate-b1-placement-model.json</x:v>
      </x:c>
      <x:c r="K32" s="53" t="str">
        <x:v>1369c33417d92a4496a65694985d7e315d9f334d81f9c559a3f10c8d046583ea</x:v>
      </x:c>
    </x:row>
    <x:row r="33">
      <x:c r="A33" s="53" t="str">
        <x:v>SULTAI</x:v>
      </x:c>
      <x:c r="B33" s="53" t="str">
        <x:v>Sultai Brood</x:v>
      </x:c>
      <x:c r="C33" s="53" t="str">
        <x:v>NAMED_DOSSIER</x:v>
      </x:c>
      <x:c r="D33" s="53" t="str">
        <x:v>CURRENT_COMPATIBLE</x:v>
      </x:c>
      <x:c r="E33" s="53" t="n">
        <x:v>9</x:v>
      </x:c>
      <x:c r="F33" s="53" t="n">
        <x:v>8</x:v>
      </x:c>
      <x:c r="G33" s="53" t="n">
        <x:v>1</x:v>
      </x:c>
      <x:c r="H33" s="53" t="str">
        <x:v>docs/audits/vm551-all-37-dossier-closeout/live-placement-witnesses.json</x:v>
      </x:c>
      <x:c r="I33" s="53" t="str">
        <x:v>3eb7607343fa4787c6e8df0f2f7babd7e2115293f13b5e5474961e237de755af</x:v>
      </x:c>
      <x:c r="J33" s="53" t="str">
        <x:v>data/gate-b1-placement-model.json</x:v>
      </x:c>
      <x:c r="K33" s="53" t="str">
        <x:v>1369c33417d92a4496a65694985d7e315d9f334d81f9c559a3f10c8d046583ea</x:v>
      </x:c>
    </x:row>
    <x:row r="34">
      <x:c r="A34" s="53" t="str">
        <x:v>TEMUR</x:v>
      </x:c>
      <x:c r="B34" s="53" t="str">
        <x:v>Temur Frontier</x:v>
      </x:c>
      <x:c r="C34" s="53" t="str">
        <x:v>NAMED_DOSSIER</x:v>
      </x:c>
      <x:c r="D34" s="53" t="str">
        <x:v>CURRENT_COMPATIBLE</x:v>
      </x:c>
      <x:c r="E34" s="53" t="n">
        <x:v>8</x:v>
      </x:c>
      <x:c r="F34" s="53" t="n">
        <x:v>8</x:v>
      </x:c>
      <x:c r="G34" s="53" t="n">
        <x:v>0</x:v>
      </x:c>
      <x:c r="H34" s="53" t="str">
        <x:v>docs/audits/vm551-all-37-dossier-closeout/live-placement-witnesses.json</x:v>
      </x:c>
      <x:c r="I34" s="53" t="str">
        <x:v>3eb7607343fa4787c6e8df0f2f7babd7e2115293f13b5e5474961e237de755af</x:v>
      </x:c>
      <x:c r="J34" s="53" t="str">
        <x:v>data/gate-b1-placement-model.json</x:v>
      </x:c>
      <x:c r="K34" s="53" t="str">
        <x:v>1369c33417d92a4496a65694985d7e315d9f334d81f9c559a3f10c8d046583ea</x:v>
      </x:c>
    </x:row>
    <x:row r="35">
      <x:c r="A35" s="53" t="str">
        <x:v>DUNE</x:v>
      </x:c>
      <x:c r="B35" s="53" t="str">
        <x:v>Dune / Aggression</x:v>
      </x:c>
      <x:c r="C35" s="53" t="str">
        <x:v>NAMED_DOSSIER</x:v>
      </x:c>
      <x:c r="D35" s="53" t="str">
        <x:v>CURRENT_COMPATIBLE</x:v>
      </x:c>
      <x:c r="E35" s="53" t="n">
        <x:v>8</x:v>
      </x:c>
      <x:c r="F35" s="53" t="n">
        <x:v>8</x:v>
      </x:c>
      <x:c r="G35" s="53" t="n">
        <x:v>0</x:v>
      </x:c>
      <x:c r="H35" s="53" t="str">
        <x:v>docs/audits/vm551-all-37-dossier-closeout/live-placement-witnesses.json</x:v>
      </x:c>
      <x:c r="I35" s="53" t="str">
        <x:v>3eb7607343fa4787c6e8df0f2f7babd7e2115293f13b5e5474961e237de755af</x:v>
      </x:c>
      <x:c r="J35" s="53" t="str">
        <x:v>data/gate-b1-placement-model.json</x:v>
      </x:c>
      <x:c r="K35" s="53" t="str">
        <x:v>1369c33417d92a4496a65694985d7e315d9f334d81f9c559a3f10c8d046583ea</x:v>
      </x:c>
    </x:row>
    <x:row r="36">
      <x:c r="A36" s="53" t="str">
        <x:v>GLINT</x:v>
      </x:c>
      <x:c r="B36" s="53" t="str">
        <x:v>Glint / Chaos</x:v>
      </x:c>
      <x:c r="C36" s="53" t="str">
        <x:v>NAMED_DOSSIER</x:v>
      </x:c>
      <x:c r="D36" s="53" t="str">
        <x:v>CURRENT_COMPATIBLE</x:v>
      </x:c>
      <x:c r="E36" s="53" t="n">
        <x:v>8</x:v>
      </x:c>
      <x:c r="F36" s="53" t="n">
        <x:v>8</x:v>
      </x:c>
      <x:c r="G36" s="53" t="n">
        <x:v>0</x:v>
      </x:c>
      <x:c r="H36" s="53" t="str">
        <x:v>docs/audits/vm551-all-37-dossier-closeout/live-placement-witnesses.json</x:v>
      </x:c>
      <x:c r="I36" s="53" t="str">
        <x:v>3eb7607343fa4787c6e8df0f2f7babd7e2115293f13b5e5474961e237de755af</x:v>
      </x:c>
      <x:c r="J36" s="53" t="str">
        <x:v>data/gate-b1-placement-model.json</x:v>
      </x:c>
      <x:c r="K36" s="53" t="str">
        <x:v>1369c33417d92a4496a65694985d7e315d9f334d81f9c559a3f10c8d046583ea</x:v>
      </x:c>
    </x:row>
    <x:row r="37">
      <x:c r="A37" s="53" t="str">
        <x:v>INK</x:v>
      </x:c>
      <x:c r="B37" s="53" t="str">
        <x:v>Ink / Altruism</x:v>
      </x:c>
      <x:c r="C37" s="53" t="str">
        <x:v>NAMED_DOSSIER</x:v>
      </x:c>
      <x:c r="D37" s="53" t="str">
        <x:v>CURRENT_COMPATIBLE</x:v>
      </x:c>
      <x:c r="E37" s="53" t="n">
        <x:v>8</x:v>
      </x:c>
      <x:c r="F37" s="53" t="n">
        <x:v>8</x:v>
      </x:c>
      <x:c r="G37" s="53" t="n">
        <x:v>0</x:v>
      </x:c>
      <x:c r="H37" s="53" t="str">
        <x:v>docs/audits/vm551-all-37-dossier-closeout/live-placement-witnesses.json</x:v>
      </x:c>
      <x:c r="I37" s="53" t="str">
        <x:v>3eb7607343fa4787c6e8df0f2f7babd7e2115293f13b5e5474961e237de755af</x:v>
      </x:c>
      <x:c r="J37" s="53" t="str">
        <x:v>data/gate-b1-placement-model.json</x:v>
      </x:c>
      <x:c r="K37" s="53" t="str">
        <x:v>1369c33417d92a4496a65694985d7e315d9f334d81f9c559a3f10c8d046583ea</x:v>
      </x:c>
    </x:row>
    <x:row r="38">
      <x:c r="A38" s="53" t="str">
        <x:v>WITCH</x:v>
      </x:c>
      <x:c r="B38" s="53" t="str">
        <x:v>Witch / Growth</x:v>
      </x:c>
      <x:c r="C38" s="53" t="str">
        <x:v>NAMED_DOSSIER</x:v>
      </x:c>
      <x:c r="D38" s="53" t="str">
        <x:v>CURRENT_COMPATIBLE</x:v>
      </x:c>
      <x:c r="E38" s="53" t="n">
        <x:v>10</x:v>
      </x:c>
      <x:c r="F38" s="53" t="n">
        <x:v>8</x:v>
      </x:c>
      <x:c r="G38" s="53" t="n">
        <x:v>2</x:v>
      </x:c>
      <x:c r="H38" s="53" t="str">
        <x:v>docs/audits/vm551-all-37-dossier-closeout/live-placement-witnesses.json</x:v>
      </x:c>
      <x:c r="I38" s="53" t="str">
        <x:v>3eb7607343fa4787c6e8df0f2f7babd7e2115293f13b5e5474961e237de755af</x:v>
      </x:c>
      <x:c r="J38" s="53" t="str">
        <x:v>data/gate-b1-placement-model.json</x:v>
      </x:c>
      <x:c r="K38" s="53" t="str">
        <x:v>1369c33417d92a4496a65694985d7e315d9f334d81f9c559a3f10c8d046583ea</x:v>
      </x:c>
    </x:row>
    <x:row r="39">
      <x:c r="A39" s="53" t="str">
        <x:v>YORE</x:v>
      </x:c>
      <x:c r="B39" s="53" t="str">
        <x:v>Yore / Artifice</x:v>
      </x:c>
      <x:c r="C39" s="53" t="str">
        <x:v>INTENTIONAL_BOUNDED_STATE</x:v>
      </x:c>
      <x:c r="D39" s="53" t="str">
        <x:v>CURRENT_COMPATIBLE</x:v>
      </x:c>
      <x:c r="E39" s="53" t="n">
        <x:v>8</x:v>
      </x:c>
      <x:c r="F39" s="53" t="n">
        <x:v>8</x:v>
      </x:c>
      <x:c r="G39" s="53" t="n">
        <x:v>0</x:v>
      </x:c>
      <x:c r="H39" s="53" t="str">
        <x:v>docs/audits/vm551-all-37-dossier-closeout/live-placement-witnesses.json</x:v>
      </x:c>
      <x:c r="I39" s="53" t="str">
        <x:v>3eb7607343fa4787c6e8df0f2f7babd7e2115293f13b5e5474961e237de755af</x:v>
      </x:c>
      <x:c r="J39" s="53" t="str">
        <x:v>data/gate-b1-placement-model.json</x:v>
      </x:c>
      <x:c r="K39" s="53" t="str">
        <x:v>1369c33417d92a4496a65694985d7e315d9f334d81f9c559a3f10c8d046583ea</x:v>
      </x:c>
    </x:row>
    <x:row r="40">
      <x:c r="A40" s="53" t="str">
        <x:v>COLORLESS</x:v>
      </x:c>
      <x:c r="B40" s="53" t="str">
        <x:v>Colorless</x:v>
      </x:c>
      <x:c r="C40" s="53" t="str">
        <x:v>NAMED_DOSSIER</x:v>
      </x:c>
      <x:c r="D40" s="53" t="str">
        <x:v>CURRENT_COMPATIBLE</x:v>
      </x:c>
      <x:c r="E40" s="53" t="n">
        <x:v>8</x:v>
      </x:c>
      <x:c r="F40" s="53" t="n">
        <x:v>8</x:v>
      </x:c>
      <x:c r="G40" s="53" t="n">
        <x:v>0</x:v>
      </x:c>
      <x:c r="H40" s="53" t="str">
        <x:v>docs/audits/vm551-all-37-dossier-closeout/live-placement-witnesses.json</x:v>
      </x:c>
      <x:c r="I40" s="53" t="str">
        <x:v>3eb7607343fa4787c6e8df0f2f7babd7e2115293f13b5e5474961e237de755af</x:v>
      </x:c>
      <x:c r="J40" s="53" t="str">
        <x:v>data/gate-b1-placement-model.json</x:v>
      </x:c>
      <x:c r="K40" s="53" t="str">
        <x:v>1369c33417d92a4496a65694985d7e315d9f334d81f9c559a3f10c8d046583ea</x:v>
      </x:c>
    </x:row>
    <x:row r="41">
      <x:c r="A41" s="53" t="str">
        <x:v>WUBRG</x:v>
      </x:c>
      <x:c r="B41" s="53" t="str">
        <x:v>Five-Color / WUBRG</x:v>
      </x:c>
      <x:c r="C41" s="53" t="str">
        <x:v>NAMED_DOSSIER</x:v>
      </x:c>
      <x:c r="D41" s="53" t="str">
        <x:v>CURRENT_COMPATIBLE</x:v>
      </x:c>
      <x:c r="E41" s="53" t="n">
        <x:v>8</x:v>
      </x:c>
      <x:c r="F41" s="53" t="n">
        <x:v>8</x:v>
      </x:c>
      <x:c r="G41" s="53" t="n">
        <x:v>0</x:v>
      </x:c>
      <x:c r="H41" s="53" t="str">
        <x:v>docs/audits/vm551-all-37-dossier-closeout/live-placement-witnesses.json</x:v>
      </x:c>
      <x:c r="I41" s="53" t="str">
        <x:v>3eb7607343fa4787c6e8df0f2f7babd7e2115293f13b5e5474961e237de755af</x:v>
      </x:c>
      <x:c r="J41" s="53" t="str">
        <x:v>data/gate-b1-placement-model.json</x:v>
      </x:c>
      <x:c r="K41" s="53" t="str">
        <x:v>1369c33417d92a4496a65694985d7e315d9f334d81f9c559a3f10c8d046583ea</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5" hidden="0" customWidth="1"/>
    <x:col min="3" max="3" width="14" hidden="0" customWidth="1"/>
    <x:col min="4" max="4" width="18" hidden="0" customWidth="1"/>
    <x:col min="5" max="5" width="12" hidden="0" customWidth="1"/>
    <x:col min="6" max="6" width="11" hidden="0" customWidth="1"/>
    <x:col min="7" max="7" width="14" hidden="0" customWidth="1"/>
    <x:col min="8" max="8" width="12" hidden="0" customWidth="1"/>
    <x:col min="9" max="9" width="16" hidden="0" customWidth="1"/>
    <x:col min="10" max="10" width="25" hidden="0" customWidth="1"/>
    <x:col min="11" max="11" width="14" hidden="0" customWidth="1"/>
    <x:col min="12" max="12" width="52" hidden="0" customWidth="1"/>
    <x:col min="13" max="13" width="28" hidden="0" customWidth="1"/>
    <x:col min="14" max="14" width="15" hidden="0" customWidth="1"/>
  </x:cols>
  <x:sheetData>
    <x:row r="1" ht="34" customHeight="1">
      <x:c r="A1" s="3" t="str">
        <x:v>Result State Inventory</x:v>
      </x:c>
      <x:c r="B1" s="3"/>
      <x:c r="C1" s="3"/>
      <x:c r="D1" s="3"/>
      <x:c r="E1" s="3"/>
      <x:c r="F1" s="3"/>
      <x:c r="G1" s="3"/>
      <x:c r="H1" s="3"/>
      <x:c r="I1" s="3"/>
      <x:c r="J1" s="3"/>
      <x:c r="K1" s="3"/>
      <x:c r="L1" s="3"/>
      <x:c r="M1" s="3"/>
      <x:c r="N1" s="3"/>
    </x:row>
    <x:row r="2" ht="30" customHeight="1">
      <x:c r="A2" s="7" t="str">
        <x:v>Public bounded states, raw internal leaders, responsible selections, frontier, and stop reasons.</x:v>
      </x:c>
      <x:c r="B2" s="7"/>
      <x:c r="C2" s="7"/>
      <x:c r="D2" s="7"/>
      <x:c r="E2" s="7"/>
      <x:c r="F2" s="7"/>
      <x:c r="G2" s="7"/>
      <x:c r="H2" s="7"/>
      <x:c r="I2" s="7"/>
      <x:c r="J2" s="7"/>
      <x:c r="K2" s="7"/>
      <x:c r="L2" s="7"/>
      <x:c r="M2" s="7"/>
      <x:c r="N2" s="7"/>
    </x:row>
    <x:row r="4" ht="28" customHeight="1">
      <x:c r="A4" s="45" t="str">
        <x:v>Key</x:v>
      </x:c>
      <x:c r="B4" s="45" t="str">
        <x:v>Identity</x:v>
      </x:c>
      <x:c r="C4" s="45" t="str">
        <x:v>State</x:v>
      </x:c>
      <x:c r="D4" s="45" t="str">
        <x:v>Public Label</x:v>
      </x:c>
      <x:c r="E4" s="45" t="str">
        <x:v>Raw Leader</x:v>
      </x:c>
      <x:c r="F4" s="45" t="str">
        <x:v>Raw Score</x:v>
      </x:c>
      <x:c r="G4" s="45" t="str">
        <x:v>Raw Qualified</x:v>
      </x:c>
      <x:c r="H4" s="45" t="str">
        <x:v>Selected</x:v>
      </x:c>
      <x:c r="I4" s="45" t="str">
        <x:v>Selected Qualified</x:v>
      </x:c>
      <x:c r="J4" s="45" t="str">
        <x:v>Frontier</x:v>
      </x:c>
      <x:c r="K4" s="45" t="str">
        <x:v>Directional</x:v>
      </x:c>
      <x:c r="L4" s="45" t="str">
        <x:v>Stop Reason</x:v>
      </x:c>
      <x:c r="M4" s="45" t="str">
        <x:v>Refinement</x:v>
      </x:c>
      <x:c r="N4" s="45" t="str">
        <x:v>Match</x:v>
      </x:c>
    </x:row>
    <x:row r="5">
      <x:c r="A5" s="53" t="str">
        <x:v>W</x:v>
      </x:c>
      <x:c r="B5" s="53" t="str">
        <x:v>White</x:v>
      </x:c>
      <x:c r="C5" s="53" t="str">
        <x:v>primary</x:v>
      </x:c>
      <x:c r="D5" s="53" t="str">
        <x:v>current-best-fit</x:v>
      </x:c>
      <x:c r="E5" s="53" t="str">
        <x:v>W</x:v>
      </x:c>
      <x:c r="F5" s="55" t="n">
        <x:v>0.8125</x:v>
      </x:c>
      <x:c r="G5" s="54" t="b">
        <x:v>1</x:v>
      </x:c>
      <x:c r="H5" s="53" t="str">
        <x:v>W</x:v>
      </x:c>
      <x:c r="I5" s="54" t="b">
        <x:v>1</x:v>
      </x:c>
      <x:c r="J5" s="53" t="str">
        <x:v>W</x:v>
      </x:c>
      <x:c r="K5" s="53" t="str">
        <x:v>W</x:v>
      </x:c>
      <x:c r="L5" s="53" t="str">
        <x:v>clear_separation</x:v>
      </x:c>
      <x:c r="M5" s="53" t="str">
        <x:v>no_approved_discriminator</x:v>
      </x:c>
      <x:c r="N5" s="53" t="str">
        <x:v>PASS_MATCH</x:v>
      </x:c>
    </x:row>
    <x:row r="6">
      <x:c r="A6" s="53" t="str">
        <x:v>U</x:v>
      </x:c>
      <x:c r="B6" s="53" t="str">
        <x:v>Blue</x:v>
      </x:c>
      <x:c r="C6" s="53" t="str">
        <x:v>primary</x:v>
      </x:c>
      <x:c r="D6" s="53" t="str">
        <x:v>current-best-fit</x:v>
      </x:c>
      <x:c r="E6" s="53" t="str">
        <x:v>U</x:v>
      </x:c>
      <x:c r="F6" s="55" t="n">
        <x:v>0.8125</x:v>
      </x:c>
      <x:c r="G6" s="54" t="b">
        <x:v>1</x:v>
      </x:c>
      <x:c r="H6" s="53" t="str">
        <x:v>U</x:v>
      </x:c>
      <x:c r="I6" s="54" t="b">
        <x:v>1</x:v>
      </x:c>
      <x:c r="J6" s="53" t="str">
        <x:v>U</x:v>
      </x:c>
      <x:c r="K6" s="53" t="str">
        <x:v>U</x:v>
      </x:c>
      <x:c r="L6" s="53" t="str">
        <x:v>clear_separation</x:v>
      </x:c>
      <x:c r="M6" s="53" t="str">
        <x:v>no_approved_discriminator</x:v>
      </x:c>
      <x:c r="N6" s="53" t="str">
        <x:v>PASS_MATCH</x:v>
      </x:c>
    </x:row>
    <x:row r="7">
      <x:c r="A7" s="53" t="str">
        <x:v>B</x:v>
      </x:c>
      <x:c r="B7" s="53" t="str">
        <x:v>Black</x:v>
      </x:c>
      <x:c r="C7" s="53" t="str">
        <x:v>primary</x:v>
      </x:c>
      <x:c r="D7" s="53" t="str">
        <x:v>current-best-fit</x:v>
      </x:c>
      <x:c r="E7" s="53" t="str">
        <x:v>B</x:v>
      </x:c>
      <x:c r="F7" s="55" t="n">
        <x:v>0.6875</x:v>
      </x:c>
      <x:c r="G7" s="54" t="b">
        <x:v>1</x:v>
      </x:c>
      <x:c r="H7" s="53" t="str">
        <x:v>B</x:v>
      </x:c>
      <x:c r="I7" s="54" t="b">
        <x:v>1</x:v>
      </x:c>
      <x:c r="J7" s="53" t="str">
        <x:v>B</x:v>
      </x:c>
      <x:c r="K7" s="53" t="str">
        <x:v>B</x:v>
      </x:c>
      <x:c r="L7" s="53" t="str">
        <x:v>clear_separation</x:v>
      </x:c>
      <x:c r="M7" s="53" t="str">
        <x:v>revisit_prior_answer</x:v>
      </x:c>
      <x:c r="N7" s="53" t="str">
        <x:v>PASS_MATCH</x:v>
      </x:c>
    </x:row>
    <x:row r="8">
      <x:c r="A8" s="53" t="str">
        <x:v>R</x:v>
      </x:c>
      <x:c r="B8" s="53" t="str">
        <x:v>Red</x:v>
      </x:c>
      <x:c r="C8" s="53" t="str">
        <x:v>primary</x:v>
      </x:c>
      <x:c r="D8" s="53" t="str">
        <x:v>current-best-fit</x:v>
      </x:c>
      <x:c r="E8" s="53" t="str">
        <x:v>R</x:v>
      </x:c>
      <x:c r="F8" s="55" t="n">
        <x:v>0.729167</x:v>
      </x:c>
      <x:c r="G8" s="54" t="b">
        <x:v>1</x:v>
      </x:c>
      <x:c r="H8" s="53" t="str">
        <x:v>R</x:v>
      </x:c>
      <x:c r="I8" s="54" t="b">
        <x:v>1</x:v>
      </x:c>
      <x:c r="J8" s="53" t="str">
        <x:v>R</x:v>
      </x:c>
      <x:c r="K8" s="53" t="str">
        <x:v>R</x:v>
      </x:c>
      <x:c r="L8" s="53" t="str">
        <x:v>clear_separation</x:v>
      </x:c>
      <x:c r="M8" s="53" t="str">
        <x:v>revisit_prior_answer</x:v>
      </x:c>
      <x:c r="N8" s="53" t="str">
        <x:v>PASS_MATCH</x:v>
      </x:c>
    </x:row>
    <x:row r="9">
      <x:c r="A9" s="53" t="str">
        <x:v>G</x:v>
      </x:c>
      <x:c r="B9" s="53" t="str">
        <x:v>Green</x:v>
      </x:c>
      <x:c r="C9" s="53" t="str">
        <x:v>primary</x:v>
      </x:c>
      <x:c r="D9" s="53" t="str">
        <x:v>current-best-fit</x:v>
      </x:c>
      <x:c r="E9" s="53" t="str">
        <x:v>RG</x:v>
      </x:c>
      <x:c r="F9" s="55" t="n">
        <x:v>0.916667</x:v>
      </x:c>
      <x:c r="G9" s="54" t="b">
        <x:v>0</x:v>
      </x:c>
      <x:c r="H9" s="53" t="str">
        <x:v>G</x:v>
      </x:c>
      <x:c r="I9" s="54" t="b">
        <x:v>1</x:v>
      </x:c>
      <x:c r="J9" s="53" t="str">
        <x:v>G</x:v>
      </x:c>
      <x:c r="K9" s="53" t="str">
        <x:v>G</x:v>
      </x:c>
      <x:c r="L9" s="53" t="str">
        <x:v>highest_responsible_candidate_trails_unqualified_internal_candidate</x:v>
      </x:c>
      <x:c r="M9" s="53" t="str">
        <x:v>no_approved_discriminator</x:v>
      </x:c>
      <x:c r="N9" s="53" t="str">
        <x:v>PASS_MATCH</x:v>
      </x:c>
    </x:row>
    <x:row r="10">
      <x:c r="A10" s="53" t="str">
        <x:v>WU</x:v>
      </x:c>
      <x:c r="B10" s="53" t="str">
        <x:v>Azorius Senate</x:v>
      </x:c>
      <x:c r="C10" s="53" t="str">
        <x:v>primary</x:v>
      </x:c>
      <x:c r="D10" s="53" t="str">
        <x:v>current-best-fit</x:v>
      </x:c>
      <x:c r="E10" s="53" t="str">
        <x:v>W</x:v>
      </x:c>
      <x:c r="F10" s="55" t="n">
        <x:v>0.833333</x:v>
      </x:c>
      <x:c r="G10" s="54" t="b">
        <x:v>0</x:v>
      </x:c>
      <x:c r="H10" s="53" t="str">
        <x:v>WU</x:v>
      </x:c>
      <x:c r="I10" s="54" t="b">
        <x:v>1</x:v>
      </x:c>
      <x:c r="J10" s="53" t="str">
        <x:v>WU</x:v>
      </x:c>
      <x:c r="K10" s="53" t="str">
        <x:v>WU</x:v>
      </x:c>
      <x:c r="L10" s="53" t="str">
        <x:v>next_question_cannot_improve_responsible_top_boundary</x:v>
      </x:c>
      <x:c r="M10" s="53" t="str">
        <x:v>no_approved_discriminator</x:v>
      </x:c>
      <x:c r="N10" s="53" t="str">
        <x:v>PASS_MATCH</x:v>
      </x:c>
    </x:row>
    <x:row r="11">
      <x:c r="A11" s="53" t="str">
        <x:v>WR</x:v>
      </x:c>
      <x:c r="B11" s="53" t="str">
        <x:v>Boros Legion</x:v>
      </x:c>
      <x:c r="C11" s="53" t="str">
        <x:v>primary</x:v>
      </x:c>
      <x:c r="D11" s="53" t="str">
        <x:v>current-best-fit</x:v>
      </x:c>
      <x:c r="E11" s="53" t="str">
        <x:v>WR</x:v>
      </x:c>
      <x:c r="F11" s="55" t="n">
        <x:v>1</x:v>
      </x:c>
      <x:c r="G11" s="54" t="b">
        <x:v>1</x:v>
      </x:c>
      <x:c r="H11" s="53" t="str">
        <x:v>WR</x:v>
      </x:c>
      <x:c r="I11" s="54" t="b">
        <x:v>1</x:v>
      </x:c>
      <x:c r="J11" s="53" t="str">
        <x:v>WR</x:v>
      </x:c>
      <x:c r="K11" s="53" t="str">
        <x:v>WR</x:v>
      </x:c>
      <x:c r="L11" s="53" t="str">
        <x:v>clear_separation</x:v>
      </x:c>
      <x:c r="M11" s="53" t="str">
        <x:v>no_approved_discriminator</x:v>
      </x:c>
      <x:c r="N11" s="53" t="str">
        <x:v>PASS_MATCH</x:v>
      </x:c>
    </x:row>
    <x:row r="12">
      <x:c r="A12" s="53" t="str">
        <x:v>BR</x:v>
      </x:c>
      <x:c r="B12" s="53" t="str">
        <x:v>Cult of Rakdos</x:v>
      </x:c>
      <x:c r="C12" s="53" t="str">
        <x:v>primary</x:v>
      </x:c>
      <x:c r="D12" s="53" t="str">
        <x:v>current-best-fit</x:v>
      </x:c>
      <x:c r="E12" s="53" t="str">
        <x:v>BR</x:v>
      </x:c>
      <x:c r="F12" s="55" t="n">
        <x:v>0.729167</x:v>
      </x:c>
      <x:c r="G12" s="54" t="b">
        <x:v>1</x:v>
      </x:c>
      <x:c r="H12" s="53" t="str">
        <x:v>BR</x:v>
      </x:c>
      <x:c r="I12" s="54" t="b">
        <x:v>1</x:v>
      </x:c>
      <x:c r="J12" s="53" t="str">
        <x:v>BR</x:v>
      </x:c>
      <x:c r="K12" s="53" t="str">
        <x:v>BR</x:v>
      </x:c>
      <x:c r="L12" s="53" t="str">
        <x:v>clear_separation</x:v>
      </x:c>
      <x:c r="M12" s="53" t="str">
        <x:v>revisit_prior_answer</x:v>
      </x:c>
      <x:c r="N12" s="53" t="str">
        <x:v>PASS_MATCH</x:v>
      </x:c>
    </x:row>
    <x:row r="13">
      <x:c r="A13" s="53" t="str">
        <x:v>BG</x:v>
      </x:c>
      <x:c r="B13" s="53" t="str">
        <x:v>Golgari Swarm</x:v>
      </x:c>
      <x:c r="C13" s="53" t="str">
        <x:v>primary</x:v>
      </x:c>
      <x:c r="D13" s="53" t="str">
        <x:v>current-best-fit</x:v>
      </x:c>
      <x:c r="E13" s="53" t="str">
        <x:v>BG</x:v>
      </x:c>
      <x:c r="F13" s="55" t="n">
        <x:v>0.8125</x:v>
      </x:c>
      <x:c r="G13" s="54" t="b">
        <x:v>1</x:v>
      </x:c>
      <x:c r="H13" s="53" t="str">
        <x:v>BG</x:v>
      </x:c>
      <x:c r="I13" s="54" t="b">
        <x:v>1</x:v>
      </x:c>
      <x:c r="J13" s="53" t="str">
        <x:v>BG</x:v>
      </x:c>
      <x:c r="K13" s="53" t="str">
        <x:v>BG</x:v>
      </x:c>
      <x:c r="L13" s="53" t="str">
        <x:v>clear_separation</x:v>
      </x:c>
      <x:c r="M13" s="53" t="str">
        <x:v>no_approved_discriminator</x:v>
      </x:c>
      <x:c r="N13" s="53" t="str">
        <x:v>PASS_MATCH</x:v>
      </x:c>
    </x:row>
    <x:row r="14">
      <x:c r="A14" s="53" t="str">
        <x:v>RG</x:v>
      </x:c>
      <x:c r="B14" s="53" t="str">
        <x:v>Gruul Clans</x:v>
      </x:c>
      <x:c r="C14" s="53" t="str">
        <x:v>primary</x:v>
      </x:c>
      <x:c r="D14" s="53" t="str">
        <x:v>current-best-fit</x:v>
      </x:c>
      <x:c r="E14" s="53" t="str">
        <x:v>JUND</x:v>
      </x:c>
      <x:c r="F14" s="55" t="n">
        <x:v>1</x:v>
      </x:c>
      <x:c r="G14" s="54" t="b">
        <x:v>0</x:v>
      </x:c>
      <x:c r="H14" s="53" t="str">
        <x:v>RG</x:v>
      </x:c>
      <x:c r="I14" s="54" t="b">
        <x:v>1</x:v>
      </x:c>
      <x:c r="J14" s="53" t="str">
        <x:v>RG</x:v>
      </x:c>
      <x:c r="K14" s="53" t="str">
        <x:v>RG</x:v>
      </x:c>
      <x:c r="L14" s="53" t="str">
        <x:v>next_question_cannot_improve_responsible_top_boundary</x:v>
      </x:c>
      <x:c r="M14" s="53" t="str">
        <x:v>no_approved_discriminator</x:v>
      </x:c>
      <x:c r="N14" s="53" t="str">
        <x:v>PASS_MATCH</x:v>
      </x:c>
    </x:row>
    <x:row r="15">
      <x:c r="A15" s="53" t="str">
        <x:v>UB</x:v>
      </x:c>
      <x:c r="B15" s="53" t="str">
        <x:v>House Dimir</x:v>
      </x:c>
      <x:c r="C15" s="53" t="str">
        <x:v>primary</x:v>
      </x:c>
      <x:c r="D15" s="53" t="str">
        <x:v>current-best-fit</x:v>
      </x:c>
      <x:c r="E15" s="53" t="str">
        <x:v>UB</x:v>
      </x:c>
      <x:c r="F15" s="55" t="n">
        <x:v>0.75</x:v>
      </x:c>
      <x:c r="G15" s="54" t="b">
        <x:v>1</x:v>
      </x:c>
      <x:c r="H15" s="53" t="str">
        <x:v>UB</x:v>
      </x:c>
      <x:c r="I15" s="54" t="b">
        <x:v>1</x:v>
      </x:c>
      <x:c r="J15" s="53" t="str">
        <x:v>UB</x:v>
      </x:c>
      <x:c r="K15" s="53" t="str">
        <x:v>UB</x:v>
      </x:c>
      <x:c r="L15" s="53" t="str">
        <x:v>clear_separation</x:v>
      </x:c>
      <x:c r="M15" s="53" t="str">
        <x:v>revisit_prior_answer</x:v>
      </x:c>
      <x:c r="N15" s="53" t="str">
        <x:v>PASS_MATCH</x:v>
      </x:c>
    </x:row>
    <x:row r="16">
      <x:c r="A16" s="53" t="str">
        <x:v>UR</x:v>
      </x:c>
      <x:c r="B16" s="53" t="str">
        <x:v>Izzet League</x:v>
      </x:c>
      <x:c r="C16" s="53" t="str">
        <x:v>primary</x:v>
      </x:c>
      <x:c r="D16" s="53" t="str">
        <x:v>current-best-fit</x:v>
      </x:c>
      <x:c r="E16" s="53" t="str">
        <x:v>UR</x:v>
      </x:c>
      <x:c r="F16" s="55" t="n">
        <x:v>0.666667</x:v>
      </x:c>
      <x:c r="G16" s="54" t="b">
        <x:v>1</x:v>
      </x:c>
      <x:c r="H16" s="53" t="str">
        <x:v>UR</x:v>
      </x:c>
      <x:c r="I16" s="54" t="b">
        <x:v>1</x:v>
      </x:c>
      <x:c r="J16" s="53" t="str">
        <x:v>UR</x:v>
      </x:c>
      <x:c r="K16" s="53" t="str">
        <x:v>UR</x:v>
      </x:c>
      <x:c r="L16" s="53" t="str">
        <x:v>clear_separation</x:v>
      </x:c>
      <x:c r="M16" s="53" t="str">
        <x:v>no_approved_discriminator</x:v>
      </x:c>
      <x:c r="N16" s="53" t="str">
        <x:v>PASS_MATCH</x:v>
      </x:c>
    </x:row>
    <x:row r="17">
      <x:c r="A17" s="53" t="str">
        <x:v>WB</x:v>
      </x:c>
      <x:c r="B17" s="53" t="str">
        <x:v>Orzhov Syndicate</x:v>
      </x:c>
      <x:c r="C17" s="53" t="str">
        <x:v>primary</x:v>
      </x:c>
      <x:c r="D17" s="53" t="str">
        <x:v>current-best-fit</x:v>
      </x:c>
      <x:c r="E17" s="53" t="str">
        <x:v>WB</x:v>
      </x:c>
      <x:c r="F17" s="55" t="n">
        <x:v>0.645833</x:v>
      </x:c>
      <x:c r="G17" s="54" t="b">
        <x:v>1</x:v>
      </x:c>
      <x:c r="H17" s="53" t="str">
        <x:v>WB</x:v>
      </x:c>
      <x:c r="I17" s="54" t="b">
        <x:v>1</x:v>
      </x:c>
      <x:c r="J17" s="53" t="str">
        <x:v>WB</x:v>
      </x:c>
      <x:c r="K17" s="53" t="str">
        <x:v>WB</x:v>
      </x:c>
      <x:c r="L17" s="53" t="str">
        <x:v>single_named_direction_with_unresolved_alternatives</x:v>
      </x:c>
      <x:c r="M17" s="53" t="str">
        <x:v>no_approved_discriminator</x:v>
      </x:c>
      <x:c r="N17" s="53" t="str">
        <x:v>PASS_MATCH</x:v>
      </x:c>
    </x:row>
    <x:row r="18">
      <x:c r="A18" s="53" t="str">
        <x:v>WG</x:v>
      </x:c>
      <x:c r="B18" s="53" t="str">
        <x:v>Selesnya Conclave</x:v>
      </x:c>
      <x:c r="C18" s="53" t="str">
        <x:v>primary</x:v>
      </x:c>
      <x:c r="D18" s="53" t="str">
        <x:v>current-best-fit</x:v>
      </x:c>
      <x:c r="E18" s="53" t="str">
        <x:v>WG</x:v>
      </x:c>
      <x:c r="F18" s="55" t="n">
        <x:v>0.729167</x:v>
      </x:c>
      <x:c r="G18" s="54" t="b">
        <x:v>1</x:v>
      </x:c>
      <x:c r="H18" s="53" t="str">
        <x:v>WG</x:v>
      </x:c>
      <x:c r="I18" s="54" t="b">
        <x:v>1</x:v>
      </x:c>
      <x:c r="J18" s="53" t="str">
        <x:v>WG</x:v>
      </x:c>
      <x:c r="K18" s="53" t="str">
        <x:v>WG</x:v>
      </x:c>
      <x:c r="L18" s="53" t="str">
        <x:v>clear_separation</x:v>
      </x:c>
      <x:c r="M18" s="53" t="str">
        <x:v>no_approved_discriminator</x:v>
      </x:c>
      <x:c r="N18" s="53" t="str">
        <x:v>PASS_MATCH</x:v>
      </x:c>
    </x:row>
    <x:row r="19">
      <x:c r="A19" s="53" t="str">
        <x:v>UG</x:v>
      </x:c>
      <x:c r="B19" s="53" t="str">
        <x:v>Simic Combine</x:v>
      </x:c>
      <x:c r="C19" s="53" t="str">
        <x:v>primary</x:v>
      </x:c>
      <x:c r="D19" s="53" t="str">
        <x:v>current-best-fit</x:v>
      </x:c>
      <x:c r="E19" s="53" t="str">
        <x:v>UG</x:v>
      </x:c>
      <x:c r="F19" s="55" t="n">
        <x:v>0.8125</x:v>
      </x:c>
      <x:c r="G19" s="54" t="b">
        <x:v>1</x:v>
      </x:c>
      <x:c r="H19" s="53" t="str">
        <x:v>UG</x:v>
      </x:c>
      <x:c r="I19" s="54" t="b">
        <x:v>1</x:v>
      </x:c>
      <x:c r="J19" s="53" t="str">
        <x:v>UG</x:v>
      </x:c>
      <x:c r="K19" s="53" t="str">
        <x:v>UG</x:v>
      </x:c>
      <x:c r="L19" s="53" t="str">
        <x:v>clear_separation</x:v>
      </x:c>
      <x:c r="M19" s="53" t="str">
        <x:v>no_approved_discriminator</x:v>
      </x:c>
      <x:c r="N19" s="53" t="str">
        <x:v>PASS_MATCH</x:v>
      </x:c>
    </x:row>
    <x:row r="20">
      <x:c r="A20" s="53" t="str">
        <x:v>LOREHOLD</x:v>
      </x:c>
      <x:c r="B20" s="53" t="str">
        <x:v>Lorehold College</x:v>
      </x:c>
      <x:c r="C20" s="53" t="str">
        <x:v>primary</x:v>
      </x:c>
      <x:c r="D20" s="53" t="str">
        <x:v>current-best-fit</x:v>
      </x:c>
      <x:c r="E20" s="53" t="str">
        <x:v>LOREHOLD</x:v>
      </x:c>
      <x:c r="F20" s="55" t="n">
        <x:v>0.729167</x:v>
      </x:c>
      <x:c r="G20" s="54" t="b">
        <x:v>1</x:v>
      </x:c>
      <x:c r="H20" s="53" t="str">
        <x:v>LOREHOLD</x:v>
      </x:c>
      <x:c r="I20" s="54" t="b">
        <x:v>1</x:v>
      </x:c>
      <x:c r="J20" s="53" t="str">
        <x:v>LOREHOLD</x:v>
      </x:c>
      <x:c r="K20" s="53" t="str">
        <x:v>LOREHOLD</x:v>
      </x:c>
      <x:c r="L20" s="53" t="str">
        <x:v>clear_separation</x:v>
      </x:c>
      <x:c r="M20" s="53" t="str">
        <x:v>no_approved_discriminator</x:v>
      </x:c>
      <x:c r="N20" s="53" t="str">
        <x:v>PASS_MATCH</x:v>
      </x:c>
    </x:row>
    <x:row r="21">
      <x:c r="A21" s="53" t="str">
        <x:v>PRISMARI</x:v>
      </x:c>
      <x:c r="B21" s="53" t="str">
        <x:v>Prismari College</x:v>
      </x:c>
      <x:c r="C21" s="53" t="str">
        <x:v>primary</x:v>
      </x:c>
      <x:c r="D21" s="53" t="str">
        <x:v>current-best-fit</x:v>
      </x:c>
      <x:c r="E21" s="53" t="str">
        <x:v>PRISMARI</x:v>
      </x:c>
      <x:c r="F21" s="55" t="n">
        <x:v>1</x:v>
      </x:c>
      <x:c r="G21" s="54" t="b">
        <x:v>1</x:v>
      </x:c>
      <x:c r="H21" s="53" t="str">
        <x:v>PRISMARI</x:v>
      </x:c>
      <x:c r="I21" s="54" t="b">
        <x:v>1</x:v>
      </x:c>
      <x:c r="J21" s="53" t="str">
        <x:v>PRISMARI</x:v>
      </x:c>
      <x:c r="K21" s="53" t="str">
        <x:v>PRISMARI</x:v>
      </x:c>
      <x:c r="L21" s="53" t="str">
        <x:v>clear_separation</x:v>
      </x:c>
      <x:c r="M21" s="53" t="str">
        <x:v>no_approved_discriminator</x:v>
      </x:c>
      <x:c r="N21" s="53" t="str">
        <x:v>PASS_MATCH</x:v>
      </x:c>
    </x:row>
    <x:row r="22">
      <x:c r="A22" s="53" t="str">
        <x:v>QUANDRIX</x:v>
      </x:c>
      <x:c r="B22" s="53" t="str">
        <x:v>Quandrix College</x:v>
      </x:c>
      <x:c r="C22" s="53" t="str">
        <x:v>primary</x:v>
      </x:c>
      <x:c r="D22" s="53" t="str">
        <x:v>current-best-fit</x:v>
      </x:c>
      <x:c r="E22" s="53" t="str">
        <x:v>QUANDRIX</x:v>
      </x:c>
      <x:c r="F22" s="55" t="n">
        <x:v>0.729167</x:v>
      </x:c>
      <x:c r="G22" s="54" t="b">
        <x:v>1</x:v>
      </x:c>
      <x:c r="H22" s="53" t="str">
        <x:v>QUANDRIX</x:v>
      </x:c>
      <x:c r="I22" s="54" t="b">
        <x:v>1</x:v>
      </x:c>
      <x:c r="J22" s="53" t="str">
        <x:v>QUANDRIX</x:v>
      </x:c>
      <x:c r="K22" s="53" t="str">
        <x:v>QUANDRIX</x:v>
      </x:c>
      <x:c r="L22" s="53" t="str">
        <x:v>clear_separation</x:v>
      </x:c>
      <x:c r="M22" s="53" t="str">
        <x:v>no_approved_discriminator</x:v>
      </x:c>
      <x:c r="N22" s="53" t="str">
        <x:v>PASS_MATCH</x:v>
      </x:c>
    </x:row>
    <x:row r="23">
      <x:c r="A23" s="53" t="str">
        <x:v>SILVERQUILL</x:v>
      </x:c>
      <x:c r="B23" s="53" t="str">
        <x:v>Silverquill College</x:v>
      </x:c>
      <x:c r="C23" s="53" t="str">
        <x:v>primary</x:v>
      </x:c>
      <x:c r="D23" s="53" t="str">
        <x:v>current-best-fit</x:v>
      </x:c>
      <x:c r="E23" s="53" t="str">
        <x:v>SILVERQUILL</x:v>
      </x:c>
      <x:c r="F23" s="55" t="n">
        <x:v>0.729167</x:v>
      </x:c>
      <x:c r="G23" s="54" t="b">
        <x:v>1</x:v>
      </x:c>
      <x:c r="H23" s="53" t="str">
        <x:v>SILVERQUILL</x:v>
      </x:c>
      <x:c r="I23" s="54" t="b">
        <x:v>1</x:v>
      </x:c>
      <x:c r="J23" s="53" t="str">
        <x:v>SILVERQUILL</x:v>
      </x:c>
      <x:c r="K23" s="53" t="str">
        <x:v>SILVERQUILL</x:v>
      </x:c>
      <x:c r="L23" s="53" t="str">
        <x:v>clear_separation</x:v>
      </x:c>
      <x:c r="M23" s="53" t="str">
        <x:v>no_approved_discriminator</x:v>
      </x:c>
      <x:c r="N23" s="53" t="str">
        <x:v>PASS_MATCH</x:v>
      </x:c>
    </x:row>
    <x:row r="24">
      <x:c r="A24" s="53" t="str">
        <x:v>WITHERBLOOM</x:v>
      </x:c>
      <x:c r="B24" s="53" t="str">
        <x:v>Witherbloom College</x:v>
      </x:c>
      <x:c r="C24" s="53" t="str">
        <x:v>primary</x:v>
      </x:c>
      <x:c r="D24" s="53" t="str">
        <x:v>current-best-fit</x:v>
      </x:c>
      <x:c r="E24" s="53" t="str">
        <x:v>WITHERBLOOM</x:v>
      </x:c>
      <x:c r="F24" s="55" t="n">
        <x:v>0.729167</x:v>
      </x:c>
      <x:c r="G24" s="54" t="b">
        <x:v>1</x:v>
      </x:c>
      <x:c r="H24" s="53" t="str">
        <x:v>WITHERBLOOM</x:v>
      </x:c>
      <x:c r="I24" s="54" t="b">
        <x:v>1</x:v>
      </x:c>
      <x:c r="J24" s="53" t="str">
        <x:v>WITHERBLOOM</x:v>
      </x:c>
      <x:c r="K24" s="53" t="str">
        <x:v>WITHERBLOOM</x:v>
      </x:c>
      <x:c r="L24" s="53" t="str">
        <x:v>clear_separation</x:v>
      </x:c>
      <x:c r="M24" s="53" t="str">
        <x:v>revisit_prior_answer</x:v>
      </x:c>
      <x:c r="N24" s="53" t="str">
        <x:v>PASS_MATCH</x:v>
      </x:c>
    </x:row>
    <x:row r="25">
      <x:c r="A25" s="53" t="str">
        <x:v>BANT</x:v>
      </x:c>
      <x:c r="B25" s="53" t="str">
        <x:v>Bant</x:v>
      </x:c>
      <x:c r="C25" s="53" t="str">
        <x:v>primary</x:v>
      </x:c>
      <x:c r="D25" s="53" t="str">
        <x:v>current-best-fit</x:v>
      </x:c>
      <x:c r="E25" s="53" t="str">
        <x:v>BANT</x:v>
      </x:c>
      <x:c r="F25" s="55" t="n">
        <x:v>0.916667</x:v>
      </x:c>
      <x:c r="G25" s="54" t="b">
        <x:v>1</x:v>
      </x:c>
      <x:c r="H25" s="53" t="str">
        <x:v>BANT</x:v>
      </x:c>
      <x:c r="I25" s="54" t="b">
        <x:v>1</x:v>
      </x:c>
      <x:c r="J25" s="53" t="str">
        <x:v>BANT</x:v>
      </x:c>
      <x:c r="K25" s="53" t="str">
        <x:v>BANT</x:v>
      </x:c>
      <x:c r="L25" s="53" t="str">
        <x:v>clear_separation</x:v>
      </x:c>
      <x:c r="M25" s="53" t="str">
        <x:v>no_approved_discriminator</x:v>
      </x:c>
      <x:c r="N25" s="53" t="str">
        <x:v>PASS_MATCH</x:v>
      </x:c>
    </x:row>
    <x:row r="26">
      <x:c r="A26" s="53" t="str">
        <x:v>ESPER</x:v>
      </x:c>
      <x:c r="B26" s="53" t="str">
        <x:v>Esper</x:v>
      </x:c>
      <x:c r="C26" s="53" t="str">
        <x:v>primary</x:v>
      </x:c>
      <x:c r="D26" s="53" t="str">
        <x:v>current-best-fit</x:v>
      </x:c>
      <x:c r="E26" s="53" t="str">
        <x:v>ESPER</x:v>
      </x:c>
      <x:c r="F26" s="55" t="n">
        <x:v>0.7875</x:v>
      </x:c>
      <x:c r="G26" s="54" t="b">
        <x:v>1</x:v>
      </x:c>
      <x:c r="H26" s="53" t="str">
        <x:v>ESPER</x:v>
      </x:c>
      <x:c r="I26" s="54" t="b">
        <x:v>1</x:v>
      </x:c>
      <x:c r="J26" s="53" t="str">
        <x:v>ESPER</x:v>
      </x:c>
      <x:c r="K26" s="53" t="str">
        <x:v>ESPER</x:v>
      </x:c>
      <x:c r="L26" s="53" t="str">
        <x:v>clear_separation</x:v>
      </x:c>
      <x:c r="M26" s="53" t="str">
        <x:v>no_approved_discriminator</x:v>
      </x:c>
      <x:c r="N26" s="53" t="str">
        <x:v>PASS_MATCH</x:v>
      </x:c>
    </x:row>
    <x:row r="27">
      <x:c r="A27" s="53" t="str">
        <x:v>GRIXIS</x:v>
      </x:c>
      <x:c r="B27" s="53" t="str">
        <x:v>Grixis</x:v>
      </x:c>
      <x:c r="C27" s="53" t="str">
        <x:v>primary</x:v>
      </x:c>
      <x:c r="D27" s="53" t="str">
        <x:v>current-best-fit</x:v>
      </x:c>
      <x:c r="E27" s="53" t="str">
        <x:v>GRIXIS</x:v>
      </x:c>
      <x:c r="F27" s="55" t="n">
        <x:v>0.9375</x:v>
      </x:c>
      <x:c r="G27" s="54" t="b">
        <x:v>1</x:v>
      </x:c>
      <x:c r="H27" s="53" t="str">
        <x:v>GRIXIS</x:v>
      </x:c>
      <x:c r="I27" s="54" t="b">
        <x:v>1</x:v>
      </x:c>
      <x:c r="J27" s="53" t="str">
        <x:v>GRIXIS</x:v>
      </x:c>
      <x:c r="K27" s="53" t="str">
        <x:v>GRIXIS</x:v>
      </x:c>
      <x:c r="L27" s="53" t="str">
        <x:v>clear_separation</x:v>
      </x:c>
      <x:c r="M27" s="53" t="str">
        <x:v>no_approved_discriminator</x:v>
      </x:c>
      <x:c r="N27" s="53" t="str">
        <x:v>PASS_MATCH</x:v>
      </x:c>
    </x:row>
    <x:row r="28">
      <x:c r="A28" s="53" t="str">
        <x:v>JUND</x:v>
      </x:c>
      <x:c r="B28" s="53" t="str">
        <x:v>Jund</x:v>
      </x:c>
      <x:c r="C28" s="53" t="str">
        <x:v>close</x:v>
      </x:c>
      <x:c r="D28" s="53" t="str">
        <x:v>close</x:v>
      </x:c>
      <x:c r="E28" s="53" t="str">
        <x:v>R</x:v>
      </x:c>
      <x:c r="F28" s="55" t="n">
        <x:v>0.916667</x:v>
      </x:c>
      <x:c r="G28" s="54" t="b">
        <x:v>0</x:v>
      </x:c>
      <x:c r="H28" s="53" t="str">
        <x:v>JUND</x:v>
      </x:c>
      <x:c r="I28" s="54" t="b">
        <x:v>1</x:v>
      </x:c>
      <x:c r="J28" s="53" t="str">
        <x:v>JUND | RG</x:v>
      </x:c>
      <x:c r="K28" s="53" t="str">
        <x:v>JUND</x:v>
      </x:c>
      <x:c r="L28" s="53" t="str">
        <x:v>next_question_cannot_improve_responsible_top_boundary</x:v>
      </x:c>
      <x:c r="M28" s="53" t="str">
        <x:v>no_approved_discriminator</x:v>
      </x:c>
      <x:c r="N28" s="53" t="str">
        <x:v>PASS_MATCH</x:v>
      </x:c>
    </x:row>
    <x:row r="29">
      <x:c r="A29" s="53" t="str">
        <x:v>NAYA</x:v>
      </x:c>
      <x:c r="B29" s="53" t="str">
        <x:v>Naya</x:v>
      </x:c>
      <x:c r="C29" s="53" t="str">
        <x:v>primary</x:v>
      </x:c>
      <x:c r="D29" s="53" t="str">
        <x:v>current-best-fit</x:v>
      </x:c>
      <x:c r="E29" s="53" t="str">
        <x:v>NAYA</x:v>
      </x:c>
      <x:c r="F29" s="55" t="n">
        <x:v>0.645833</x:v>
      </x:c>
      <x:c r="G29" s="54" t="b">
        <x:v>1</x:v>
      </x:c>
      <x:c r="H29" s="53" t="str">
        <x:v>NAYA</x:v>
      </x:c>
      <x:c r="I29" s="54" t="b">
        <x:v>1</x:v>
      </x:c>
      <x:c r="J29" s="53" t="str">
        <x:v>NAYA</x:v>
      </x:c>
      <x:c r="K29" s="53" t="str">
        <x:v>NAYA</x:v>
      </x:c>
      <x:c r="L29" s="53" t="str">
        <x:v>single_named_direction_with_unresolved_alternatives</x:v>
      </x:c>
      <x:c r="M29" s="53" t="str">
        <x:v>no_approved_discriminator</x:v>
      </x:c>
      <x:c r="N29" s="53" t="str">
        <x:v>PASS_MATCH</x:v>
      </x:c>
    </x:row>
    <x:row r="30">
      <x:c r="A30" s="53" t="str">
        <x:v>ABZAN</x:v>
      </x:c>
      <x:c r="B30" s="53" t="str">
        <x:v>Abzan Houses</x:v>
      </x:c>
      <x:c r="C30" s="53" t="str">
        <x:v>primary</x:v>
      </x:c>
      <x:c r="D30" s="53" t="str">
        <x:v>current-best-fit</x:v>
      </x:c>
      <x:c r="E30" s="53" t="str">
        <x:v>ABZAN</x:v>
      </x:c>
      <x:c r="F30" s="55" t="n">
        <x:v>0.8125</x:v>
      </x:c>
      <x:c r="G30" s="54" t="b">
        <x:v>1</x:v>
      </x:c>
      <x:c r="H30" s="53" t="str">
        <x:v>ABZAN</x:v>
      </x:c>
      <x:c r="I30" s="54" t="b">
        <x:v>1</x:v>
      </x:c>
      <x:c r="J30" s="53" t="str">
        <x:v>ABZAN</x:v>
      </x:c>
      <x:c r="K30" s="53" t="str">
        <x:v>ABZAN</x:v>
      </x:c>
      <x:c r="L30" s="53" t="str">
        <x:v>clear_separation</x:v>
      </x:c>
      <x:c r="M30" s="53" t="str">
        <x:v>no_approved_discriminator</x:v>
      </x:c>
      <x:c r="N30" s="53" t="str">
        <x:v>PASS_MATCH</x:v>
      </x:c>
    </x:row>
    <x:row r="31">
      <x:c r="A31" s="53" t="str">
        <x:v>JESKAI</x:v>
      </x:c>
      <x:c r="B31" s="53" t="str">
        <x:v>Jeskai Way</x:v>
      </x:c>
      <x:c r="C31" s="53" t="str">
        <x:v>primary</x:v>
      </x:c>
      <x:c r="D31" s="53" t="str">
        <x:v>current-best-fit</x:v>
      </x:c>
      <x:c r="E31" s="53" t="str">
        <x:v>JESKAI</x:v>
      </x:c>
      <x:c r="F31" s="55" t="n">
        <x:v>0.75</x:v>
      </x:c>
      <x:c r="G31" s="54" t="b">
        <x:v>1</x:v>
      </x:c>
      <x:c r="H31" s="53" t="str">
        <x:v>JESKAI</x:v>
      </x:c>
      <x:c r="I31" s="54" t="b">
        <x:v>1</x:v>
      </x:c>
      <x:c r="J31" s="53" t="str">
        <x:v>JESKAI</x:v>
      </x:c>
      <x:c r="K31" s="53" t="str">
        <x:v>JESKAI</x:v>
      </x:c>
      <x:c r="L31" s="53" t="str">
        <x:v>clear_separation</x:v>
      </x:c>
      <x:c r="M31" s="53" t="str">
        <x:v>no_approved_discriminator</x:v>
      </x:c>
      <x:c r="N31" s="53" t="str">
        <x:v>PASS_MATCH</x:v>
      </x:c>
    </x:row>
    <x:row r="32">
      <x:c r="A32" s="53" t="str">
        <x:v>MARDU</x:v>
      </x:c>
      <x:c r="B32" s="53" t="str">
        <x:v>Mardu Horde</x:v>
      </x:c>
      <x:c r="C32" s="53" t="str">
        <x:v>primary</x:v>
      </x:c>
      <x:c r="D32" s="53" t="str">
        <x:v>current-best-fit</x:v>
      </x:c>
      <x:c r="E32" s="53" t="str">
        <x:v>MARDU</x:v>
      </x:c>
      <x:c r="F32" s="55" t="n">
        <x:v>0.8125</x:v>
      </x:c>
      <x:c r="G32" s="54" t="b">
        <x:v>1</x:v>
      </x:c>
      <x:c r="H32" s="53" t="str">
        <x:v>MARDU</x:v>
      </x:c>
      <x:c r="I32" s="54" t="b">
        <x:v>1</x:v>
      </x:c>
      <x:c r="J32" s="53" t="str">
        <x:v>MARDU</x:v>
      </x:c>
      <x:c r="K32" s="53" t="str">
        <x:v>MARDU</x:v>
      </x:c>
      <x:c r="L32" s="53" t="str">
        <x:v>clear_separation</x:v>
      </x:c>
      <x:c r="M32" s="53" t="str">
        <x:v>revisit_prior_answer</x:v>
      </x:c>
      <x:c r="N32" s="53" t="str">
        <x:v>PASS_MATCH</x:v>
      </x:c>
    </x:row>
    <x:row r="33">
      <x:c r="A33" s="53" t="str">
        <x:v>SULTAI</x:v>
      </x:c>
      <x:c r="B33" s="53" t="str">
        <x:v>Sultai Brood</x:v>
      </x:c>
      <x:c r="C33" s="53" t="str">
        <x:v>primary</x:v>
      </x:c>
      <x:c r="D33" s="53" t="str">
        <x:v>current-best-fit</x:v>
      </x:c>
      <x:c r="E33" s="53" t="str">
        <x:v>SULTAI</x:v>
      </x:c>
      <x:c r="F33" s="55" t="n">
        <x:v>0.729167</x:v>
      </x:c>
      <x:c r="G33" s="54" t="b">
        <x:v>1</x:v>
      </x:c>
      <x:c r="H33" s="53" t="str">
        <x:v>SULTAI</x:v>
      </x:c>
      <x:c r="I33" s="54" t="b">
        <x:v>1</x:v>
      </x:c>
      <x:c r="J33" s="53" t="str">
        <x:v>SULTAI</x:v>
      </x:c>
      <x:c r="K33" s="53" t="str">
        <x:v>SULTAI</x:v>
      </x:c>
      <x:c r="L33" s="53" t="str">
        <x:v>clear_separation</x:v>
      </x:c>
      <x:c r="M33" s="53" t="str">
        <x:v>revisit_prior_answer</x:v>
      </x:c>
      <x:c r="N33" s="53" t="str">
        <x:v>PASS_MATCH</x:v>
      </x:c>
    </x:row>
    <x:row r="34">
      <x:c r="A34" s="53" t="str">
        <x:v>TEMUR</x:v>
      </x:c>
      <x:c r="B34" s="53" t="str">
        <x:v>Temur Frontier</x:v>
      </x:c>
      <x:c r="C34" s="53" t="str">
        <x:v>primary</x:v>
      </x:c>
      <x:c r="D34" s="53" t="str">
        <x:v>current-best-fit</x:v>
      </x:c>
      <x:c r="E34" s="53" t="str">
        <x:v>NAYA</x:v>
      </x:c>
      <x:c r="F34" s="55" t="n">
        <x:v>0.833333</x:v>
      </x:c>
      <x:c r="G34" s="54" t="b">
        <x:v>0</x:v>
      </x:c>
      <x:c r="H34" s="53" t="str">
        <x:v>TEMUR</x:v>
      </x:c>
      <x:c r="I34" s="54" t="b">
        <x:v>1</x:v>
      </x:c>
      <x:c r="J34" s="53" t="str">
        <x:v>TEMUR</x:v>
      </x:c>
      <x:c r="K34" s="53" t="str">
        <x:v>TEMUR</x:v>
      </x:c>
      <x:c r="L34" s="53" t="str">
        <x:v>highest_responsible_candidate_trails_unqualified_internal_candidate</x:v>
      </x:c>
      <x:c r="M34" s="53" t="str">
        <x:v>no_approved_discriminator</x:v>
      </x:c>
      <x:c r="N34" s="53" t="str">
        <x:v>PASS_MATCH</x:v>
      </x:c>
    </x:row>
    <x:row r="35">
      <x:c r="A35" s="53" t="str">
        <x:v>DUNE</x:v>
      </x:c>
      <x:c r="B35" s="53" t="str">
        <x:v>Dune / Aggression</x:v>
      </x:c>
      <x:c r="C35" s="53" t="str">
        <x:v>primary</x:v>
      </x:c>
      <x:c r="D35" s="53" t="str">
        <x:v>current-best-fit</x:v>
      </x:c>
      <x:c r="E35" s="53" t="str">
        <x:v>DUNE</x:v>
      </x:c>
      <x:c r="F35" s="55" t="n">
        <x:v>1</x:v>
      </x:c>
      <x:c r="G35" s="54" t="b">
        <x:v>1</x:v>
      </x:c>
      <x:c r="H35" s="53" t="str">
        <x:v>DUNE</x:v>
      </x:c>
      <x:c r="I35" s="54" t="b">
        <x:v>1</x:v>
      </x:c>
      <x:c r="J35" s="53" t="str">
        <x:v>DUNE</x:v>
      </x:c>
      <x:c r="K35" s="53" t="str">
        <x:v>DUNE</x:v>
      </x:c>
      <x:c r="L35" s="53" t="str">
        <x:v>clear_separation</x:v>
      </x:c>
      <x:c r="M35" s="53" t="str">
        <x:v>no_approved_discriminator</x:v>
      </x:c>
      <x:c r="N35" s="53" t="str">
        <x:v>PASS_MATCH</x:v>
      </x:c>
    </x:row>
    <x:row r="36">
      <x:c r="A36" s="53" t="str">
        <x:v>GLINT</x:v>
      </x:c>
      <x:c r="B36" s="53" t="str">
        <x:v>Glint / Chaos</x:v>
      </x:c>
      <x:c r="C36" s="53" t="str">
        <x:v>primary</x:v>
      </x:c>
      <x:c r="D36" s="53" t="str">
        <x:v>current-best-fit</x:v>
      </x:c>
      <x:c r="E36" s="53" t="str">
        <x:v>GLINT</x:v>
      </x:c>
      <x:c r="F36" s="55" t="n">
        <x:v>0.916667</x:v>
      </x:c>
      <x:c r="G36" s="54" t="b">
        <x:v>1</x:v>
      </x:c>
      <x:c r="H36" s="53" t="str">
        <x:v>GLINT</x:v>
      </x:c>
      <x:c r="I36" s="54" t="b">
        <x:v>1</x:v>
      </x:c>
      <x:c r="J36" s="53" t="str">
        <x:v>GLINT</x:v>
      </x:c>
      <x:c r="K36" s="53" t="str">
        <x:v>GLINT</x:v>
      </x:c>
      <x:c r="L36" s="53" t="str">
        <x:v>clear_separation</x:v>
      </x:c>
      <x:c r="M36" s="53" t="str">
        <x:v>revisit_prior_answer</x:v>
      </x:c>
      <x:c r="N36" s="53" t="str">
        <x:v>PASS_MATCH</x:v>
      </x:c>
    </x:row>
    <x:row r="37">
      <x:c r="A37" s="53" t="str">
        <x:v>INK</x:v>
      </x:c>
      <x:c r="B37" s="53" t="str">
        <x:v>Ink / Altruism</x:v>
      </x:c>
      <x:c r="C37" s="53" t="str">
        <x:v>primary</x:v>
      </x:c>
      <x:c r="D37" s="53" t="str">
        <x:v>current-best-fit</x:v>
      </x:c>
      <x:c r="E37" s="53" t="str">
        <x:v>INK</x:v>
      </x:c>
      <x:c r="F37" s="55" t="n">
        <x:v>0.729167</x:v>
      </x:c>
      <x:c r="G37" s="54" t="b">
        <x:v>1</x:v>
      </x:c>
      <x:c r="H37" s="53" t="str">
        <x:v>INK</x:v>
      </x:c>
      <x:c r="I37" s="54" t="b">
        <x:v>1</x:v>
      </x:c>
      <x:c r="J37" s="53" t="str">
        <x:v>INK</x:v>
      </x:c>
      <x:c r="K37" s="53" t="str">
        <x:v>INK</x:v>
      </x:c>
      <x:c r="L37" s="53" t="str">
        <x:v>clear_separation</x:v>
      </x:c>
      <x:c r="M37" s="53" t="str">
        <x:v>no_approved_discriminator</x:v>
      </x:c>
      <x:c r="N37" s="53" t="str">
        <x:v>PASS_MATCH</x:v>
      </x:c>
    </x:row>
    <x:row r="38">
      <x:c r="A38" s="53" t="str">
        <x:v>WITCH</x:v>
      </x:c>
      <x:c r="B38" s="53" t="str">
        <x:v>Witch / Growth</x:v>
      </x:c>
      <x:c r="C38" s="53" t="str">
        <x:v>primary</x:v>
      </x:c>
      <x:c r="D38" s="53" t="str">
        <x:v>current-best-fit</x:v>
      </x:c>
      <x:c r="E38" s="53" t="str">
        <x:v>WITCH</x:v>
      </x:c>
      <x:c r="F38" s="55" t="n">
        <x:v>0.916667</x:v>
      </x:c>
      <x:c r="G38" s="54" t="b">
        <x:v>1</x:v>
      </x:c>
      <x:c r="H38" s="53" t="str">
        <x:v>WITCH</x:v>
      </x:c>
      <x:c r="I38" s="54" t="b">
        <x:v>1</x:v>
      </x:c>
      <x:c r="J38" s="53" t="str">
        <x:v>WITCH</x:v>
      </x:c>
      <x:c r="K38" s="53" t="str">
        <x:v>WITCH</x:v>
      </x:c>
      <x:c r="L38" s="53" t="str">
        <x:v>clear_separation</x:v>
      </x:c>
      <x:c r="M38" s="53" t="str">
        <x:v>no_approved_discriminator</x:v>
      </x:c>
      <x:c r="N38" s="53" t="str">
        <x:v>PASS_MATCH</x:v>
      </x:c>
    </x:row>
    <x:row r="39">
      <x:c r="A39" s="53" t="str">
        <x:v>YORE</x:v>
      </x:c>
      <x:c r="B39" s="53" t="str">
        <x:v>Yore / Artifice</x:v>
      </x:c>
      <x:c r="C39" s="53" t="str">
        <x:v>insufficient</x:v>
      </x:c>
      <x:c r="D39" s="53" t="str">
        <x:v>insufficient</x:v>
      </x:c>
      <x:c r="E39" s="53" t="str">
        <x:v>UB</x:v>
      </x:c>
      <x:c r="F39" s="55" t="n">
        <x:v>0.9375</x:v>
      </x:c>
      <x:c r="G39" s="54" t="b">
        <x:v>0</x:v>
      </x:c>
      <x:c r="H39" s="53" t="str"/>
      <x:c r="I39" s="54" t="b">
        <x:v>0</x:v>
      </x:c>
      <x:c r="J39" s="53" t="str"/>
      <x:c r="K39" s="53" t="str">
        <x:v>UB</x:v>
      </x:c>
      <x:c r="L39" s="53" t="str">
        <x:v>no_responsible_named_placement</x:v>
      </x:c>
      <x:c r="M39" s="53" t="str">
        <x:v>ask_targeted_question</x:v>
      </x:c>
      <x:c r="N39" s="53" t="str">
        <x:v>NO_RESULT</x:v>
      </x:c>
    </x:row>
    <x:row r="40">
      <x:c r="A40" s="53" t="str">
        <x:v>COLORLESS</x:v>
      </x:c>
      <x:c r="B40" s="53" t="str">
        <x:v>Colorless</x:v>
      </x:c>
      <x:c r="C40" s="53" t="str">
        <x:v>primary</x:v>
      </x:c>
      <x:c r="D40" s="53" t="str">
        <x:v>current-best-fit</x:v>
      </x:c>
      <x:c r="E40" s="53" t="str">
        <x:v>COLORLESS</x:v>
      </x:c>
      <x:c r="F40" s="55" t="n">
        <x:v>0.666667</x:v>
      </x:c>
      <x:c r="G40" s="54" t="b">
        <x:v>1</x:v>
      </x:c>
      <x:c r="H40" s="53" t="str">
        <x:v>COLORLESS</x:v>
      </x:c>
      <x:c r="I40" s="54" t="b">
        <x:v>1</x:v>
      </x:c>
      <x:c r="J40" s="53" t="str">
        <x:v>COLORLESS</x:v>
      </x:c>
      <x:c r="K40" s="53" t="str">
        <x:v>COLORLESS</x:v>
      </x:c>
      <x:c r="L40" s="53" t="str">
        <x:v>clear_separation</x:v>
      </x:c>
      <x:c r="M40" s="53" t="str">
        <x:v>no_approved_discriminator</x:v>
      </x:c>
      <x:c r="N40" s="53" t="str">
        <x:v>PASS_MATCH</x:v>
      </x:c>
    </x:row>
    <x:row r="41">
      <x:c r="A41" s="53" t="str">
        <x:v>WUBRG</x:v>
      </x:c>
      <x:c r="B41" s="53" t="str">
        <x:v>Five-Color / WUBRG</x:v>
      </x:c>
      <x:c r="C41" s="53" t="str">
        <x:v>primary</x:v>
      </x:c>
      <x:c r="D41" s="53" t="str">
        <x:v>current-best-fit</x:v>
      </x:c>
      <x:c r="E41" s="53" t="str">
        <x:v>WUBRG</x:v>
      </x:c>
      <x:c r="F41" s="55" t="n">
        <x:v>0.833333</x:v>
      </x:c>
      <x:c r="G41" s="54" t="b">
        <x:v>1</x:v>
      </x:c>
      <x:c r="H41" s="53" t="str">
        <x:v>WUBRG</x:v>
      </x:c>
      <x:c r="I41" s="54" t="b">
        <x:v>1</x:v>
      </x:c>
      <x:c r="J41" s="53" t="str">
        <x:v>WUBRG</x:v>
      </x:c>
      <x:c r="K41" s="53" t="str">
        <x:v>WUBRG</x:v>
      </x:c>
      <x:c r="L41" s="53" t="str">
        <x:v>single_named_direction_with_unresolved_alternatives</x:v>
      </x:c>
      <x:c r="M41" s="53" t="str">
        <x:v>no_approved_discriminator</x:v>
      </x:c>
      <x:c r="N41" s="53" t="str">
        <x:v>PASS_MATCH</x:v>
      </x:c>
    </x:row>
  </x:sheetData>
  <x:mergeCells>
    <x:mergeCell ref="A1:N1"/>
    <x:mergeCell ref="A2:N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25" hidden="0" customWidth="1"/>
    <x:col min="3" max="3" width="13" hidden="0" customWidth="1"/>
    <x:col min="4" max="4" width="15" hidden="0" customWidth="1"/>
    <x:col min="5" max="5" width="20" hidden="0" customWidth="1"/>
    <x:col min="6" max="6" width="16" hidden="0" customWidth="1"/>
    <x:col min="7" max="7" width="14" hidden="0" customWidth="1"/>
    <x:col min="8" max="8" width="14" hidden="0" customWidth="1"/>
    <x:col min="9" max="9" width="28" hidden="0" customWidth="1"/>
    <x:col min="10" max="10" width="55" hidden="0" customWidth="1"/>
  </x:cols>
  <x:sheetData>
    <x:row r="1" ht="34" customHeight="1">
      <x:c r="A1" s="3" t="str">
        <x:v>Qualification and Divergence</x:v>
      </x:c>
      <x:c r="B1" s="3"/>
      <x:c r="C1" s="3"/>
      <x:c r="D1" s="3"/>
      <x:c r="E1" s="3"/>
      <x:c r="F1" s="3"/>
      <x:c r="G1" s="3"/>
      <x:c r="H1" s="3"/>
      <x:c r="I1" s="3"/>
      <x:c r="J1" s="3"/>
    </x:row>
    <x:row r="2" ht="30" customHeight="1">
      <x:c r="A2" s="7" t="str">
        <x:v>Cases where the raw numeric leader differs from the responsible public selection, plus refinement use.</x:v>
      </x:c>
      <x:c r="B2" s="7"/>
      <x:c r="C2" s="7"/>
      <x:c r="D2" s="7"/>
      <x:c r="E2" s="7"/>
      <x:c r="F2" s="7"/>
      <x:c r="G2" s="7"/>
      <x:c r="H2" s="7"/>
      <x:c r="I2" s="7"/>
      <x:c r="J2" s="7"/>
    </x:row>
    <x:row r="4" ht="28" customHeight="1">
      <x:c r="A4" s="45" t="str">
        <x:v>Key</x:v>
      </x:c>
      <x:c r="B4" s="45" t="str">
        <x:v>Identity</x:v>
      </x:c>
      <x:c r="C4" s="45" t="str">
        <x:v>Raw Leader</x:v>
      </x:c>
      <x:c r="D4" s="45" t="str">
        <x:v>Raw Qualified</x:v>
      </x:c>
      <x:c r="E4" s="45" t="str">
        <x:v>Responsible Selection</x:v>
      </x:c>
      <x:c r="F4" s="45" t="str">
        <x:v>Selected Qualified</x:v>
      </x:c>
      <x:c r="G4" s="45" t="str">
        <x:v>State</x:v>
      </x:c>
      <x:c r="H4" s="45" t="str">
        <x:v>Refine Answers</x:v>
      </x:c>
      <x:c r="I4" s="45" t="str">
        <x:v>Refinement</x:v>
      </x:c>
      <x:c r="J4" s="45" t="str">
        <x:v>Stop Reason</x:v>
      </x:c>
    </x:row>
    <x:row r="5">
      <x:c r="A5" s="53" t="str">
        <x:v>G</x:v>
      </x:c>
      <x:c r="B5" s="53" t="str">
        <x:v>Green</x:v>
      </x:c>
      <x:c r="C5" s="53" t="str">
        <x:v>RG</x:v>
      </x:c>
      <x:c r="D5" s="54" t="b">
        <x:v>0</x:v>
      </x:c>
      <x:c r="E5" s="53" t="str">
        <x:v>G</x:v>
      </x:c>
      <x:c r="F5" s="54" t="b">
        <x:v>1</x:v>
      </x:c>
      <x:c r="G5" s="53" t="str">
        <x:v>primary</x:v>
      </x:c>
      <x:c r="H5" s="53" t="n">
        <x:v>0</x:v>
      </x:c>
      <x:c r="I5" s="53" t="str">
        <x:v>no_approved_discriminator</x:v>
      </x:c>
      <x:c r="J5" s="53" t="str">
        <x:v>highest_responsible_candidate_trails_unqualified_internal_candidate</x:v>
      </x:c>
    </x:row>
    <x:row r="6">
      <x:c r="A6" s="53" t="str">
        <x:v>WU</x:v>
      </x:c>
      <x:c r="B6" s="53" t="str">
        <x:v>Azorius Senate</x:v>
      </x:c>
      <x:c r="C6" s="53" t="str">
        <x:v>W</x:v>
      </x:c>
      <x:c r="D6" s="54" t="b">
        <x:v>0</x:v>
      </x:c>
      <x:c r="E6" s="53" t="str">
        <x:v>WU</x:v>
      </x:c>
      <x:c r="F6" s="54" t="b">
        <x:v>1</x:v>
      </x:c>
      <x:c r="G6" s="53" t="str">
        <x:v>primary</x:v>
      </x:c>
      <x:c r="H6" s="53" t="n">
        <x:v>0</x:v>
      </x:c>
      <x:c r="I6" s="53" t="str">
        <x:v>no_approved_discriminator</x:v>
      </x:c>
      <x:c r="J6" s="53" t="str">
        <x:v>next_question_cannot_improve_responsible_top_boundary</x:v>
      </x:c>
    </x:row>
    <x:row r="7">
      <x:c r="A7" s="53" t="str">
        <x:v>RG</x:v>
      </x:c>
      <x:c r="B7" s="53" t="str">
        <x:v>Gruul Clans</x:v>
      </x:c>
      <x:c r="C7" s="53" t="str">
        <x:v>JUND</x:v>
      </x:c>
      <x:c r="D7" s="54" t="b">
        <x:v>0</x:v>
      </x:c>
      <x:c r="E7" s="53" t="str">
        <x:v>RG</x:v>
      </x:c>
      <x:c r="F7" s="54" t="b">
        <x:v>1</x:v>
      </x:c>
      <x:c r="G7" s="53" t="str">
        <x:v>primary</x:v>
      </x:c>
      <x:c r="H7" s="53" t="n">
        <x:v>0</x:v>
      </x:c>
      <x:c r="I7" s="53" t="str">
        <x:v>no_approved_discriminator</x:v>
      </x:c>
      <x:c r="J7" s="53" t="str">
        <x:v>next_question_cannot_improve_responsible_top_boundary</x:v>
      </x:c>
    </x:row>
    <x:row r="8">
      <x:c r="A8" s="53" t="str">
        <x:v>LOREHOLD</x:v>
      </x:c>
      <x:c r="B8" s="53" t="str">
        <x:v>Lorehold College</x:v>
      </x:c>
      <x:c r="C8" s="53" t="str">
        <x:v>LOREHOLD</x:v>
      </x:c>
      <x:c r="D8" s="54" t="b">
        <x:v>1</x:v>
      </x:c>
      <x:c r="E8" s="53" t="str">
        <x:v>LOREHOLD</x:v>
      </x:c>
      <x:c r="F8" s="54" t="b">
        <x:v>1</x:v>
      </x:c>
      <x:c r="G8" s="53" t="str">
        <x:v>primary</x:v>
      </x:c>
      <x:c r="H8" s="53" t="n">
        <x:v>1</x:v>
      </x:c>
      <x:c r="I8" s="53" t="str">
        <x:v>no_approved_discriminator</x:v>
      </x:c>
      <x:c r="J8" s="53" t="str">
        <x:v>clear_separation</x:v>
      </x:c>
    </x:row>
    <x:row r="9">
      <x:c r="A9" s="53" t="str">
        <x:v>JUND</x:v>
      </x:c>
      <x:c r="B9" s="53" t="str">
        <x:v>Jund</x:v>
      </x:c>
      <x:c r="C9" s="53" t="str">
        <x:v>R</x:v>
      </x:c>
      <x:c r="D9" s="54" t="b">
        <x:v>0</x:v>
      </x:c>
      <x:c r="E9" s="53" t="str">
        <x:v>JUND</x:v>
      </x:c>
      <x:c r="F9" s="54" t="b">
        <x:v>1</x:v>
      </x:c>
      <x:c r="G9" s="53" t="str">
        <x:v>close</x:v>
      </x:c>
      <x:c r="H9" s="53" t="n">
        <x:v>0</x:v>
      </x:c>
      <x:c r="I9" s="53" t="str">
        <x:v>no_approved_discriminator</x:v>
      </x:c>
      <x:c r="J9" s="53" t="str">
        <x:v>next_question_cannot_improve_responsible_top_boundary</x:v>
      </x:c>
    </x:row>
    <x:row r="10">
      <x:c r="A10" s="53" t="str">
        <x:v>SULTAI</x:v>
      </x:c>
      <x:c r="B10" s="53" t="str">
        <x:v>Sultai Brood</x:v>
      </x:c>
      <x:c r="C10" s="53" t="str">
        <x:v>SULTAI</x:v>
      </x:c>
      <x:c r="D10" s="54" t="b">
        <x:v>1</x:v>
      </x:c>
      <x:c r="E10" s="53" t="str">
        <x:v>SULTAI</x:v>
      </x:c>
      <x:c r="F10" s="54" t="b">
        <x:v>1</x:v>
      </x:c>
      <x:c r="G10" s="53" t="str">
        <x:v>primary</x:v>
      </x:c>
      <x:c r="H10" s="53" t="n">
        <x:v>1</x:v>
      </x:c>
      <x:c r="I10" s="53" t="str">
        <x:v>revisit_prior_answer</x:v>
      </x:c>
      <x:c r="J10" s="53" t="str">
        <x:v>clear_separation</x:v>
      </x:c>
    </x:row>
    <x:row r="11">
      <x:c r="A11" s="53" t="str">
        <x:v>TEMUR</x:v>
      </x:c>
      <x:c r="B11" s="53" t="str">
        <x:v>Temur Frontier</x:v>
      </x:c>
      <x:c r="C11" s="53" t="str">
        <x:v>NAYA</x:v>
      </x:c>
      <x:c r="D11" s="54" t="b">
        <x:v>0</x:v>
      </x:c>
      <x:c r="E11" s="53" t="str">
        <x:v>TEMUR</x:v>
      </x:c>
      <x:c r="F11" s="54" t="b">
        <x:v>1</x:v>
      </x:c>
      <x:c r="G11" s="53" t="str">
        <x:v>primary</x:v>
      </x:c>
      <x:c r="H11" s="53" t="n">
        <x:v>0</x:v>
      </x:c>
      <x:c r="I11" s="53" t="str">
        <x:v>no_approved_discriminator</x:v>
      </x:c>
      <x:c r="J11" s="53" t="str">
        <x:v>highest_responsible_candidate_trails_unqualified_internal_candidate</x:v>
      </x:c>
    </x:row>
    <x:row r="12">
      <x:c r="A12" s="53" t="str">
        <x:v>WITCH</x:v>
      </x:c>
      <x:c r="B12" s="53" t="str">
        <x:v>Witch / Growth</x:v>
      </x:c>
      <x:c r="C12" s="53" t="str">
        <x:v>WITCH</x:v>
      </x:c>
      <x:c r="D12" s="54" t="b">
        <x:v>1</x:v>
      </x:c>
      <x:c r="E12" s="53" t="str">
        <x:v>WITCH</x:v>
      </x:c>
      <x:c r="F12" s="54" t="b">
        <x:v>1</x:v>
      </x:c>
      <x:c r="G12" s="53" t="str">
        <x:v>primary</x:v>
      </x:c>
      <x:c r="H12" s="53" t="n">
        <x:v>2</x:v>
      </x:c>
      <x:c r="I12" s="53" t="str">
        <x:v>no_approved_discriminator</x:v>
      </x:c>
      <x:c r="J12" s="53" t="str">
        <x:v>clear_separation</x:v>
      </x:c>
    </x:row>
    <x:row r="13">
      <x:c r="A13" s="53" t="str">
        <x:v>YORE</x:v>
      </x:c>
      <x:c r="B13" s="53" t="str">
        <x:v>Yore / Artifice</x:v>
      </x:c>
      <x:c r="C13" s="53" t="str">
        <x:v>UB</x:v>
      </x:c>
      <x:c r="D13" s="54" t="b">
        <x:v>0</x:v>
      </x:c>
      <x:c r="E13" s="53" t="str"/>
      <x:c r="F13" s="54" t="b">
        <x:v>0</x:v>
      </x:c>
      <x:c r="G13" s="53" t="str">
        <x:v>insufficient</x:v>
      </x:c>
      <x:c r="H13" s="53" t="n">
        <x:v>0</x:v>
      </x:c>
      <x:c r="I13" s="53" t="str">
        <x:v>ask_targeted_question</x:v>
      </x:c>
      <x:c r="J13" s="53" t="str">
        <x:v>no_responsible_named_placement</x:v>
      </x:c>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White — Engine Trace</x:v>
      </x:c>
      <x:c r="B1" s="3"/>
      <x:c r="C1" s="3"/>
      <x:c r="D1" s="3"/>
      <x:c r="E1" s="3"/>
      <x:c r="F1" s="3"/>
      <x:c r="G1" s="3"/>
      <x:c r="H1" s="3"/>
      <x:c r="I1" s="3"/>
      <x:c r="J1" s="3"/>
      <x:c r="K1" s="3"/>
      <x:c r="L1" s="3"/>
      <x:c r="M1" s="3"/>
      <x:c r="N1" s="3"/>
      <x:c r="O1" s="3"/>
      <x:c r="P1" s="3"/>
      <x:c r="Q1" s="3"/>
      <x:c r="R1" s="3"/>
      <x:c r="S1" s="3"/>
      <x:c r="T1" s="3"/>
    </x:row>
    <x:row r="2" ht="30" customHeight="1">
      <x:c r="A2" s="7" t="str">
        <x:v>ENGINE-W • PASS_MATCH • primary • trace 2ac0ea9ad8ce111cf8c03d68261401156910d2566964d957408b43fff35a175f</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x:v>
      </x:c>
    </x:row>
    <x:row r="6">
      <x:c r="A6" s="53" t="str">
        <x:v>Expected public contract</x:v>
      </x:c>
      <x:c r="B6" s="53" t="str">
        <x:v>NAMED_DOSSIER</x:v>
      </x:c>
    </x:row>
    <x:row r="7">
      <x:c r="A7" s="53" t="str">
        <x:v>Witness status</x:v>
      </x:c>
      <x:c r="B7" s="53" t="str">
        <x:v>CURRENT_COMPATIBLE</x:v>
      </x:c>
    </x:row>
    <x:row r="8">
      <x:c r="A8" s="53" t="str">
        <x:v>Actual result</x:v>
      </x:c>
      <x:c r="B8" s="53" t="str">
        <x:v>W</x:v>
      </x:c>
    </x:row>
    <x:row r="9">
      <x:c r="A9" s="53" t="str">
        <x:v>Directional result</x:v>
      </x:c>
      <x:c r="B9" s="53" t="str">
        <x:v>W</x:v>
      </x:c>
    </x:row>
    <x:row r="10">
      <x:c r="A10" s="53" t="str">
        <x:v>Public state</x:v>
      </x:c>
      <x:c r="B10" s="53" t="str">
        <x:v>current-best-fit</x:v>
      </x:c>
    </x:row>
    <x:row r="11">
      <x:c r="A11" s="53" t="str">
        <x:v>Raw numeric leader</x:v>
      </x:c>
      <x:c r="B11" s="53" t="str">
        <x:v>W</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W</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b1.gate.disruption.v1.protect</x:v>
      </x:c>
      <x:c r="G31" s="53" t="str">
        <x:v>A way to keep the board</x:v>
      </x:c>
      <x:c r="H31" s="53" t="str">
        <x:v>C03</x:v>
      </x:c>
      <x:c r="I31" s="53" t="str">
        <x:v>SIG_C03_PROTECT</x:v>
      </x:c>
      <x:c r="J31" s="53" t="str">
        <x:v>DG_C03</x:v>
      </x:c>
      <x:c r="K31" s="53" t="str">
        <x:v>BEHAVIORAL_OBSERVATION</x:v>
      </x:c>
      <x:c r="L31" s="53" t="str">
        <x:v>ABZAN | W | WG</x:v>
      </x:c>
      <x:c r="M31" s="53" t="str"/>
      <x:c r="N31" s="53" t="n">
        <x:v>0.5</x:v>
      </x:c>
      <x:c r="O31" s="54" t="b">
        <x:v>0</x:v>
      </x:c>
      <x:c r="P31" s="53" t="str">
        <x:v>REMEDIATION_MAPPING_HYPOTHESIS</x:v>
      </x:c>
      <x:c r="Q31" s="53" t="str">
        <x:v>Prefers protection before broad disruption.</x:v>
      </x:c>
      <x:c r="R31" s="53" t="str">
        <x:v>Observation wording and identity association require player validation; no weight is authorized.</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JUND</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b1.hall.commitment.v1.procedure</x:v>
      </x:c>
      <x:c r="G34" s="53" t="str">
        <x:v>Apply one clear rule</x:v>
      </x:c>
      <x:c r="H34" s="53" t="str">
        <x:v>C13</x:v>
      </x:c>
      <x:c r="I34" s="53" t="str">
        <x:v>SIG_C13_PROCEDURAL</x:v>
      </x:c>
      <x:c r="J34" s="53" t="str">
        <x:v>DG_C13</x:v>
      </x:c>
      <x:c r="K34" s="53" t="str">
        <x:v>BEHAVIORAL_OBSERVATION</x:v>
      </x:c>
      <x:c r="L34" s="53" t="str">
        <x:v>W | WU</x:v>
      </x:c>
      <x:c r="M34" s="53" t="str"/>
      <x:c r="N34" s="53" t="n">
        <x:v>1</x:v>
      </x:c>
      <x:c r="O34" s="54" t="b">
        <x:v>1</x:v>
      </x:c>
      <x:c r="P34" s="53" t="str">
        <x:v>REMEDIATION_MAPPING_HYPOTHESIS</x:v>
      </x:c>
      <x:c r="Q34" s="53" t="str">
        <x:v>Prefers public procedural consistency after circumstances change.</x:v>
      </x:c>
      <x:c r="R34" s="53" t="str">
        <x:v>Public consistency can be chosen for convenience, fairness, threat management, or social comfort; it requires independent evidence.</x:v>
      </x:c>
      <x:c r="S34" s="53" t="str">
        <x:v>W</x:v>
      </x:c>
      <x:c r="T34" s="53" t="str">
        <x:v>primary / clear_separation / b1.hall.interaction-window.v1</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W</x:v>
      </x:c>
      <x:c r="C38" s="53" t="str">
        <x:v>White</x:v>
      </x:c>
      <x:c r="D38" s="53" t="n">
        <x:v>0.8125</x:v>
      </x:c>
      <x:c r="E38" s="54" t="b">
        <x:v>1</x:v>
      </x:c>
      <x:c r="F38" s="53" t="str">
        <x:v>C03 | C13</x:v>
      </x:c>
    </x:row>
    <x:row r="39">
      <x:c r="A39" s="53" t="n">
        <x:v>2</x:v>
      </x:c>
      <x:c r="B39" s="53" t="str">
        <x:v>WU</x:v>
      </x:c>
      <x:c r="C39" s="53" t="str">
        <x:v>Azorius Senate</x:v>
      </x:c>
      <x:c r="D39" s="53" t="n">
        <x:v>0.8125</x:v>
      </x:c>
      <x:c r="E39" s="54" t="b">
        <x:v>0</x:v>
      </x:c>
      <x:c r="F39" s="53" t="str">
        <x:v>C13</x:v>
      </x:c>
    </x:row>
    <x:row r="40">
      <x:c r="A40" s="53" t="n">
        <x:v>3</x:v>
      </x:c>
      <x:c r="B40" s="53" t="str">
        <x:v>ABZAN</x:v>
      </x:c>
      <x:c r="C40" s="53" t="str">
        <x:v>Abzan Houses</x:v>
      </x:c>
      <x:c r="D40" s="53" t="n">
        <x:v>0.541667</x:v>
      </x:c>
      <x:c r="E40" s="54" t="b">
        <x:v>0</x:v>
      </x:c>
      <x:c r="F40" s="53" t="str">
        <x:v>C03</x:v>
      </x:c>
    </x:row>
    <x:row r="41">
      <x:c r="A41" s="53" t="n">
        <x:v>4</x:v>
      </x:c>
      <x:c r="B41" s="53" t="str">
        <x:v>JUND</x:v>
      </x:c>
      <x:c r="C41" s="53" t="str">
        <x:v>Jund</x:v>
      </x:c>
      <x:c r="D41" s="53" t="n">
        <x:v>0.541667</x:v>
      </x:c>
      <x:c r="E41" s="54" t="b">
        <x:v>0</x:v>
      </x:c>
      <x:c r="F41" s="53" t="str">
        <x:v>C01</x:v>
      </x:c>
    </x:row>
    <x:row r="42">
      <x:c r="A42" s="53" t="n">
        <x:v>5</x:v>
      </x:c>
      <x:c r="B42" s="53" t="str">
        <x:v>R</x:v>
      </x:c>
      <x:c r="C42" s="53" t="str">
        <x:v>Red</x:v>
      </x:c>
      <x:c r="D42" s="53" t="n">
        <x:v>0.541667</x:v>
      </x:c>
      <x:c r="E42" s="54" t="b">
        <x:v>0</x:v>
      </x:c>
      <x:c r="F42" s="53" t="str">
        <x:v>C01</x:v>
      </x:c>
    </x:row>
    <x:row r="43">
      <x:c r="A43" s="53" t="n">
        <x:v>6</x:v>
      </x:c>
      <x:c r="B43" s="53" t="str">
        <x:v>RG</x:v>
      </x:c>
      <x:c r="C43" s="53" t="str">
        <x:v>Gruul Clans</x:v>
      </x:c>
      <x:c r="D43" s="53" t="n">
        <x:v>0.541667</x:v>
      </x:c>
      <x:c r="E43" s="54" t="b">
        <x:v>0</x:v>
      </x:c>
      <x:c r="F43" s="53" t="str">
        <x:v>C01</x:v>
      </x:c>
    </x:row>
    <x:row r="44">
      <x:c r="A44" s="53" t="n">
        <x:v>7</x:v>
      </x:c>
      <x:c r="B44" s="53" t="str">
        <x:v>WG</x:v>
      </x:c>
      <x:c r="C44" s="53" t="str">
        <x:v>Selesnya Conclave</x:v>
      </x:c>
      <x:c r="D44" s="53" t="n">
        <x:v>0.541667</x:v>
      </x:c>
      <x:c r="E44" s="54" t="b">
        <x:v>0</x:v>
      </x:c>
      <x:c r="F44" s="53" t="str">
        <x:v>C03</x:v>
      </x:c>
    </x:row>
    <x:row r="45">
      <x:c r="A45" s="53" t="n">
        <x:v>8</x:v>
      </x:c>
      <x:c r="B45" s="53" t="str">
        <x:v>UR</x:v>
      </x:c>
      <x:c r="C45" s="53" t="str">
        <x:v>Izzet League</x:v>
      </x:c>
      <x:c r="D45" s="53" t="n">
        <x:v>0.458333</x:v>
      </x:c>
      <x:c r="E45" s="54" t="b">
        <x:v>0</x:v>
      </x:c>
      <x:c r="F45" s="53" t="str">
        <x:v>C07</x:v>
      </x:c>
    </x:row>
    <x:row r="46">
      <x:c r="A46" s="53" t="n">
        <x:v>9</x:v>
      </x:c>
      <x:c r="B46" s="53" t="str">
        <x:v>COLORLESS</x:v>
      </x:c>
      <x:c r="C46" s="53" t="str">
        <x:v>Colorless</x:v>
      </x:c>
      <x:c r="D46" s="53" t="n">
        <x:v>0.375</x:v>
      </x:c>
      <x:c r="E46" s="54" t="b">
        <x:v>0</x:v>
      </x:c>
      <x:c r="F46" s="53" t="str">
        <x:v>C07</x:v>
      </x:c>
    </x:row>
    <x:row r="47">
      <x:c r="A47" s="53" t="n">
        <x:v>10</x:v>
      </x:c>
      <x:c r="B47" s="53" t="str">
        <x:v>WR</x:v>
      </x:c>
      <x:c r="C47" s="53" t="str">
        <x:v>Boros Legion</x:v>
      </x:c>
      <x:c r="D47" s="53" t="n">
        <x:v>0.25</x:v>
      </x:c>
      <x:c r="E47" s="54" t="b">
        <x:v>0</x:v>
      </x:c>
      <x:c r="F47" s="53" t="str"/>
    </x:row>
    <x:row r="48">
      <x:c r="A48" s="53" t="n">
        <x:v>11</x:v>
      </x:c>
      <x:c r="B48" s="53" t="str">
        <x:v>MARDU</x:v>
      </x:c>
      <x:c r="C48" s="53" t="str">
        <x:v>Mardu Horde</x:v>
      </x:c>
      <x:c r="D48" s="53" t="n">
        <x:v>0.25</x:v>
      </x:c>
      <x:c r="E48" s="54" t="b">
        <x:v>0</x:v>
      </x:c>
      <x:c r="F48" s="53" t="str"/>
    </x:row>
    <x:row r="49">
      <x:c r="A49" s="53" t="n">
        <x:v>12</x:v>
      </x:c>
      <x:c r="B49" s="53" t="str">
        <x:v>TEMUR</x:v>
      </x:c>
      <x:c r="C49" s="53" t="str">
        <x:v>Temur Frontier</x:v>
      </x:c>
      <x:c r="D49" s="53" t="n">
        <x:v>0.166667</x:v>
      </x:c>
      <x:c r="E49" s="54" t="b">
        <x:v>0</x:v>
      </x:c>
      <x:c r="F49" s="53" t="str"/>
    </x:row>
    <x:row r="50">
      <x:c r="A50" s="53" t="n">
        <x:v>13</x:v>
      </x:c>
      <x:c r="B50" s="53" t="str">
        <x:v>DUNE</x:v>
      </x:c>
      <x:c r="C50" s="53" t="str">
        <x:v>Dune / Aggression</x:v>
      </x:c>
      <x:c r="D50" s="53" t="n">
        <x:v>0.166667</x:v>
      </x:c>
      <x:c r="E50" s="54" t="b">
        <x:v>0</x:v>
      </x:c>
      <x:c r="F50" s="53" t="str"/>
    </x:row>
    <x:row r="51">
      <x:c r="A51" s="53" t="n">
        <x:v>14</x:v>
      </x:c>
      <x:c r="B51" s="53" t="str">
        <x:v>INK</x:v>
      </x:c>
      <x:c r="C51" s="53" t="str">
        <x:v>Ink / Altruism</x:v>
      </x:c>
      <x:c r="D51" s="53" t="n">
        <x:v>0.166667</x:v>
      </x:c>
      <x:c r="E51" s="54" t="b">
        <x:v>0</x:v>
      </x:c>
      <x:c r="F51" s="53" t="str"/>
    </x:row>
    <x:row r="52">
      <x:c r="A52" s="53" t="n">
        <x:v>15</x:v>
      </x:c>
      <x:c r="B52" s="53" t="str">
        <x:v>GRIXIS</x:v>
      </x:c>
      <x:c r="C52" s="53" t="str">
        <x:v>Grixis</x:v>
      </x:c>
      <x:c r="D52" s="53" t="n">
        <x:v>0.125</x:v>
      </x:c>
      <x:c r="E52" s="54" t="b">
        <x:v>0</x:v>
      </x:c>
      <x:c r="F52" s="53" t="str"/>
    </x:row>
    <x:row r="53">
      <x:c r="A53" s="53" t="n">
        <x:v>16</x:v>
      </x:c>
      <x:c r="B53" s="53" t="str">
        <x:v>PRISMARI</x:v>
      </x:c>
      <x:c r="C53" s="53" t="str">
        <x:v>Prismari College</x:v>
      </x:c>
      <x:c r="D53" s="53" t="n">
        <x:v>0.083333</x:v>
      </x:c>
      <x:c r="E53" s="54" t="b">
        <x:v>0</x:v>
      </x:c>
      <x:c r="F53" s="53" t="str"/>
    </x:row>
    <x:row r="54">
      <x:c r="A54" s="53" t="n">
        <x:v>17</x:v>
      </x:c>
      <x:c r="B54" s="53" t="str">
        <x:v>BANT</x:v>
      </x:c>
      <x:c r="C54" s="53" t="str">
        <x:v>Bant</x:v>
      </x:c>
      <x:c r="D54" s="53" t="n">
        <x:v>0.083333</x:v>
      </x:c>
      <x:c r="E54" s="54" t="b">
        <x:v>0</x:v>
      </x:c>
      <x:c r="F54" s="53" t="str"/>
    </x:row>
    <x:row r="55">
      <x:c r="A55" s="53" t="n">
        <x:v>18</x:v>
      </x:c>
      <x:c r="B55" s="53" t="str">
        <x:v>BG</x:v>
      </x:c>
      <x:c r="C55" s="53" t="str">
        <x:v>Golgari Swarm</x:v>
      </x:c>
      <x:c r="D55" s="53" t="n">
        <x:v>0.083333</x:v>
      </x:c>
      <x:c r="E55" s="54" t="b">
        <x:v>0</x:v>
      </x:c>
      <x:c r="F55" s="53" t="str"/>
    </x:row>
    <x:row r="56">
      <x:c r="A56" s="53" t="n">
        <x:v>19</x:v>
      </x:c>
      <x:c r="B56" s="53" t="str">
        <x:v>BR</x:v>
      </x:c>
      <x:c r="C56" s="53" t="str">
        <x:v>Cult of Rakdos</x:v>
      </x:c>
      <x:c r="D56" s="53" t="n">
        <x:v>0.083333</x:v>
      </x:c>
      <x:c r="E56" s="54" t="b">
        <x:v>0</x:v>
      </x:c>
      <x:c r="F56" s="53" t="str"/>
    </x:row>
    <x:row r="57">
      <x:c r="A57" s="53" t="n">
        <x:v>20</x:v>
      </x:c>
      <x:c r="B57" s="53" t="str">
        <x:v>G</x:v>
      </x:c>
      <x:c r="C57" s="53" t="str">
        <x:v>Green</x:v>
      </x:c>
      <x:c r="D57" s="53" t="n">
        <x:v>0.083333</x:v>
      </x:c>
      <x:c r="E57" s="54" t="b">
        <x:v>0</x:v>
      </x:c>
      <x:c r="F57" s="53" t="str"/>
    </x:row>
    <x:row r="58">
      <x:c r="A58" s="53" t="n">
        <x:v>21</x:v>
      </x:c>
      <x:c r="B58" s="53" t="str">
        <x:v>GLINT</x:v>
      </x:c>
      <x:c r="C58" s="53" t="str">
        <x:v>Glint / Chaos</x:v>
      </x:c>
      <x:c r="D58" s="53" t="n">
        <x:v>0.083333</x:v>
      </x:c>
      <x:c r="E58" s="54" t="b">
        <x:v>0</x:v>
      </x:c>
      <x:c r="F58" s="53" t="str"/>
    </x:row>
    <x:row r="59">
      <x:c r="A59" s="53" t="n">
        <x:v>22</x:v>
      </x:c>
      <x:c r="B59" s="53" t="str">
        <x:v>LOREHOLD</x:v>
      </x:c>
      <x:c r="C59" s="53" t="str">
        <x:v>Lorehold College</x:v>
      </x:c>
      <x:c r="D59" s="53" t="n">
        <x:v>0.083333</x:v>
      </x:c>
      <x:c r="E59" s="54" t="b">
        <x:v>0</x:v>
      </x:c>
      <x:c r="F59" s="53" t="str"/>
    </x:row>
    <x:row r="60">
      <x:c r="A60" s="53" t="n">
        <x:v>23</x:v>
      </x:c>
      <x:c r="B60" s="53" t="str">
        <x:v>NAYA</x:v>
      </x:c>
      <x:c r="C60" s="53" t="str">
        <x:v>Naya</x:v>
      </x:c>
      <x:c r="D60" s="53" t="n">
        <x:v>0.083333</x:v>
      </x:c>
      <x:c r="E60" s="54" t="b">
        <x:v>0</x:v>
      </x:c>
      <x:c r="F60" s="53" t="str"/>
    </x:row>
    <x:row r="61">
      <x:c r="A61" s="53" t="n">
        <x:v>24</x:v>
      </x:c>
      <x:c r="B61" s="53" t="str">
        <x:v>SILVERQUILL</x:v>
      </x:c>
      <x:c r="C61" s="53" t="str">
        <x:v>Silverquill College</x:v>
      </x:c>
      <x:c r="D61" s="53" t="n">
        <x:v>0.083333</x:v>
      </x:c>
      <x:c r="E61" s="54" t="b">
        <x:v>0</x:v>
      </x:c>
      <x:c r="F61" s="53" t="str"/>
    </x:row>
    <x:row r="62">
      <x:c r="A62" s="53" t="n">
        <x:v>25</x:v>
      </x:c>
      <x:c r="B62" s="53" t="str">
        <x:v>UG</x:v>
      </x:c>
      <x:c r="C62" s="53" t="str">
        <x:v>Simic Combine</x:v>
      </x:c>
      <x:c r="D62" s="53" t="n">
        <x:v>0.083333</x:v>
      </x:c>
      <x:c r="E62" s="54" t="b">
        <x:v>0</x:v>
      </x:c>
      <x:c r="F62" s="53" t="str"/>
    </x:row>
    <x:row r="63">
      <x:c r="A63" s="53" t="n">
        <x:v>26</x:v>
      </x:c>
      <x:c r="B63" s="53" t="str">
        <x:v>WB</x:v>
      </x:c>
      <x:c r="C63" s="53" t="str">
        <x:v>Orzhov Syndicate</x:v>
      </x:c>
      <x:c r="D63" s="53" t="n">
        <x:v>0.083333</x:v>
      </x:c>
      <x:c r="E63" s="54" t="b">
        <x:v>0</x:v>
      </x:c>
      <x:c r="F63" s="53" t="str"/>
    </x:row>
    <x:row r="64">
      <x:c r="A64" s="53" t="n">
        <x:v>27</x:v>
      </x:c>
      <x:c r="B64" s="53" t="str">
        <x:v>JESKAI</x:v>
      </x:c>
      <x:c r="C64" s="53" t="str">
        <x:v>Jeskai Way</x:v>
      </x:c>
      <x:c r="D64" s="53" t="n">
        <x:v>0.0625</x:v>
      </x:c>
      <x:c r="E64" s="54" t="b">
        <x:v>0</x:v>
      </x:c>
      <x:c r="F64" s="53" t="str"/>
    </x:row>
    <x:row r="65">
      <x:c r="A65" s="53" t="n">
        <x:v>28</x:v>
      </x:c>
      <x:c r="B65" s="53" t="str">
        <x:v>U</x:v>
      </x:c>
      <x:c r="C65" s="53" t="str">
        <x:v>Blue</x:v>
      </x:c>
      <x:c r="D65" s="53" t="n">
        <x:v>0.0625</x:v>
      </x:c>
      <x:c r="E65" s="54" t="b">
        <x:v>0</x:v>
      </x:c>
      <x:c r="F65" s="53" t="str"/>
    </x:row>
    <x:row r="66">
      <x:c r="A66" s="53" t="n">
        <x:v>29</x:v>
      </x:c>
      <x:c r="B66" s="53" t="str">
        <x:v>UB</x:v>
      </x:c>
      <x:c r="C66" s="53" t="str">
        <x:v>House Dimir</x:v>
      </x:c>
      <x:c r="D66" s="53" t="n">
        <x:v>0.0625</x:v>
      </x:c>
      <x:c r="E66" s="54" t="b">
        <x:v>0</x:v>
      </x:c>
      <x:c r="F66" s="53" t="str"/>
    </x:row>
    <x:row r="67">
      <x:c r="A67" s="53" t="n">
        <x:v>30</x:v>
      </x:c>
      <x:c r="B67" s="53" t="str">
        <x:v>B</x:v>
      </x:c>
      <x:c r="C67" s="53" t="str">
        <x:v>Black</x:v>
      </x:c>
      <x:c r="D67" s="53" t="n">
        <x:v>0</x:v>
      </x:c>
      <x:c r="E67" s="54" t="b">
        <x:v>0</x:v>
      </x:c>
      <x:c r="F67" s="53" t="str"/>
    </x:row>
    <x:row r="68">
      <x:c r="A68" s="53" t="n">
        <x:v>31</x:v>
      </x:c>
      <x:c r="B68" s="53" t="str">
        <x:v>ESPER</x:v>
      </x:c>
      <x:c r="C68" s="53" t="str">
        <x:v>Esper</x:v>
      </x:c>
      <x:c r="D68" s="53" t="n">
        <x:v>0</x:v>
      </x:c>
      <x:c r="E68" s="54" t="b">
        <x:v>0</x:v>
      </x:c>
      <x:c r="F68" s="53" t="str"/>
    </x:row>
    <x:row r="69">
      <x:c r="A69" s="53" t="n">
        <x:v>32</x:v>
      </x:c>
      <x:c r="B69" s="53" t="str">
        <x:v>QUANDRIX</x:v>
      </x:c>
      <x:c r="C69" s="53" t="str">
        <x:v>Quandrix College</x:v>
      </x:c>
      <x:c r="D69" s="53" t="n">
        <x:v>0</x:v>
      </x:c>
      <x:c r="E69" s="54" t="b">
        <x:v>0</x:v>
      </x:c>
      <x:c r="F69" s="53" t="str"/>
    </x:row>
    <x:row r="70">
      <x:c r="A70" s="53" t="n">
        <x:v>33</x:v>
      </x:c>
      <x:c r="B70" s="53" t="str">
        <x:v>SULTAI</x:v>
      </x:c>
      <x:c r="C70" s="53" t="str">
        <x:v>Sultai Brood</x:v>
      </x:c>
      <x:c r="D70" s="53" t="n">
        <x:v>0</x:v>
      </x:c>
      <x:c r="E70" s="54" t="b">
        <x:v>0</x:v>
      </x:c>
      <x:c r="F70" s="53" t="str"/>
    </x:row>
    <x:row r="71">
      <x:c r="A71" s="53" t="n">
        <x:v>34</x:v>
      </x:c>
      <x:c r="B71" s="53" t="str">
        <x:v>WITCH</x:v>
      </x:c>
      <x:c r="C71" s="53" t="str">
        <x:v>Witch / Growth</x:v>
      </x:c>
      <x:c r="D71" s="53" t="n">
        <x:v>0</x:v>
      </x:c>
      <x:c r="E71" s="54" t="b">
        <x:v>0</x:v>
      </x:c>
      <x:c r="F71" s="53" t="str"/>
    </x:row>
    <x:row r="72">
      <x:c r="A72" s="53" t="n">
        <x:v>35</x:v>
      </x:c>
      <x:c r="B72" s="53" t="str">
        <x:v>WITHERBLOOM</x:v>
      </x:c>
      <x:c r="C72" s="53" t="str">
        <x:v>Witherbloom College</x:v>
      </x:c>
      <x:c r="D72" s="53" t="n">
        <x:v>0</x:v>
      </x:c>
      <x:c r="E72" s="54" t="b">
        <x:v>0</x:v>
      </x:c>
      <x:c r="F72" s="53" t="str"/>
    </x:row>
    <x:row r="73">
      <x:c r="A73" s="53" t="n">
        <x:v>36</x:v>
      </x:c>
      <x:c r="B73" s="53" t="str">
        <x:v>WUBRG</x:v>
      </x:c>
      <x:c r="C73" s="53" t="str">
        <x:v>Five-Color / WUBRG</x:v>
      </x:c>
      <x:c r="D73" s="53" t="n">
        <x:v>0</x:v>
      </x:c>
      <x:c r="E73" s="54" t="b">
        <x:v>0</x:v>
      </x:c>
      <x:c r="F73" s="53" t="str"/>
    </x:row>
    <x:row r="74">
      <x:c r="A74" s="53" t="n">
        <x:v>37</x:v>
      </x:c>
      <x:c r="B74" s="53" t="str">
        <x:v>YORE</x:v>
      </x:c>
      <x:c r="C74" s="53" t="str">
        <x:v>Yore / Artifice</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"W",
  "faction_name": "White",
  "institution_type": "color",
  "world": "The Color Pie",
  "identity": {
    "core_color": "W",
    "secondary_colors": [],
    "secondary_color": null,
    "expression_key": "W",
    "expression_name": "White",
    "expression_kind": "color",
    "purity": 1,
    "routing": {
      "edhrec_slug": "mono-white",
      "mtgdecks_slug": "mono-white",
      "label": "White"
    }
  },
  "decree": "White is the clearest current fit from the approved observations.",
  "confidence": 0.044,
  "confidence_gap": 1,
  "mana_scores": {
    "W": 10,
    "U": 9,
    "B": 9,
    "R": 10,
    "G": 10
  },
  "top_matches": [
    {
      "rank": 1,
      "faction": "W",
      "faction_name": "White",
      "institution_type": "color",
      "world": "The Color Pie",
      "identity": {
        "core_color": "W",
        "secondary_colors": [],
        "secondary_color": null,
        "expression_key": "W",
        "expression_name": "White",
        "expression_kind": "color",
        "purity": 1,
        "routing": {
          "edhrec_slug": "mono-white",
          "mtgdecks_slug": "mono-white",
          "label": "White"
        }
      },
      "score": 0.8125,
      "confidence": 0.044,
      "reason": "White remained plausible through C03, C07, C13; identity mapping remains a hypothesis."
    }
  ],
  "adjacent_matches": [],
  "internal_candidate_order": [
    {
      "identity": "W",
      "score": 0.8125,
      "positive_dependencies": 2,
      "qualification_dependencies": 2,
      "naming_dependencies": 1,
      "positive_constructs": [
        "C03",
        "C13"
      ],
      "satisfied_naming_rule_ids": [
        "instrument_completion_overlay:b1.hall.commitment.v1.procedure:W"
      ],
      "naming_qualification": {
        "identity": "W",
        "qualified": true,
        "satisfied_naming_rule_ids": [
          "instrument_completion_overlay:b1.hall.commitment.v1.procedure:W"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"WU",
      "score": 0.8125,
      "positive_dependencies": 1,
      "qualification_dependencies": 1,
      "naming_dependencies": 1,
      "positive_constructs": [
        "C13"
      ],
      "satisfied_naming_rule_ids": [
        "instrument_completion_overlay:b1.hall.commitment.v1.procedure:WU"
      ],
      "naming_qualification": {
        "identity": "WU",
        "qualified": false,
        "satisfied_naming_rule_ids": [
          "instrument_completion_overlay:b1.hall.commitment.v1.procedure:WU"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"ABZAN",
      "score": 0.541667,
      "positive_dependencies": 1,
      "qualification_dependencies": 1,
      "naming_dependencies": 0,
      "positive_constructs": [
        "C03"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"WG",
      "score": 0.541667,
      "positive_dependencies": 1,
      "qualification_dependencies": 1,
      "naming_dependencies": 0,
      "positive_constructs": [
        "C03"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"UR",
      "score": 0.458333,
      "positive_dependencies": 1,
      "qualification_dependencies": 1,
      "naming_dependencies": 0,
      "positive_constructs": [
        "C07"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"COLORLESS",
      "score": 0.375,
      "positive_dependencies": 1,
      "qualification_dependencies": 1,
      "naming_dependencies": 0,
      "positive_constructs": [
        "C07"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"MARDU",
      "score": 0.25,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"JESKAI",
      "score": 0.0625,
      "positive_dependencies": 0,
      "qualification_dependencies": 0,
      "naming_dependencies": 0,
      "positive_constructs": [],
      "satisfied_naming_rule_ids": [],
      "naming_qualification": {
        "identity": "JESKAI",
        "qualified": false,
        "satisfied_naming_ru</x:v>
      </x:c>
    </x:row>
    <x:row r="78">
      <x:c r="A78" s="53" t="str">
        <x:v>Part 2/3</x:v>
      </x:c>
      <x:c r="B78" s="53" t="str">
        <x:v>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"W",
    "WU",
    "ABZAN",
    "JUND",
    "R",
    "RG",
    "WG"
  ],
  "alternatives": [],
  "refinement": {
    "kind": "no_approved_discriminator",
    "can_reduce_ambiguity": false,
    "remaining_candidates": [
      "W",
      "WU",
      "ABZAN",
      "JUND",
      "R",
      "RG",
      "WG",
      "UR"
    ],
    "unresolved_boundaries": [
      {
        "pair_id": "R__W",
        "identities": [
          "R",
          "W"
        ],
        "distinction": "R uses Initiative posture evidence; W uses Disruption response evidence. No direct pair claim is made.",
        "question_ids": [
          "b1.gate.initiative.v1",
          "b1.gate.disruption.v1",
          "b1.crucible.mono-multi.v1",
          "b1.hall.commitment.v1",
          "b1.hall.pressure.v1",
          "b1.crucible.disruption-boundary.v1"
        ],
        "coverage_status": "DIRECT-OR-STRUCTURAL-MAPPING-HYPOTHESIS; bounded player validation required"
      },
      {
        "pair_id": "W__WU",
        "identities": [
          "W",
          "WU"
        ],
        "distinction": "W uses Disruption response evidence; WU uses Mana commitment and interaction window evidence. No direct pair claim is made.",
        "question_ids": [
          "b1.gate.disruption.v1",
          "b1.hall.interaction-window.v1",
          "b1.crucible.mono-multi.v1",
          "b1.hall.information-to-plan.v1"
        ],
        "coverage_status": "DIRECT-OR-STRUCTURAL-MAPPING-HYPOTHESIS; bounded player validation required"
      }
    ],
    "missing_constructs": [
      "C06",
      "C08",
      "C12",
      "C14"
    ],
    "question_id": null,
    "purpose": "none_for_clean_primary",
    "target_identities": [
      "W",
      "WU",
      "ABZAN"
    ],
    "target_pair_ids": [
      "R__W",
      "W__WU"
    ],
    "distinction": "",
    "revisit": null,
    "limitation": "The named reading is complete; optional questioning is not used merely to add another explanation card."
  },
  "stopping": {
    "stop": true,
    "state": "primary",
    "reason": "clear_separation",
    "can_improve": true,
    "next_question_id": "b1.hall.interaction-window.v1"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keep the board",
      "prompt": "A board wipe—an effect that removes many cards and tokens from the battlefield—is likely next turn. What would you rather have prepared?",
      "observation": "Prefers protection before broad disruption.",
      "deltas": [
        {
          "faction": "ABZAN",
          "delta": 0.5
        },
        {
          "faction": "W",
          "delta": 0.5
        },
        {
          "faction": "WG",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"answer_title": "Apply one clear rule",
      "prompt": "The table agrees to stop a repeatable threat. Before your next turn, the board changes and that threat is weaker but still present. What should the agreement require now?",
      "observation": "Prefers public procedural consistency after circumstances change.",
      "deltas": [
        {
          "faction": "W",
          "delta": 1
        },
        {
          "faction": "WU",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x:v>
      </x:c>
    </x:row>
    <x:row r="79">
      <x:c r="A79" s="53" t="str">
        <x:v>Part 3/3</x:v>
      </x:c>
      <x:c r="B79" s="53" t="str">
        <x:v>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"b1.gate.disruption.v1.protect",
      "stage": "gate",
      "evidence_class": "BEHAVIORAL_OBSERVATION"
    },
    {
      "question_id": "b1.gate.tempo.v1",
      "answer_id": "b1.gate.tempo.v1.burst",
      "stage": "gate",
      "evidence_class": "BEHAVIORAL_OBSERVATION"
    },
    {
      "question_id": "b1.hall.pressure.v1",
      "answer_id": "b1.hall.pressure.v1.engine",
      "stage": "hall",
      "evidence_class": "BEHAVIORAL_OBSERVATION"
    },
    {
      "question_id": "b1.hall.commitment.v1",
      "answer_id": "b1.hall.commitment.v1.procedure",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6:T36"/>
    <x:mergeCell ref="A76:T7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Blue — Engine Trace</x:v>
      </x:c>
      <x:c r="B1" s="3"/>
      <x:c r="C1" s="3"/>
      <x:c r="D1" s="3"/>
      <x:c r="E1" s="3"/>
      <x:c r="F1" s="3"/>
      <x:c r="G1" s="3"/>
      <x:c r="H1" s="3"/>
      <x:c r="I1" s="3"/>
      <x:c r="J1" s="3"/>
      <x:c r="K1" s="3"/>
      <x:c r="L1" s="3"/>
      <x:c r="M1" s="3"/>
      <x:c r="N1" s="3"/>
      <x:c r="O1" s="3"/>
      <x:c r="P1" s="3"/>
      <x:c r="Q1" s="3"/>
      <x:c r="R1" s="3"/>
      <x:c r="S1" s="3"/>
      <x:c r="T1" s="3"/>
    </x:row>
    <x:row r="2" ht="30" customHeight="1">
      <x:c r="A2" s="7" t="str">
        <x:v>ENGINE-U • PASS_MATCH • primary • trace 0d14d470cda71a90fb28a01dce9927cd78157341e0e8fe5f3f920ae065d08cd7</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U</x:v>
      </x:c>
    </x:row>
    <x:row r="6">
      <x:c r="A6" s="53" t="str">
        <x:v>Expected public contract</x:v>
      </x:c>
      <x:c r="B6" s="53" t="str">
        <x:v>NAMED_DOSSIER</x:v>
      </x:c>
    </x:row>
    <x:row r="7">
      <x:c r="A7" s="53" t="str">
        <x:v>Witness status</x:v>
      </x:c>
      <x:c r="B7" s="53" t="str">
        <x:v>CURRENT_COMPATIBLE</x:v>
      </x:c>
    </x:row>
    <x:row r="8">
      <x:c r="A8" s="53" t="str">
        <x:v>Actual result</x:v>
      </x:c>
      <x:c r="B8" s="53" t="str">
        <x:v>U</x:v>
      </x:c>
    </x:row>
    <x:row r="9">
      <x:c r="A9" s="53" t="str">
        <x:v>Directional result</x:v>
      </x:c>
      <x:c r="B9" s="53" t="str">
        <x:v>U</x:v>
      </x:c>
    </x:row>
    <x:row r="10">
      <x:c r="A10" s="53" t="str">
        <x:v>Public state</x:v>
      </x:c>
      <x:c r="B10" s="53" t="str">
        <x:v>current-best-fit</x:v>
      </x:c>
    </x:row>
    <x:row r="11">
      <x:c r="A11" s="53" t="str">
        <x:v>Raw numeric leader</x:v>
      </x:c>
      <x:c r="B11" s="53" t="str">
        <x:v>U</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U</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outputs/01a02cd6-bce7-7832-9558-3075c52f146a/archscry-current-state-2026-08-22/evidence/engine/traces/u.json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b1.hall.interaction-window.v1.after</x:v>
      </x:c>
      <x:c r="G33" s="53" t="str">
        <x:v>When the key piece appears</x:v>
      </x:c>
      <x:c r="H33" s="53" t="str">
        <x:v>C08</x:v>
      </x:c>
      <x:c r="I33" s="53" t="str">
        <x:v>SIG_C08_LATE_WINDOW</x:v>
      </x:c>
      <x:c r="J33" s="53" t="str">
        <x:v>DG_C08</x:v>
      </x:c>
      <x:c r="K33" s="53" t="str">
        <x:v>BEHAVIORAL_OBSERVATION</x:v>
      </x:c>
      <x:c r="L33" s="53" t="str">
        <x:v>U</x:v>
      </x:c>
      <x:c r="M33" s="53" t="str"/>
      <x:c r="N33" s="53" t="n">
        <x:v>1</x:v>
      </x:c>
      <x:c r="O33" s="54" t="b">
        <x:v>1</x:v>
      </x:c>
      <x:c r="P33" s="53" t="str">
        <x:v>REMEDIATION_MAPPING_HYPOTHESIS</x:v>
      </x:c>
      <x:c r="Q33" s="53" t="str">
        <x:v>Prefers more information before committing a held answer.</x:v>
      </x:c>
      <x:c r="R33" s="53" t="str">
        <x:v>A player may wait because their card can only answer a visible permanent.</x:v>
      </x:c>
      <x:c r="S33" s="53" t="str">
        <x:v>U</x:v>
      </x:c>
      <x:c r="T33" s="53" t="str">
        <x:v>incomplete / minimum_questions / b1.hall.information-to-plan.v1</x:v>
      </x:c>
    </x:row>
    <x:row r="34">
      <x:c r="A34" s="53" t="n">
        <x:v>6</x:v>
      </x:c>
      <x:c r="B34" s="53" t="str">
        <x:v>main</x:v>
      </x:c>
      <x:c r="C34" s="53" t="str">
        <x:v>hall</x:v>
      </x:c>
      <x:c r="D34" s="53" t="str">
        <x:v>b1.hall.information-to-plan.v1</x:v>
      </x:c>
      <x:c r="E34" s="53" t="str">
        <x:v>A dangerous opposing play has been stopped, and you now have enough cards to choose among several workable plans. What do you most want to do next?</x:v>
      </x:c>
      <x:c r="F34" s="53" t="str">
        <x:v>b1.hall.information-to-plan.v1.consolidate</x:v>
      </x:c>
      <x:c r="G34" s="53" t="str">
        <x:v>Choose one route</x:v>
      </x:c>
      <x:c r="H34" s="53" t="str">
        <x:v>C16</x:v>
      </x:c>
      <x:c r="I34" s="53" t="str">
        <x:v>SIG_C16_CONSOLIDATE</x:v>
      </x:c>
      <x:c r="J34" s="53" t="str">
        <x:v>DG_C16</x:v>
      </x:c>
      <x:c r="K34" s="53" t="str">
        <x:v>BEHAVIORAL_OBSERVATION</x:v>
      </x:c>
      <x:c r="L34" s="53" t="str">
        <x:v>ESPER</x:v>
      </x:c>
      <x:c r="M34" s="53" t="str"/>
      <x:c r="N34" s="53" t="n">
        <x:v>0.6</x:v>
      </x:c>
      <x:c r="O34" s="54" t="b">
        <x:v>0</x:v>
      </x:c>
      <x:c r="P34" s="53" t="str">
        <x:v>MAPPING_HYPOTHESIS</x:v>
      </x:c>
      <x:c r="Q34" s="53" t="str">
        <x:v>Prefers to consolidate new options into one planned route.</x:v>
      </x:c>
      <x:c r="R34" s="53" t="str">
        <x:v>Observation wording and identity association require player validation; no weight is authorized.</x:v>
      </x:c>
      <x:c r="S34" s="53" t="str">
        <x:v>U</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b1.hall.engine-shape.v1.central</x:v>
      </x:c>
      <x:c r="G35" s="53" t="str">
        <x:v>Rebuild the center</x:v>
      </x:c>
      <x:c r="H35" s="53" t="str">
        <x:v>C06</x:v>
      </x:c>
      <x:c r="I35" s="53" t="str">
        <x:v>SIG_C06_CENTRAL</x:v>
      </x:c>
      <x:c r="J35" s="53" t="str">
        <x:v>DG_C06</x:v>
      </x:c>
      <x:c r="K35" s="53" t="str">
        <x:v>BEHAVIORAL_OBSERVATION</x:v>
      </x:c>
      <x:c r="L35" s="53" t="str">
        <x:v>ESPER | QUANDRIX | U</x:v>
      </x:c>
      <x:c r="M35" s="53" t="str"/>
      <x:c r="N35" s="53" t="n">
        <x:v>0.5</x:v>
      </x:c>
      <x:c r="O35" s="54" t="b">
        <x:v>0</x:v>
      </x:c>
      <x:c r="P35" s="53" t="str">
        <x:v>REMEDIATION_MAPPING_HYPOTHESIS</x:v>
      </x:c>
      <x:c r="Q35" s="53" t="str">
        <x:v>Accepts one designed central dependency after revision.</x:v>
      </x:c>
      <x:c r="R35" s="53" t="str">
        <x:v>Some decks have a central engine because of card availability or commander design.</x:v>
      </x:c>
      <x:c r="S35" s="53" t="str">
        <x:v>U</x:v>
      </x:c>
      <x:c r="T35" s="53" t="str">
        <x:v>primary / clear_separation / b1.crucible.disruption-boundary.v1</x:v>
      </x:c>
    </x:row>
    <x:row r="37" ht="28" customHeight="1">
      <x:c r="A37" s="45" t="str">
        <x:v>FINAL CANDIDATE INVENTORY</x:v>
      </x:c>
      <x:c r="B37" s="45"/>
      <x:c r="C37" s="45"/>
      <x:c r="D37" s="45"/>
      <x:c r="E37" s="45"/>
      <x:c r="F37" s="45"/>
      <x:c r="G37" s="45"/>
      <x:c r="H37" s="45"/>
      <x:c r="I37" s="45"/>
      <x:c r="J37" s="45"/>
      <x:c r="K37" s="45"/>
      <x:c r="L37" s="45"/>
      <x:c r="M37" s="45"/>
      <x:c r="N37" s="45"/>
      <x:c r="O37" s="45"/>
      <x:c r="P37" s="45"/>
      <x:c r="Q37" s="45"/>
      <x:c r="R37" s="45"/>
      <x:c r="S37" s="45"/>
      <x:c r="T37" s="45"/>
    </x:row>
    <x:row r="38" ht="28" customHeight="1">
      <x:c r="A38" s="45" t="str">
        <x:v>Rank</x:v>
      </x:c>
      <x:c r="B38" s="45" t="str">
        <x:v>Identity</x:v>
      </x:c>
      <x:c r="C38" s="45" t="str">
        <x:v>Name</x:v>
      </x:c>
      <x:c r="D38" s="45" t="str">
        <x:v>Score</x:v>
      </x:c>
      <x:c r="E38" s="45" t="str">
        <x:v>Qualified</x:v>
      </x:c>
      <x:c r="F38" s="45" t="str">
        <x:v>Positive Constructs</x:v>
      </x:c>
    </x:row>
    <x:row r="39">
      <x:c r="A39" s="53" t="n">
        <x:v>1</x:v>
      </x:c>
      <x:c r="B39" s="53" t="str">
        <x:v>U</x:v>
      </x:c>
      <x:c r="C39" s="53" t="str">
        <x:v>Blue</x:v>
      </x:c>
      <x:c r="D39" s="53" t="n">
        <x:v>0.8125</x:v>
      </x:c>
      <x:c r="E39" s="54" t="b">
        <x:v>1</x:v>
      </x:c>
      <x:c r="F39" s="53" t="str">
        <x:v>C06 | C08</x:v>
      </x:c>
    </x:row>
    <x:row r="40">
      <x:c r="A40" s="53" t="n">
        <x:v>2</x:v>
      </x:c>
      <x:c r="B40" s="53" t="str">
        <x:v>ESPER</x:v>
      </x:c>
      <x:c r="C40" s="53" t="str">
        <x:v>Esper</x:v>
      </x:c>
      <x:c r="D40" s="53" t="n">
        <x:v>0.6</x:v>
      </x:c>
      <x:c r="E40" s="54" t="b">
        <x:v>0</x:v>
      </x:c>
      <x:c r="F40" s="53" t="str">
        <x:v>C06 | C16</x:v>
      </x:c>
    </x:row>
    <x:row r="41">
      <x:c r="A41" s="53" t="n">
        <x:v>3</x:v>
      </x:c>
      <x:c r="B41" s="53" t="str">
        <x:v>JESKAI</x:v>
      </x:c>
      <x:c r="C41" s="53" t="str">
        <x:v>Jeskai Way</x:v>
      </x:c>
      <x:c r="D41" s="53" t="n">
        <x:v>0.5625</x:v>
      </x:c>
      <x:c r="E41" s="54" t="b">
        <x:v>0</x:v>
      </x:c>
      <x:c r="F41" s="53" t="str">
        <x:v>C01</x:v>
      </x:c>
    </x:row>
    <x:row r="42">
      <x:c r="A42" s="53" t="n">
        <x:v>4</x:v>
      </x:c>
      <x:c r="B42" s="53" t="str">
        <x:v>QUANDRIX</x:v>
      </x:c>
      <x:c r="C42" s="53" t="str">
        <x:v>Quandrix College</x:v>
      </x:c>
      <x:c r="D42" s="53" t="n">
        <x:v>0.458333</x:v>
      </x:c>
      <x:c r="E42" s="54" t="b">
        <x:v>0</x:v>
      </x:c>
      <x:c r="F42" s="53" t="str">
        <x:v>C06</x:v>
      </x:c>
    </x:row>
    <x:row r="43">
      <x:c r="A43" s="53" t="n">
        <x:v>5</x:v>
      </x:c>
      <x:c r="B43" s="53" t="str">
        <x:v>GRIXIS</x:v>
      </x:c>
      <x:c r="C43" s="53" t="str">
        <x:v>Grixis</x:v>
      </x:c>
      <x:c r="D43" s="53" t="n">
        <x:v>0.1875</x:v>
      </x:c>
      <x:c r="E43" s="54" t="b">
        <x:v>0</x:v>
      </x:c>
      <x:c r="F43" s="53" t="str"/>
    </x:row>
    <x:row r="44">
      <x:c r="A44" s="53" t="n">
        <x:v>6</x:v>
      </x:c>
      <x:c r="B44" s="53" t="str">
        <x:v>UB</x:v>
      </x:c>
      <x:c r="C44" s="53" t="str">
        <x:v>House Dimir</x:v>
      </x:c>
      <x:c r="D44" s="53" t="n">
        <x:v>0.1875</x:v>
      </x:c>
      <x:c r="E44" s="54" t="b">
        <x:v>0</x:v>
      </x:c>
      <x:c r="F44" s="53" t="str"/>
    </x:row>
    <x:row r="45">
      <x:c r="A45" s="53" t="n">
        <x:v>7</x:v>
      </x:c>
      <x:c r="B45" s="53" t="str">
        <x:v>WU</x:v>
      </x:c>
      <x:c r="C45" s="53" t="str">
        <x:v>Azorius Senate</x:v>
      </x:c>
      <x:c r="D45" s="53" t="n">
        <x:v>0.125</x:v>
      </x:c>
      <x:c r="E45" s="54" t="b">
        <x:v>0</x:v>
      </x:c>
      <x:c r="F45" s="53" t="str"/>
    </x:row>
    <x:row r="46">
      <x:c r="A46" s="53" t="n">
        <x:v>8</x:v>
      </x:c>
      <x:c r="B46" s="53" t="str">
        <x:v>WITCH</x:v>
      </x:c>
      <x:c r="C46" s="53" t="str">
        <x:v>Witch / Growth</x:v>
      </x:c>
      <x:c r="D46" s="53" t="n">
        <x:v>0.083333</x:v>
      </x:c>
      <x:c r="E46" s="54" t="b">
        <x:v>0</x:v>
      </x:c>
      <x:c r="F46" s="53" t="str"/>
    </x:row>
    <x:row r="47">
      <x:c r="A47" s="53" t="n">
        <x:v>9</x:v>
      </x:c>
      <x:c r="B47" s="53" t="str">
        <x:v>BG</x:v>
      </x:c>
      <x:c r="C47" s="53" t="str">
        <x:v>Golgari Swarm</x:v>
      </x:c>
      <x:c r="D47" s="53" t="n">
        <x:v>0.083333</x:v>
      </x:c>
      <x:c r="E47" s="54" t="b">
        <x:v>0</x:v>
      </x:c>
      <x:c r="F47" s="53" t="str"/>
    </x:row>
    <x:row r="48">
      <x:c r="A48" s="53" t="n">
        <x:v>10</x:v>
      </x:c>
      <x:c r="B48" s="53" t="str">
        <x:v>COLORLESS</x:v>
      </x:c>
      <x:c r="C48" s="53" t="str">
        <x:v>Colorless</x:v>
      </x:c>
      <x:c r="D48" s="53" t="n">
        <x:v>0.083333</x:v>
      </x:c>
      <x:c r="E48" s="54" t="b">
        <x:v>0</x:v>
      </x:c>
      <x:c r="F48" s="53" t="str"/>
    </x:row>
    <x:row r="49">
      <x:c r="A49" s="53" t="n">
        <x:v>11</x:v>
      </x:c>
      <x:c r="B49" s="53" t="str">
        <x:v>GLINT</x:v>
      </x:c>
      <x:c r="C49" s="53" t="str">
        <x:v>Glint / Chaos</x:v>
      </x:c>
      <x:c r="D49" s="53" t="n">
        <x:v>0.083333</x:v>
      </x:c>
      <x:c r="E49" s="54" t="b">
        <x:v>0</x:v>
      </x:c>
      <x:c r="F49" s="53" t="str"/>
    </x:row>
    <x:row r="50">
      <x:c r="A50" s="53" t="n">
        <x:v>12</x:v>
      </x:c>
      <x:c r="B50" s="53" t="str">
        <x:v>JUND</x:v>
      </x:c>
      <x:c r="C50" s="53" t="str">
        <x:v>Jund</x:v>
      </x:c>
      <x:c r="D50" s="53" t="n">
        <x:v>0.083333</x:v>
      </x:c>
      <x:c r="E50" s="54" t="b">
        <x:v>0</x:v>
      </x:c>
      <x:c r="F50" s="53" t="str"/>
    </x:row>
    <x:row r="51">
      <x:c r="A51" s="53" t="n">
        <x:v>13</x:v>
      </x:c>
      <x:c r="B51" s="53" t="str">
        <x:v>LOREHOLD</x:v>
      </x:c>
      <x:c r="C51" s="53" t="str">
        <x:v>Lorehold College</x:v>
      </x:c>
      <x:c r="D51" s="53" t="n">
        <x:v>0.083333</x:v>
      </x:c>
      <x:c r="E51" s="54" t="b">
        <x:v>0</x:v>
      </x:c>
      <x:c r="F51" s="53" t="str"/>
    </x:row>
    <x:row r="52">
      <x:c r="A52" s="53" t="n">
        <x:v>14</x:v>
      </x:c>
      <x:c r="B52" s="53" t="str">
        <x:v>MARDU</x:v>
      </x:c>
      <x:c r="C52" s="53" t="str">
        <x:v>Mardu Horde</x:v>
      </x:c>
      <x:c r="D52" s="53" t="n">
        <x:v>0.083333</x:v>
      </x:c>
      <x:c r="E52" s="54" t="b">
        <x:v>0</x:v>
      </x:c>
      <x:c r="F52" s="53" t="str"/>
    </x:row>
    <x:row r="53">
      <x:c r="A53" s="53" t="n">
        <x:v>15</x:v>
      </x:c>
      <x:c r="B53" s="53" t="str">
        <x:v>R</x:v>
      </x:c>
      <x:c r="C53" s="53" t="str">
        <x:v>Red</x:v>
      </x:c>
      <x:c r="D53" s="53" t="n">
        <x:v>0.083333</x:v>
      </x:c>
      <x:c r="E53" s="54" t="b">
        <x:v>0</x:v>
      </x:c>
      <x:c r="F53" s="53" t="str"/>
    </x:row>
    <x:row r="54">
      <x:c r="A54" s="53" t="n">
        <x:v>16</x:v>
      </x:c>
      <x:c r="B54" s="53" t="str">
        <x:v>RG</x:v>
      </x:c>
      <x:c r="C54" s="53" t="str">
        <x:v>Gruul Clans</x:v>
      </x:c>
      <x:c r="D54" s="53" t="n">
        <x:v>0.083333</x:v>
      </x:c>
      <x:c r="E54" s="54" t="b">
        <x:v>0</x:v>
      </x:c>
      <x:c r="F54" s="53" t="str"/>
    </x:row>
    <x:row r="55">
      <x:c r="A55" s="53" t="n">
        <x:v>17</x:v>
      </x:c>
      <x:c r="B55" s="53" t="str">
        <x:v>SULTAI</x:v>
      </x:c>
      <x:c r="C55" s="53" t="str">
        <x:v>Sultai Brood</x:v>
      </x:c>
      <x:c r="D55" s="53" t="n">
        <x:v>0.083333</x:v>
      </x:c>
      <x:c r="E55" s="54" t="b">
        <x:v>0</x:v>
      </x:c>
      <x:c r="F55" s="53" t="str"/>
    </x:row>
    <x:row r="56">
      <x:c r="A56" s="53" t="n">
        <x:v>18</x:v>
      </x:c>
      <x:c r="B56" s="53" t="str">
        <x:v>TEMUR</x:v>
      </x:c>
      <x:c r="C56" s="53" t="str">
        <x:v>Temur Frontier</x:v>
      </x:c>
      <x:c r="D56" s="53" t="n">
        <x:v>0.083333</x:v>
      </x:c>
      <x:c r="E56" s="54" t="b">
        <x:v>0</x:v>
      </x:c>
      <x:c r="F56" s="53" t="str"/>
    </x:row>
    <x:row r="57">
      <x:c r="A57" s="53" t="n">
        <x:v>19</x:v>
      </x:c>
      <x:c r="B57" s="53" t="str">
        <x:v>UG</x:v>
      </x:c>
      <x:c r="C57" s="53" t="str">
        <x:v>Simic Combine</x:v>
      </x:c>
      <x:c r="D57" s="53" t="n">
        <x:v>0.083333</x:v>
      </x:c>
      <x:c r="E57" s="54" t="b">
        <x:v>0</x:v>
      </x:c>
      <x:c r="F57" s="53" t="str"/>
    </x:row>
    <x:row r="58">
      <x:c r="A58" s="53" t="n">
        <x:v>20</x:v>
      </x:c>
      <x:c r="B58" s="53" t="str">
        <x:v>UR</x:v>
      </x:c>
      <x:c r="C58" s="53" t="str">
        <x:v>Izzet League</x:v>
      </x:c>
      <x:c r="D58" s="53" t="n">
        <x:v>0.083333</x:v>
      </x:c>
      <x:c r="E58" s="54" t="b">
        <x:v>0</x:v>
      </x:c>
      <x:c r="F58" s="53" t="str"/>
    </x:row>
    <x:row r="59">
      <x:c r="A59" s="53" t="n">
        <x:v>21</x:v>
      </x:c>
      <x:c r="B59" s="53" t="str">
        <x:v>WITHERBLOOM</x:v>
      </x:c>
      <x:c r="C59" s="53" t="str">
        <x:v>Witherbloom College</x:v>
      </x:c>
      <x:c r="D59" s="53" t="n">
        <x:v>0.083333</x:v>
      </x:c>
      <x:c r="E59" s="54" t="b">
        <x:v>0</x:v>
      </x:c>
      <x:c r="F59" s="53" t="str"/>
    </x:row>
    <x:row r="60">
      <x:c r="A60" s="53" t="n">
        <x:v>22</x:v>
      </x:c>
      <x:c r="B60" s="53" t="str">
        <x:v>WR</x:v>
      </x:c>
      <x:c r="C60" s="53" t="str">
        <x:v>Boros Legion</x:v>
      </x:c>
      <x:c r="D60" s="53" t="n">
        <x:v>0.083333</x:v>
      </x:c>
      <x:c r="E60" s="54" t="b">
        <x:v>0</x:v>
      </x:c>
      <x:c r="F60" s="53" t="str"/>
    </x:row>
    <x:row r="61">
      <x:c r="A61" s="53" t="n">
        <x:v>23</x:v>
      </x:c>
      <x:c r="B61" s="53" t="str">
        <x:v>YORE</x:v>
      </x:c>
      <x:c r="C61" s="53" t="str">
        <x:v>Yore / Artifice</x:v>
      </x:c>
      <x:c r="D61" s="53" t="n">
        <x:v>0.083333</x:v>
      </x:c>
      <x:c r="E61" s="54" t="b">
        <x:v>0</x:v>
      </x:c>
      <x:c r="F61" s="53" t="str"/>
    </x:row>
    <x:row r="62">
      <x:c r="A62" s="53" t="n">
        <x:v>24</x:v>
      </x:c>
      <x:c r="B62" s="53" t="str">
        <x:v>B</x:v>
      </x:c>
      <x:c r="C62" s="53" t="str">
        <x:v>Black</x:v>
      </x:c>
      <x:c r="D62" s="53" t="n">
        <x:v>0.0625</x:v>
      </x:c>
      <x:c r="E62" s="54" t="b">
        <x:v>0</x:v>
      </x:c>
      <x:c r="F62" s="53" t="str"/>
    </x:row>
    <x:row r="63">
      <x:c r="A63" s="53" t="n">
        <x:v>25</x:v>
      </x:c>
      <x:c r="B63" s="53" t="str">
        <x:v>ABZAN</x:v>
      </x:c>
      <x:c r="C63" s="53" t="str">
        <x:v>Abzan Houses</x:v>
      </x:c>
      <x:c r="D63" s="53" t="n">
        <x:v>0</x:v>
      </x:c>
      <x:c r="E63" s="54" t="b">
        <x:v>0</x:v>
      </x:c>
      <x:c r="F63" s="53" t="str"/>
    </x:row>
    <x:row r="64">
      <x:c r="A64" s="53" t="n">
        <x:v>26</x:v>
      </x:c>
      <x:c r="B64" s="53" t="str">
        <x:v>BANT</x:v>
      </x:c>
      <x:c r="C64" s="53" t="str">
        <x:v>Bant</x:v>
      </x:c>
      <x:c r="D64" s="53" t="n">
        <x:v>0</x:v>
      </x:c>
      <x:c r="E64" s="54" t="b">
        <x:v>0</x:v>
      </x:c>
      <x:c r="F64" s="53" t="str"/>
    </x:row>
    <x:row r="65">
      <x:c r="A65" s="53" t="n">
        <x:v>27</x:v>
      </x:c>
      <x:c r="B65" s="53" t="str">
        <x:v>BR</x:v>
      </x:c>
      <x:c r="C65" s="53" t="str">
        <x:v>Cult of Rakdos</x:v>
      </x:c>
      <x:c r="D65" s="53" t="n">
        <x:v>0</x:v>
      </x:c>
      <x:c r="E65" s="54" t="b">
        <x:v>0</x:v>
      </x:c>
      <x:c r="F65" s="53" t="str"/>
    </x:row>
    <x:row r="66">
      <x:c r="A66" s="53" t="n">
        <x:v>28</x:v>
      </x:c>
      <x:c r="B66" s="53" t="str">
        <x:v>DUNE</x:v>
      </x:c>
      <x:c r="C66" s="53" t="str">
        <x:v>Dune / Aggression</x:v>
      </x:c>
      <x:c r="D66" s="53" t="n">
        <x:v>0</x:v>
      </x:c>
      <x:c r="E66" s="54" t="b">
        <x:v>0</x:v>
      </x:c>
      <x:c r="F66" s="53" t="str"/>
    </x:row>
    <x:row r="67">
      <x:c r="A67" s="53" t="n">
        <x:v>29</x:v>
      </x:c>
      <x:c r="B67" s="53" t="str">
        <x:v>G</x:v>
      </x:c>
      <x:c r="C67" s="53" t="str">
        <x:v>Green</x:v>
      </x:c>
      <x:c r="D67" s="53" t="n">
        <x:v>0</x:v>
      </x:c>
      <x:c r="E67" s="54" t="b">
        <x:v>0</x:v>
      </x:c>
      <x:c r="F67" s="53" t="str"/>
    </x:row>
    <x:row r="68">
      <x:c r="A68" s="53" t="n">
        <x:v>30</x:v>
      </x:c>
      <x:c r="B68" s="53" t="str">
        <x:v>INK</x:v>
      </x:c>
      <x:c r="C68" s="53" t="str">
        <x:v>Ink / Altruism</x:v>
      </x:c>
      <x:c r="D68" s="53" t="n">
        <x:v>0</x:v>
      </x:c>
      <x:c r="E68" s="54" t="b">
        <x:v>0</x:v>
      </x:c>
      <x:c r="F68" s="53" t="str"/>
    </x:row>
    <x:row r="69">
      <x:c r="A69" s="53" t="n">
        <x:v>31</x:v>
      </x:c>
      <x:c r="B69" s="53" t="str">
        <x:v>NAYA</x:v>
      </x:c>
      <x:c r="C69" s="53" t="str">
        <x:v>Naya</x:v>
      </x:c>
      <x:c r="D69" s="53" t="n">
        <x:v>0</x:v>
      </x:c>
      <x:c r="E69" s="54" t="b">
        <x:v>0</x:v>
      </x:c>
      <x:c r="F69" s="53" t="str"/>
    </x:row>
    <x:row r="70">
      <x:c r="A70" s="53" t="n">
        <x:v>32</x:v>
      </x:c>
      <x:c r="B70" s="53" t="str">
        <x:v>PRISMARI</x:v>
      </x:c>
      <x:c r="C70" s="53" t="str">
        <x:v>Prismari College</x:v>
      </x:c>
      <x:c r="D70" s="53" t="n">
        <x:v>0</x:v>
      </x:c>
      <x:c r="E70" s="54" t="b">
        <x:v>0</x:v>
      </x:c>
      <x:c r="F70" s="53" t="str"/>
    </x:row>
    <x:row r="71">
      <x:c r="A71" s="53" t="n">
        <x:v>33</x:v>
      </x:c>
      <x:c r="B71" s="53" t="str">
        <x:v>SILVERQUILL</x:v>
      </x:c>
      <x:c r="C71" s="53" t="str">
        <x:v>Silverquill College</x:v>
      </x:c>
      <x:c r="D71" s="53" t="n">
        <x:v>0</x:v>
      </x:c>
      <x:c r="E71" s="54" t="b">
        <x:v>0</x:v>
      </x:c>
      <x:c r="F71" s="53" t="str"/>
    </x:row>
    <x:row r="72">
      <x:c r="A72" s="53" t="n">
        <x:v>34</x:v>
      </x:c>
      <x:c r="B72" s="53" t="str">
        <x:v>W</x:v>
      </x:c>
      <x:c r="C72" s="53" t="str">
        <x:v>White</x:v>
      </x:c>
      <x:c r="D72" s="53" t="n">
        <x:v>0</x:v>
      </x:c>
      <x:c r="E72" s="54" t="b">
        <x:v>0</x:v>
      </x:c>
      <x:c r="F72" s="53" t="str"/>
    </x:row>
    <x:row r="73">
      <x:c r="A73" s="53" t="n">
        <x:v>35</x:v>
      </x:c>
      <x:c r="B73" s="53" t="str">
        <x:v>WB</x:v>
      </x:c>
      <x:c r="C73" s="53" t="str">
        <x:v>Orzhov Syndicate</x:v>
      </x:c>
      <x:c r="D73" s="53" t="n">
        <x:v>0</x:v>
      </x:c>
      <x:c r="E73" s="54" t="b">
        <x:v>0</x:v>
      </x:c>
      <x:c r="F73" s="53" t="str"/>
    </x:row>
    <x:row r="74">
      <x:c r="A74" s="53" t="n">
        <x:v>36</x:v>
      </x:c>
      <x:c r="B74" s="53" t="str">
        <x:v>WG</x:v>
      </x:c>
      <x:c r="C74" s="53" t="str">
        <x:v>Selesnya Conclave</x:v>
      </x:c>
      <x:c r="D74" s="53" t="n">
        <x:v>0</x:v>
      </x:c>
      <x:c r="E74" s="54" t="b">
        <x:v>0</x:v>
      </x:c>
      <x:c r="F74" s="53" t="str"/>
    </x:row>
    <x:row r="75">
      <x:c r="A75" s="53" t="n">
        <x:v>37</x:v>
      </x:c>
      <x:c r="B75" s="53" t="str">
        <x:v>WUBRG</x:v>
      </x:c>
      <x:c r="C75" s="53" t="str">
        <x:v>Five-Color / WUBRG</x:v>
      </x:c>
      <x:c r="D75" s="53" t="n">
        <x:v>0</x:v>
      </x:c>
      <x:c r="E75" s="54" t="b">
        <x:v>0</x:v>
      </x:c>
      <x:c r="F75" s="53" t="str"/>
    </x:row>
    <x:row r="77" ht="28" customHeight="1">
      <x:c r="A77" s="45" t="str">
        <x:v>FINAL RESULT JSON — CHUNKED ONLY FOR XLSX CELL LIMIT</x:v>
      </x:c>
      <x:c r="B77" s="45"/>
      <x:c r="C77" s="45"/>
      <x:c r="D77" s="45"/>
      <x:c r="E77" s="45"/>
      <x:c r="F77" s="45"/>
      <x:c r="G77" s="45"/>
      <x:c r="H77" s="45"/>
      <x:c r="I77" s="45"/>
      <x:c r="J77" s="45"/>
      <x:c r="K77" s="45"/>
      <x:c r="L77" s="45"/>
      <x:c r="M77" s="45"/>
      <x:c r="N77" s="45"/>
      <x:c r="O77" s="45"/>
      <x:c r="P77" s="45"/>
      <x:c r="Q77" s="45"/>
      <x:c r="R77" s="45"/>
      <x:c r="S77" s="45"/>
      <x:c r="T77" s="45"/>
    </x:row>
    <x:row r="78">
      <x:c r="A78" s="53" t="str">
        <x:v>Part 1/3</x:v>
      </x:c>
      <x:c r="B78" s="53" t="str">
        <x:v>{
  "version": "2026-08-09-gate-b1-v1",
  "model_version": "vm551-gate-b1-placement-engine-v1",
  "instrument_version": "vm551-gate-b1-instrument-v2",
  "mapping_version": "vm551-gate-b1-mapping-v2-instrument-completion",
  "source_mode": "quick",
  "faction": "U",
  "faction_name": "Blue",
  "institution_type": "color",
  "world": "The Color Pie",
  "identity": {
    "core_color": "U",
    "secondary_colors": [],
    "secondary_color": null,
    "expression_key": "U",
    "expression_name": "Blue",
    "expression_kind": "color",
    "purity": 1,
    "routing": {
      "edhrec_slug": "mono-blue",
      "mtgdecks_slug": "mono-blue",
      "label": "Blue"
    }
  },
  "decree": "Blue is the clearest current fit from the approved observations.",
  "confidence": 0.049,
  "confidence_gap": 1,
  "mana_scores": {
    "W": 9,
    "U": 10,
    "B": 9,
    "R": 9,
    "G": 9
  },
  "top_matches": [
    {
      "rank": 1,
      "faction": "U",
      "faction_name": "Blue",
      "institution_type": "color",
      "world": "The Color Pie",
      "identity": {
        "core_color": "U",
        "secondary_colors": [],
        "secondary_color": null,
        "expression_key": "U",
        "expression_name": "Blue",
        "expression_kind": "color",
        "purity": 1,
        "routing": {
          "edhrec_slug": "mono-blue",
          "mtgdecks_slug": "mono-blue",
          "label": "Blue"
        }
      },
      "score": 0.8125,
      "confidence": 0.049,
      "reason": "Blue remained plausible through C01, C06, C08, C16; identity mapping remains a hypothesis."
    }
  ],
  "adjacent_matches": [],
  "internal_candidate_order": [
    {
      "identity": "U",
      "score": 0.8125,
      "positive_dependencies": 2,
      "qualification_dependencies": 2,
      "naming_dependencies": 1,
      "positive_constructs": [
        "C06",
        "C08"
      ],
      "satisfied_naming_rule_ids": [
        "instrument_completion_overlay:b1.hall.interaction-window.v1.after:U"
      ],
      "naming_qualification": {
        "identity": "U",
        "qualified": true,
        "satisfied_naming_rule_ids": [
          "instrument_completion_overlay:b1.hall.interaction-window.v1.after:U"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"C16"
      ]
    },
    {
      "identity": "ESPER",
      "score": 0.6,
      "positive_dependencies": 2,
      "qualification_dependencies": 2,
      "naming_dependencies": 0,
      "positive_constructs": [
        "C06",
        "C16"
      ],
      "satisfied_naming_rule_ids": [],
      "naming_qualification": {
        "identity": "ESPER",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"JESKAI",
      "score": 0.5625,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"QUANDRIX",
      "score": 0.458333,
      "positive_dependencies": 1,
      "qualification_dependencies": 1,
      "naming_dependencies": 0,
      "positive_constructs": [
        "C06"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"C16"
      ]
    },
    {
      "identity": "UB",
      "score": 0.1875,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"WU",
      "score": 0.125,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x:v>
      </x:c>
    </x:row>
    <x:row r="79">
      <x:c r="A79" s="53" t="str">
        <x:v>Part 2/3</x:v>
      </x:c>
      <x:c r="B79" s="53" t="str">
        <x:v>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
      "score": 0,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"U",
    "ESPER",
    "JESKAI"
  ],
  "alternatives": [],
  "refinement": {
    "kind": "no_approved_discriminator",
    "can_reduce_ambiguity": false,
    "remaining_candidates": [
      "U",
      "ESPER",
      "JESKAI",
      "QUANDRIX"
    ],
    "unresolved_boundaries": [
      {
        "pair_id": "ESPER__JESKAI",
        "identities": [
          "ESPER",
          "JESKAI"
        ],
        "distinction": "Direct scenario tests one bounded Commander behavior.",
        "question_ids": [
          "b1.hall.information-to-plan.v1",
          "b1.crucible.esper.v1",
          "b1.crucible.jeskai.v1",
          "b1.hall.engine-shape.v1",
          "b1.hall.interaction-window.v1",
          "b1.crucible.disruption-boundary.v1",
          "b1.gate.initiative.v1"
        ],
        "coverage_status": "DIRECT-OR-STRUCTURAL-MAPPING-HYPOTHESIS; bounded player validation required"
      },
      {
        "pair_id": "JESKAI__QUANDRIX",
        "identities": [
          "JESKAI",
          "QUANDRIX"
        ],
        "distinction": "JESKAI uses Mana commitment and interaction window evidence; QUANDRIX uses Engine concentration evidence. No direct pair claim is made.",
        "question_ids": [
          "b1.hall.interaction-window.v1",
          "b1.hall.engine-shape.v1",
          "b1.crucible.mono-multi.v1",
          "b1.hall.information-to-plan.v1",
          "b1.crucible.ug.v1",
          "b1.crucible.jeskai.v1",
          "b1.hall.setup.v1",
          "b1.gate.initiative.v1"
        ],
        "coverage_status": "DIRECT-OR-STRUCTURAL-MAPPING-HYPOTHESIS; bounded player validation required"
      },
      {
        "pair_id": "JESKAI__U",
        "identities": [
          "JESKAI",
          "U"
        ],
        "distinction": "JESKAI uses Repeatability preference evidence; U uses Engine concentration evidence. No direct pair claim is made.",
        "question_ids": [
          "b1.hall.repeatability.v1",
          "b1.hall.engine-shape.v1",
          "b1.crucible.mono-multi.v1",
          "b1.hall.information-to-plan.v1",
          "b1.crucible.jeskai.v1",
          "b1.hall.interaction-window.v1",
          "b1.crucible.disruption-boundary.v1",
          "b1.gate.initiative.v1"
        ],
        "coverage_status": "DIRECT-OR-STRUCTURAL-MAPPING-HYPOTHESIS; bounded player validation required"
      }
    ],
    "missing_constructs": [
      "C09"
    ],
    "question_id": null,
    "purpose": "none_for_clean_primary",
    "target_identities": [
      "U",
      "ESPER",
      "JESKAI"
    ],
    "target_pair_ids": [
      "ESPER__JESKAI",
      "JESKAI__QUANDRIX",
      "JESKAI__U"
    ],
    "distinction": "",
    "revisit": null,
    "limitation": "The named reading is complete; optional questioning is not used merely to add another explanation card."
  },
  "stopping": {
    "stop": true,
    "state": "primary",
    "reason": "clear_separation",
    "can_improve": true,
    "next_question_id": "b1.crucible.disruption-boundary.v1"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"b1.hall.interaction-window.v1.after",
      "stage": "hall",
      "construct": "C08",
      "bounded_observation": "Prefers more information before committing a held answer.",
      "signal": "SIG_C08_LATE_WINDOW",
      "dependency_group": "DG_C08",
      "evidence_class": "BEHAVIORAL_OBSERVATION",
      "affected_identities": [
        "U"
      ],
      "positive_support": [
        "U"
      ],
      "contradiction": [],
      "neutral": false,
      "mapping_strength": 1,
      "naming_evidence": true,
      "qualification_eligible": true,
      "qualification_support": [
        "U"
      ],
      "naming_support": [
        "U"
      ],
      "naming_rule_ids_by_identity": {
        "U": [
          "instrument_completion_overlay:b1.hall.interaction-window.v1.after:U"
        ]
      },
      "mapping_role": "completion_boundary_direction",
      "mapping_status": "REMEDIATION_MAPPING_HYPOTHESIS",
      "mapping_provenance": "docs/plans/vm551-gate-b1-instrument-completion/instrument-change-adjudication.tsv#b1.hall.interaction-window.v1.after;docs/audits/vm555-b1-identity-evidence-gap-bridge/identity-evidence-gap-matrix.tsv",
      "evidence_provenance": "E-VM555;E-CERTIFIED;E-CECOS;E-PLAYER-LANGUAGE",
      "limitation": "A player may wait because their card can only answer a visible permanent.",
      "behavioral_vs_lens": "behavioral",
      "answer_title": "When the key piece appears",
      "prompt": "An opponent begins a decisive turn, but you do not yet know which card matters most. When do you want your deck to use the card or mana it kept available?",
      "observation": "Prefers more information before committing a held answer.",
      "deltas": [
        {
          "faction": "U",
          "delta": 1
        }
      ]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"answer_title": "Choose one route",
      "prompt": "A dangerous opposing play has been stopped, and you now have enough cards to choose among several workable plans. What do you most want to do next?",
      "observation": "Prefers to consolidate new options into one planned route.",
      "deltas": [
        {
          "faction": "ESPER",
          "delta": 0.6
        }
      ]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"answer_title": "Rebuild the center",
      "prompt": "Opponents have learned how to stop your main engine. When you revise the deck, what structure do you want next?",
      "observation": "Accepts one designed central dependency after revision.",
      "deltas": [
        {
          "faction": "ESPER",
          "delta": 0.5
        },
        {
          "faction": "QUANDRIX",
          "delta": 0.5
        },
        {
          "faction": "U",
          "delta": 0.5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x:v>
      </x:c>
    </x:row>
    <x:row r="80">
      <x:c r="A80" s="53" t="str">
        <x:v>Part 3/3</x:v>
      </x:c>
      <x:c r="B80" s="53" t="str">
        <x:v>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"b1.hall.interaction-window.v1.after",
      "stage": "hall",
      "construct": "C08",
      "bounded_observation": "Prefers more information before committing a held answer.",
      "signal": "SIG_C08_LATE_WINDOW",
      "dependency_group": "DG_C08",
      "evidence_class": "BEHAVIORAL_OBSERVATION",
      "affected_identities": [
        "U"
      ],
      "positive_support": [
        "U"
      ],
      "contradiction": [],
      "neutral": false,
      "mapping_strength": 1,
      "naming_evidence": true,
      "qualification_eligible": true,
      "qualification_support": [
        "U"
      ],
      "naming_support": [
        "U"
      ],
      "naming_rule_ids_by_identity": {
        "U": [
          "instrument_completion_overlay:b1.hall.interaction-window.v1.after:U"
        ]
      },
      "mapping_role": "completion_boundary_direction",
      "mapping_status": "REMEDIATION_MAPPING_HYPOTHESIS",
      "mapping_provenance": "docs/plans/vm551-gate-b1-instrument-completion/instrument-change-adjudication.tsv#b1.hall.interaction-window.v1.after;docs/audits/vm555-b1-identity-evidence-gap-bridge/identity-evidence-gap-matrix.tsv",
      "evidence_provenance": "E-VM555;E-CERTIFIED;E-CECOS;E-PLAYER-LANGUAGE",
      "limitation": "A player may wait because their card can only answer a visible permanent.",
      "behavioral_vs_lens": "behavioral"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"b1.hall.interaction-window.v1.after",
      "stage": "hall",
      "evidence_class": "BEHAVIORAL_OBSERVATION"
    },
    {
      "question_id": "b1.hall.information-to-plan.v1",
      "answer_id": "b1.hall.information-to-plan.v1.consolidate",
      "stage": "hall",
      "evidence_class": "BEHAVIORAL_OBSERVATION"
    },
    {
      "question_id": "b1.hall.engine-shape.v1",
      "answer_id": "b1.hall.engine-shape.v1.central",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7:T37"/>
    <x:mergeCell ref="A77:T77"/>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Black — Engine Trace</x:v>
      </x:c>
      <x:c r="B1" s="3"/>
      <x:c r="C1" s="3"/>
      <x:c r="D1" s="3"/>
      <x:c r="E1" s="3"/>
      <x:c r="F1" s="3"/>
      <x:c r="G1" s="3"/>
      <x:c r="H1" s="3"/>
      <x:c r="I1" s="3"/>
      <x:c r="J1" s="3"/>
      <x:c r="K1" s="3"/>
      <x:c r="L1" s="3"/>
      <x:c r="M1" s="3"/>
      <x:c r="N1" s="3"/>
      <x:c r="O1" s="3"/>
      <x:c r="P1" s="3"/>
      <x:c r="Q1" s="3"/>
      <x:c r="R1" s="3"/>
      <x:c r="S1" s="3"/>
      <x:c r="T1" s="3"/>
    </x:row>
    <x:row r="2" ht="30" customHeight="1">
      <x:c r="A2" s="7" t="str">
        <x:v>ENGINE-B • PASS_MATCH • primary • trace 8a8ae02891b62c97a2788cdc4983fd19cde33552bb172f03b61a92f56c9ffd26</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B</x:v>
      </x:c>
    </x:row>
    <x:row r="6">
      <x:c r="A6" s="53" t="str">
        <x:v>Expected public contract</x:v>
      </x:c>
      <x:c r="B6" s="53" t="str">
        <x:v>NAMED_DOSSIER</x:v>
      </x:c>
    </x:row>
    <x:row r="7">
      <x:c r="A7" s="53" t="str">
        <x:v>Witness status</x:v>
      </x:c>
      <x:c r="B7" s="53" t="str">
        <x:v>CURRENT_COMPATIBLE</x:v>
      </x:c>
    </x:row>
    <x:row r="8">
      <x:c r="A8" s="53" t="str">
        <x:v>Actual result</x:v>
      </x:c>
      <x:c r="B8" s="53" t="str">
        <x:v>B</x:v>
      </x:c>
    </x:row>
    <x:row r="9">
      <x:c r="A9" s="53" t="str">
        <x:v>Directional result</x:v>
      </x:c>
      <x:c r="B9" s="53" t="str">
        <x:v>B</x:v>
      </x:c>
    </x:row>
    <x:row r="10">
      <x:c r="A10" s="53" t="str">
        <x:v>Public state</x:v>
      </x:c>
      <x:c r="B10" s="53" t="str">
        <x:v>current-best-fit</x:v>
      </x:c>
    </x:row>
    <x:row r="11">
      <x:c r="A11" s="53" t="str">
        <x:v>Raw numeric leader</x:v>
      </x:c>
      <x:c r="B11" s="53" t="str">
        <x:v>B</x:v>
      </x:c>
    </x:row>
    <x:row r="12">
      <x:c r="A12" s="53" t="str">
        <x:v>Raw score</x:v>
      </x:c>
      <x:c r="B12" s="53" t="n">
        <x:v>0.6875</x:v>
      </x:c>
    </x:row>
    <x:row r="13">
      <x:c r="A13" s="53" t="str">
        <x:v>Raw leader qualified</x:v>
      </x:c>
      <x:c r="B13" s="54" t="b">
        <x:v>1</x:v>
      </x:c>
    </x:row>
    <x:row r="14">
      <x:c r="A14" s="53" t="str">
        <x:v>Selected qualified</x:v>
      </x:c>
      <x:c r="B14" s="54" t="b">
        <x:v>1</x:v>
      </x:c>
    </x:row>
    <x:row r="15">
      <x:c r="A15" s="53" t="str">
        <x:v>Frontier</x:v>
      </x:c>
      <x:c r="B15" s="53" t="str">
        <x:v>B</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outputs/01a02cd6-bce7-7832-9558-3075c52f146a/archscry-current-state-2026-08-22/evidence/engine/traces/b.json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JUND</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b1.hall.pressure.v1.resources</x:v>
      </x:c>
      <x:c r="G33" s="53" t="str">
        <x:v>Narrow their options first</x:v>
      </x:c>
      <x:c r="H33" s="53" t="str">
        <x:v>C07</x:v>
      </x:c>
      <x:c r="I33" s="53" t="str">
        <x:v>SIG_C07_RESOURCE_CONTROL</x:v>
      </x:c>
      <x:c r="J33" s="53" t="str">
        <x:v>DG_C07</x:v>
      </x:c>
      <x:c r="K33" s="53" t="str">
        <x:v>BEHAVIORAL_OBSERVATION</x:v>
      </x:c>
      <x:c r="L33" s="53" t="str">
        <x:v>WB</x:v>
      </x:c>
      <x:c r="M33" s="53" t="str"/>
      <x:c r="N33" s="53" t="n">
        <x:v>0.5</x:v>
      </x:c>
      <x:c r="O33" s="54" t="b">
        <x:v>0</x:v>
      </x:c>
      <x:c r="P33" s="53" t="str">
        <x:v>REMEDIATION_MAPPING_HYPOTHESIS</x:v>
      </x:c>
      <x:c r="Q33" s="53" t="str">
        <x:v>Prefers resource-control pressure before attempting to end the game.</x:v>
      </x:c>
      <x:c r="R33" s="53" t="str">
        <x:v>Removing options can be a tactical prerequisite in any deck.</x:v>
      </x:c>
      <x:c r="S33" s="53" t="str">
        <x:v>JUND</x:v>
      </x:c>
      <x:c r="T33" s="53" t="str">
        <x:v>incomplete / minimum_questions / b1.hall.sacrifice.v1</x:v>
      </x:c>
    </x:row>
    <x:row r="34">
      <x:c r="A34" s="53" t="n">
        <x:v>6</x:v>
      </x:c>
      <x:c r="B34" s="53" t="str">
        <x:v>main</x:v>
      </x:c>
      <x:c r="C34" s="53" t="str">
        <x:v>hall</x:v>
      </x:c>
      <x:c r="D34" s="53" t="str">
        <x:v>b1.hall.sacrifice.v1</x:v>
      </x:c>
      <x:c r="E34" s="53" t="str">
        <x:v>You can give up a useful permanent now for cards or another lasting resource. What feels natural?</x:v>
      </x:c>
      <x:c r="F34" s="53" t="str">
        <x:v>b1.hall.sacrifice.v1.convert</x:v>
      </x:c>
      <x:c r="G34" s="53" t="str">
        <x:v>Spend it for the next advantage</x:v>
      </x:c>
      <x:c r="H34" s="53" t="str">
        <x:v>C12</x:v>
      </x:c>
      <x:c r="I34" s="53" t="str">
        <x:v>SIG_C12_CONVERT</x:v>
      </x:c>
      <x:c r="J34" s="53" t="str">
        <x:v>DG_C12</x:v>
      </x:c>
      <x:c r="K34" s="53" t="str">
        <x:v>BEHAVIORAL_OBSERVATION</x:v>
      </x:c>
      <x:c r="L34" s="53" t="str">
        <x:v>B | JUND</x:v>
      </x:c>
      <x:c r="M34" s="53" t="str"/>
      <x:c r="N34" s="53" t="n">
        <x:v>0.5</x:v>
      </x:c>
      <x:c r="O34" s="54" t="b">
        <x:v>0</x:v>
      </x:c>
      <x:c r="P34" s="53" t="str">
        <x:v>REMEDIATION_MAPPING_HYPOTHESIS</x:v>
      </x:c>
      <x:c r="Q34" s="53" t="str">
        <x:v>Prefers voluntary resource conversion.</x:v>
      </x:c>
      <x:c r="R34" s="53" t="str">
        <x:v>Observation wording and identity association require player validation; no weight is authorized.</x:v>
      </x:c>
      <x:c r="S34" s="53" t="str">
        <x:v>JUND</x:v>
      </x:c>
      <x:c r="T34" s="53" t="str">
        <x:v>incomplete / useful_evidence_remains / b1.hall.information-to-plan.v1</x:v>
      </x:c>
    </x:row>
    <x:row r="35">
      <x:c r="A35" s="53" t="n">
        <x:v>7</x:v>
      </x:c>
      <x:c r="B35" s="53" t="str">
        <x:v>main</x:v>
      </x:c>
      <x:c r="C35" s="53" t="str">
        <x:v>hall</x:v>
      </x:c>
      <x:c r="D35" s="53" t="str">
        <x:v>b1.hall.information-to-plan.v1</x:v>
      </x:c>
      <x:c r="E35" s="53" t="str">
        <x:v>A dangerous opposing play has been stopped, and you now have enough cards to choose among several workable plans. What do you most want to do next?</x:v>
      </x:c>
      <x:c r="F35" s="53" t="str">
        <x:v>b1.hall.information-to-plan.v1.consolidate</x:v>
      </x:c>
      <x:c r="G35" s="53" t="str">
        <x:v>Choose one route</x:v>
      </x:c>
      <x:c r="H35" s="53" t="str">
        <x:v>C16</x:v>
      </x:c>
      <x:c r="I35" s="53" t="str">
        <x:v>SIG_C16_CONSOLIDATE</x:v>
      </x:c>
      <x:c r="J35" s="53" t="str">
        <x:v>DG_C16</x:v>
      </x:c>
      <x:c r="K35" s="53" t="str">
        <x:v>BEHAVIORAL_OBSERVATION</x:v>
      </x:c>
      <x:c r="L35" s="53" t="str">
        <x:v>ESPER</x:v>
      </x:c>
      <x:c r="M35" s="53" t="str"/>
      <x:c r="N35" s="53" t="n">
        <x:v>0.6</x:v>
      </x:c>
      <x:c r="O35" s="54" t="b">
        <x:v>0</x:v>
      </x:c>
      <x:c r="P35" s="53" t="str">
        <x:v>MAPPING_HYPOTHESIS</x:v>
      </x:c>
      <x:c r="Q35" s="53" t="str">
        <x:v>Prefers to consolidate new options into one planned route.</x:v>
      </x:c>
      <x:c r="R35" s="53" t="str">
        <x:v>Observation wording and identity association require player validation; no weight is authorized.</x:v>
      </x:c>
      <x:c r="S35" s="53" t="str">
        <x:v>JUND</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b1.crucible.disruption-boundary.v1.convert</x:v>
      </x:c>
      <x:c r="G36" s="53" t="str">
        <x:v>Turn the loss into a resource</x:v>
      </x:c>
      <x:c r="H36" s="53" t="str">
        <x:v>C03</x:v>
      </x:c>
      <x:c r="I36" s="53" t="str">
        <x:v>SIG_C03_CONVERT</x:v>
      </x:c>
      <x:c r="J36" s="53" t="str">
        <x:v>DG_C03</x:v>
      </x:c>
      <x:c r="K36" s="53" t="str">
        <x:v>BEHAVIORAL_OBSERVATION</x:v>
      </x:c>
      <x:c r="L36" s="53" t="str">
        <x:v>B</x:v>
      </x:c>
      <x:c r="M36" s="53" t="str"/>
      <x:c r="N36" s="53" t="n">
        <x:v>1</x:v>
      </x:c>
      <x:c r="O36" s="54" t="b">
        <x:v>1</x:v>
      </x:c>
      <x:c r="P36" s="53" t="str">
        <x:v>REMEDIATION_MAPPING_HYPOTHESIS</x:v>
      </x:c>
      <x:c r="Q36" s="53" t="str">
        <x:v>Prefers converting disruption into immediate personal agency.</x:v>
      </x:c>
      <x:c r="R36" s="53" t="str">
        <x:v>Many engines convert lost pieces automatically; independent behavior is required.</x:v>
      </x:c>
      <x:c r="S36" s="53" t="str">
        <x:v>B</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B</x:v>
      </x:c>
      <x:c r="C40" s="53" t="str">
        <x:v>Black</x:v>
      </x:c>
      <x:c r="D40" s="53" t="n">
        <x:v>0.6875</x:v>
      </x:c>
      <x:c r="E40" s="54" t="b">
        <x:v>1</x:v>
      </x:c>
      <x:c r="F40" s="53" t="str">
        <x:v>C03 | C12</x:v>
      </x:c>
    </x:row>
    <x:row r="41">
      <x:c r="A41" s="53" t="n">
        <x:v>2</x:v>
      </x:c>
      <x:c r="B41" s="53" t="str">
        <x:v>JUND</x:v>
      </x:c>
      <x:c r="C41" s="53" t="str">
        <x:v>Jund</x:v>
      </x:c>
      <x:c r="D41" s="53" t="n">
        <x:v>0.625</x:v>
      </x:c>
      <x:c r="E41" s="54" t="b">
        <x:v>0</x:v>
      </x:c>
      <x:c r="F41" s="53" t="str">
        <x:v>C01 | C12</x:v>
      </x:c>
    </x:row>
    <x:row r="42">
      <x:c r="A42" s="53" t="n">
        <x:v>3</x:v>
      </x:c>
      <x:c r="B42" s="53" t="str">
        <x:v>RG</x:v>
      </x:c>
      <x:c r="C42" s="53" t="str">
        <x:v>Gruul Clans</x:v>
      </x:c>
      <x:c r="D42" s="53" t="n">
        <x:v>0.541667</x:v>
      </x:c>
      <x:c r="E42" s="54" t="b">
        <x:v>0</x:v>
      </x:c>
      <x:c r="F42" s="53" t="str">
        <x:v>C01</x:v>
      </x:c>
    </x:row>
    <x:row r="43">
      <x:c r="A43" s="53" t="n">
        <x:v>4</x:v>
      </x:c>
      <x:c r="B43" s="53" t="str">
        <x:v>ESPER</x:v>
      </x:c>
      <x:c r="C43" s="53" t="str">
        <x:v>Esper</x:v>
      </x:c>
      <x:c r="D43" s="53" t="n">
        <x:v>0.5125</x:v>
      </x:c>
      <x:c r="E43" s="54" t="b">
        <x:v>0</x:v>
      </x:c>
      <x:c r="F43" s="53" t="str">
        <x:v>C16</x:v>
      </x:c>
    </x:row>
    <x:row r="44">
      <x:c r="A44" s="53" t="n">
        <x:v>5</x:v>
      </x:c>
      <x:c r="B44" s="53" t="str">
        <x:v>R</x:v>
      </x:c>
      <x:c r="C44" s="53" t="str">
        <x:v>Red</x:v>
      </x:c>
      <x:c r="D44" s="53" t="n">
        <x:v>0.458333</x:v>
      </x:c>
      <x:c r="E44" s="54" t="b">
        <x:v>0</x:v>
      </x:c>
      <x:c r="F44" s="53" t="str">
        <x:v>C01</x:v>
      </x:c>
    </x:row>
    <x:row r="45">
      <x:c r="A45" s="53" t="n">
        <x:v>6</x:v>
      </x:c>
      <x:c r="B45" s="53" t="str">
        <x:v>WB</x:v>
      </x:c>
      <x:c r="C45" s="53" t="str">
        <x:v>Orzhov Syndicate</x:v>
      </x:c>
      <x:c r="D45" s="53" t="n">
        <x:v>0.458333</x:v>
      </x:c>
      <x:c r="E45" s="54" t="b">
        <x:v>0</x:v>
      </x:c>
      <x:c r="F45" s="53" t="str">
        <x:v>C07</x:v>
      </x:c>
    </x:row>
    <x:row r="46">
      <x:c r="A46" s="53" t="n">
        <x:v>7</x:v>
      </x:c>
      <x:c r="B46" s="53" t="str">
        <x:v>GRIXIS</x:v>
      </x:c>
      <x:c r="C46" s="53" t="str">
        <x:v>Grixis</x:v>
      </x:c>
      <x:c r="D46" s="53" t="n">
        <x:v>0.25</x:v>
      </x:c>
      <x:c r="E46" s="54" t="b">
        <x:v>0</x:v>
      </x:c>
      <x:c r="F46" s="53" t="str"/>
    </x:row>
    <x:row r="47">
      <x:c r="A47" s="53" t="n">
        <x:v>8</x:v>
      </x:c>
      <x:c r="B47" s="53" t="str">
        <x:v>WR</x:v>
      </x:c>
      <x:c r="C47" s="53" t="str">
        <x:v>Boros Legion</x:v>
      </x:c>
      <x:c r="D47" s="53" t="n">
        <x:v>0.25</x:v>
      </x:c>
      <x:c r="E47" s="54" t="b">
        <x:v>0</x:v>
      </x:c>
      <x:c r="F47" s="53" t="str"/>
    </x:row>
    <x:row r="48">
      <x:c r="A48" s="53" t="n">
        <x:v>9</x:v>
      </x:c>
      <x:c r="B48" s="53" t="str">
        <x:v>TEMUR</x:v>
      </x:c>
      <x:c r="C48" s="53" t="str">
        <x:v>Temur Frontier</x:v>
      </x:c>
      <x:c r="D48" s="53" t="n">
        <x:v>0.166667</x:v>
      </x:c>
      <x:c r="E48" s="54" t="b">
        <x:v>0</x:v>
      </x:c>
      <x:c r="F48" s="53" t="str"/>
    </x:row>
    <x:row r="49">
      <x:c r="A49" s="53" t="n">
        <x:v>10</x:v>
      </x:c>
      <x:c r="B49" s="53" t="str">
        <x:v>BG</x:v>
      </x:c>
      <x:c r="C49" s="53" t="str">
        <x:v>Golgari Swarm</x:v>
      </x:c>
      <x:c r="D49" s="53" t="n">
        <x:v>0.166667</x:v>
      </x:c>
      <x:c r="E49" s="54" t="b">
        <x:v>0</x:v>
      </x:c>
      <x:c r="F49" s="53" t="str"/>
    </x:row>
    <x:row r="50">
      <x:c r="A50" s="53" t="n">
        <x:v>11</x:v>
      </x:c>
      <x:c r="B50" s="53" t="str">
        <x:v>MARDU</x:v>
      </x:c>
      <x:c r="C50" s="53" t="str">
        <x:v>Mardu Horde</x:v>
      </x:c>
      <x:c r="D50" s="53" t="n">
        <x:v>0.166667</x:v>
      </x:c>
      <x:c r="E50" s="54" t="b">
        <x:v>0</x:v>
      </x:c>
      <x:c r="F50" s="53" t="str"/>
    </x:row>
    <x:row r="51">
      <x:c r="A51" s="53" t="n">
        <x:v>12</x:v>
      </x:c>
      <x:c r="B51" s="53" t="str">
        <x:v>W</x:v>
      </x:c>
      <x:c r="C51" s="53" t="str">
        <x:v>White</x:v>
      </x:c>
      <x:c r="D51" s="53" t="n">
        <x:v>0.166667</x:v>
      </x:c>
      <x:c r="E51" s="54" t="b">
        <x:v>0</x:v>
      </x:c>
      <x:c r="F51" s="53" t="str"/>
    </x:row>
    <x:row r="52">
      <x:c r="A52" s="53" t="n">
        <x:v>13</x:v>
      </x:c>
      <x:c r="B52" s="53" t="str">
        <x:v>JESKAI</x:v>
      </x:c>
      <x:c r="C52" s="53" t="str">
        <x:v>Jeskai Way</x:v>
      </x:c>
      <x:c r="D52" s="53" t="n">
        <x:v>0.125</x:v>
      </x:c>
      <x:c r="E52" s="54" t="b">
        <x:v>0</x:v>
      </x:c>
      <x:c r="F52" s="53" t="str"/>
    </x:row>
    <x:row r="53">
      <x:c r="A53" s="53" t="n">
        <x:v>14</x:v>
      </x:c>
      <x:c r="B53" s="53" t="str">
        <x:v>U</x:v>
      </x:c>
      <x:c r="C53" s="53" t="str">
        <x:v>Blue</x:v>
      </x:c>
      <x:c r="D53" s="53" t="n">
        <x:v>0.125</x:v>
      </x:c>
      <x:c r="E53" s="54" t="b">
        <x:v>0</x:v>
      </x:c>
      <x:c r="F53" s="53" t="str"/>
    </x:row>
    <x:row r="54">
      <x:c r="A54" s="53" t="n">
        <x:v>15</x:v>
      </x:c>
      <x:c r="B54" s="53" t="str">
        <x:v>UB</x:v>
      </x:c>
      <x:c r="C54" s="53" t="str">
        <x:v>House Dimir</x:v>
      </x:c>
      <x:c r="D54" s="53" t="n">
        <x:v>0.125</x:v>
      </x:c>
      <x:c r="E54" s="54" t="b">
        <x:v>0</x:v>
      </x:c>
      <x:c r="F54" s="53" t="str"/>
    </x:row>
    <x:row r="55">
      <x:c r="A55" s="53" t="n">
        <x:v>16</x:v>
      </x:c>
      <x:c r="B55" s="53" t="str">
        <x:v>SULTAI</x:v>
      </x:c>
      <x:c r="C55" s="53" t="str">
        <x:v>Sultai Brood</x:v>
      </x:c>
      <x:c r="D55" s="53" t="n">
        <x:v>0.083333</x:v>
      </x:c>
      <x:c r="E55" s="54" t="b">
        <x:v>0</x:v>
      </x:c>
      <x:c r="F55" s="53" t="str"/>
    </x:row>
    <x:row r="56">
      <x:c r="A56" s="53" t="n">
        <x:v>17</x:v>
      </x:c>
      <x:c r="B56" s="53" t="str">
        <x:v>WITHERBLOOM</x:v>
      </x:c>
      <x:c r="C56" s="53" t="str">
        <x:v>Witherbloom College</x:v>
      </x:c>
      <x:c r="D56" s="53" t="n">
        <x:v>0.083333</x:v>
      </x:c>
      <x:c r="E56" s="54" t="b">
        <x:v>0</x:v>
      </x:c>
      <x:c r="F56" s="53" t="str"/>
    </x:row>
    <x:row r="57">
      <x:c r="A57" s="53" t="n">
        <x:v>18</x:v>
      </x:c>
      <x:c r="B57" s="53" t="str">
        <x:v>ABZAN</x:v>
      </x:c>
      <x:c r="C57" s="53" t="str">
        <x:v>Abzan Houses</x:v>
      </x:c>
      <x:c r="D57" s="53" t="n">
        <x:v>0.083333</x:v>
      </x:c>
      <x:c r="E57" s="54" t="b">
        <x:v>0</x:v>
      </x:c>
      <x:c r="F57" s="53" t="str"/>
    </x:row>
    <x:row r="58">
      <x:c r="A58" s="53" t="n">
        <x:v>19</x:v>
      </x:c>
      <x:c r="B58" s="53" t="str">
        <x:v>BANT</x:v>
      </x:c>
      <x:c r="C58" s="53" t="str">
        <x:v>Bant</x:v>
      </x:c>
      <x:c r="D58" s="53" t="n">
        <x:v>0.083333</x:v>
      </x:c>
      <x:c r="E58" s="54" t="b">
        <x:v>0</x:v>
      </x:c>
      <x:c r="F58" s="53" t="str"/>
    </x:row>
    <x:row r="59">
      <x:c r="A59" s="53" t="n">
        <x:v>20</x:v>
      </x:c>
      <x:c r="B59" s="53" t="str">
        <x:v>BR</x:v>
      </x:c>
      <x:c r="C59" s="53" t="str">
        <x:v>Cult of Rakdos</x:v>
      </x:c>
      <x:c r="D59" s="53" t="n">
        <x:v>0.083333</x:v>
      </x:c>
      <x:c r="E59" s="54" t="b">
        <x:v>0</x:v>
      </x:c>
      <x:c r="F59" s="53" t="str"/>
    </x:row>
    <x:row r="60">
      <x:c r="A60" s="53" t="n">
        <x:v>21</x:v>
      </x:c>
      <x:c r="B60" s="53" t="str">
        <x:v>DUNE</x:v>
      </x:c>
      <x:c r="C60" s="53" t="str">
        <x:v>Dune / Aggression</x:v>
      </x:c>
      <x:c r="D60" s="53" t="n">
        <x:v>0.083333</x:v>
      </x:c>
      <x:c r="E60" s="54" t="b">
        <x:v>0</x:v>
      </x:c>
      <x:c r="F60" s="53" t="str"/>
    </x:row>
    <x:row r="61">
      <x:c r="A61" s="53" t="n">
        <x:v>22</x:v>
      </x:c>
      <x:c r="B61" s="53" t="str">
        <x:v>G</x:v>
      </x:c>
      <x:c r="C61" s="53" t="str">
        <x:v>Green</x:v>
      </x:c>
      <x:c r="D61" s="53" t="n">
        <x:v>0.083333</x:v>
      </x:c>
      <x:c r="E61" s="54" t="b">
        <x:v>0</x:v>
      </x:c>
      <x:c r="F61" s="53" t="str"/>
    </x:row>
    <x:row r="62">
      <x:c r="A62" s="53" t="n">
        <x:v>23</x:v>
      </x:c>
      <x:c r="B62" s="53" t="str">
        <x:v>GLINT</x:v>
      </x:c>
      <x:c r="C62" s="53" t="str">
        <x:v>Glint / Chaos</x:v>
      </x:c>
      <x:c r="D62" s="53" t="n">
        <x:v>0.083333</x:v>
      </x:c>
      <x:c r="E62" s="54" t="b">
        <x:v>0</x:v>
      </x:c>
      <x:c r="F62" s="53" t="str"/>
    </x:row>
    <x:row r="63">
      <x:c r="A63" s="53" t="n">
        <x:v>24</x:v>
      </x:c>
      <x:c r="B63" s="53" t="str">
        <x:v>INK</x:v>
      </x:c>
      <x:c r="C63" s="53" t="str">
        <x:v>Ink / Altruism</x:v>
      </x:c>
      <x:c r="D63" s="53" t="n">
        <x:v>0.083333</x:v>
      </x:c>
      <x:c r="E63" s="54" t="b">
        <x:v>0</x:v>
      </x:c>
      <x:c r="F63" s="53" t="str"/>
    </x:row>
    <x:row r="64">
      <x:c r="A64" s="53" t="n">
        <x:v>25</x:v>
      </x:c>
      <x:c r="B64" s="53" t="str">
        <x:v>LOREHOLD</x:v>
      </x:c>
      <x:c r="C64" s="53" t="str">
        <x:v>Lorehold College</x:v>
      </x:c>
      <x:c r="D64" s="53" t="n">
        <x:v>0.083333</x:v>
      </x:c>
      <x:c r="E64" s="54" t="b">
        <x:v>0</x:v>
      </x:c>
      <x:c r="F64" s="53" t="str"/>
    </x:row>
    <x:row r="65">
      <x:c r="A65" s="53" t="n">
        <x:v>26</x:v>
      </x:c>
      <x:c r="B65" s="53" t="str">
        <x:v>NAYA</x:v>
      </x:c>
      <x:c r="C65" s="53" t="str">
        <x:v>Naya</x:v>
      </x:c>
      <x:c r="D65" s="53" t="n">
        <x:v>0.083333</x:v>
      </x:c>
      <x:c r="E65" s="54" t="b">
        <x:v>0</x:v>
      </x:c>
      <x:c r="F65" s="53" t="str"/>
    </x:row>
    <x:row r="66">
      <x:c r="A66" s="53" t="n">
        <x:v>27</x:v>
      </x:c>
      <x:c r="B66" s="53" t="str">
        <x:v>UG</x:v>
      </x:c>
      <x:c r="C66" s="53" t="str">
        <x:v>Simic Combine</x:v>
      </x:c>
      <x:c r="D66" s="53" t="n">
        <x:v>0.083333</x:v>
      </x:c>
      <x:c r="E66" s="54" t="b">
        <x:v>0</x:v>
      </x:c>
      <x:c r="F66" s="53" t="str"/>
    </x:row>
    <x:row r="67">
      <x:c r="A67" s="53" t="n">
        <x:v>28</x:v>
      </x:c>
      <x:c r="B67" s="53" t="str">
        <x:v>WG</x:v>
      </x:c>
      <x:c r="C67" s="53" t="str">
        <x:v>Selesnya Conclave</x:v>
      </x:c>
      <x:c r="D67" s="53" t="n">
        <x:v>0.083333</x:v>
      </x:c>
      <x:c r="E67" s="54" t="b">
        <x:v>0</x:v>
      </x:c>
      <x:c r="F67" s="53" t="str"/>
    </x:row>
    <x:row r="68">
      <x:c r="A68" s="53" t="n">
        <x:v>29</x:v>
      </x:c>
      <x:c r="B68" s="53" t="str">
        <x:v>YORE</x:v>
      </x:c>
      <x:c r="C68" s="53" t="str">
        <x:v>Yore / Artifice</x:v>
      </x:c>
      <x:c r="D68" s="53" t="n">
        <x:v>0.083333</x:v>
      </x:c>
      <x:c r="E68" s="54" t="b">
        <x:v>0</x:v>
      </x:c>
      <x:c r="F68" s="53" t="str"/>
    </x:row>
    <x:row r="69">
      <x:c r="A69" s="53" t="n">
        <x:v>30</x:v>
      </x:c>
      <x:c r="B69" s="53" t="str">
        <x:v>WU</x:v>
      </x:c>
      <x:c r="C69" s="53" t="str">
        <x:v>Azorius Senate</x:v>
      </x:c>
      <x:c r="D69" s="53" t="n">
        <x:v>0.0625</x:v>
      </x:c>
      <x:c r="E69" s="54" t="b">
        <x:v>0</x:v>
      </x:c>
      <x:c r="F69" s="53" t="str"/>
    </x:row>
    <x:row r="70">
      <x:c r="A70" s="53" t="n">
        <x:v>31</x:v>
      </x:c>
      <x:c r="B70" s="53" t="str">
        <x:v>COLORLESS</x:v>
      </x:c>
      <x:c r="C70" s="53" t="str">
        <x:v>Colorless</x:v>
      </x:c>
      <x:c r="D70" s="53" t="n">
        <x:v>0</x:v>
      </x:c>
      <x:c r="E70" s="54" t="b">
        <x:v>0</x:v>
      </x:c>
      <x:c r="F70" s="53" t="str"/>
    </x:row>
    <x:row r="71">
      <x:c r="A71" s="53" t="n">
        <x:v>32</x:v>
      </x:c>
      <x:c r="B71" s="53" t="str">
        <x:v>PRISMARI</x:v>
      </x:c>
      <x:c r="C71" s="53" t="str">
        <x:v>Prismari College</x:v>
      </x:c>
      <x:c r="D71" s="53" t="n">
        <x:v>0</x:v>
      </x:c>
      <x:c r="E71" s="54" t="b">
        <x:v>0</x:v>
      </x:c>
      <x:c r="F71" s="53" t="str"/>
    </x:row>
    <x:row r="72">
      <x:c r="A72" s="53" t="n">
        <x:v>33</x:v>
      </x:c>
      <x:c r="B72" s="53" t="str">
        <x:v>QUANDRIX</x:v>
      </x:c>
      <x:c r="C72" s="53" t="str">
        <x:v>Quandrix College</x:v>
      </x:c>
      <x:c r="D72" s="53" t="n">
        <x:v>0</x:v>
      </x:c>
      <x:c r="E72" s="54" t="b">
        <x:v>0</x:v>
      </x:c>
      <x:c r="F72" s="53" t="str"/>
    </x:row>
    <x:row r="73">
      <x:c r="A73" s="53" t="n">
        <x:v>34</x:v>
      </x:c>
      <x:c r="B73" s="53" t="str">
        <x:v>SILVERQUILL</x:v>
      </x:c>
      <x:c r="C73" s="53" t="str">
        <x:v>Silverquill College</x:v>
      </x:c>
      <x:c r="D73" s="53" t="n">
        <x:v>0</x:v>
      </x:c>
      <x:c r="E73" s="54" t="b">
        <x:v>0</x:v>
      </x:c>
      <x:c r="F73" s="53" t="str"/>
    </x:row>
    <x:row r="74">
      <x:c r="A74" s="53" t="n">
        <x:v>35</x:v>
      </x:c>
      <x:c r="B74" s="53" t="str">
        <x:v>UR</x:v>
      </x:c>
      <x:c r="C74" s="53" t="str">
        <x:v>Izzet League</x:v>
      </x:c>
      <x:c r="D74" s="53" t="n">
        <x:v>0</x:v>
      </x:c>
      <x:c r="E74" s="54" t="b">
        <x:v>0</x:v>
      </x:c>
      <x:c r="F74" s="53" t="str"/>
    </x:row>
    <x:row r="75">
      <x:c r="A75" s="53" t="n">
        <x:v>36</x:v>
      </x:c>
      <x:c r="B75" s="53" t="str">
        <x:v>WITCH</x:v>
      </x:c>
      <x:c r="C75" s="53" t="str">
        <x:v>Witch / Growth</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"B",
  "faction_name": "Black",
  "institution_type": "color",
  "world": "The Color Pie",
  "identity": {
    "core_color": "B",
    "secondary_colors": [],
    "secondary_color": null,
    "expression_key": "B",
    "expression_name": "Black",
    "expression_kind": "color",
    "purity": 1,
    "routing": {
      "edhrec_slug": "mono-black",
      "mtgdecks_slug": "mono-black",
      "label": "Black"
    }
  },
  "decree": "Black is the clearest current fit from the approved observations.",
  "confidence": 0.043,
  "confidence_gap": 1,
  "mana_scores": {
    "W": 9,
    "U": 9,
    "B": 10,
    "R": 10,
    "G": 9
  },
  "top_matches": [
    {
      "rank": 1,
      "faction": "B",
      "faction_name": "Black",
      "institution_type": "color",
      "world": "The Color Pie",
      "identity": {
        "core_color": "B",
        "secondary_colors": [],
        "secondary_color": null,
        "expression_key": "B",
        "expression_name": "Black",
        "expression_kind": "color",
        "purity": 1,
        "routing": {
          "edhrec_slug": "mono-black",
          "mtgdecks_slug": "mono-black",
          "label": "Black"
        }
      },
      "score": 0.6875,
      "confidence": 0.043,
      "reason": "Black remained plausible through C12, C16; identity mapping remains a hypothesis."
    }
  ],
  "adjacent_matches": [],
  "internal_candidate_order": [
    {
      "identity": "B",
      "score": 0.6875,
      "positive_dependencies": 2,
      "qualification_dependencies": 2,
      "naming_dependencies": 1,
      "positive_constructs": [
        "C03",
        "C12"
      ],
      "satisfied_naming_rule_ids": [
        "instrument_completion_overlay:b1.crucible.disruption-boundary.v1.convert:B"
      ],
      "naming_qualification": {
        "identity": "B",
        "qualified": true,
        "satisfied_naming_rule_ids": [
          "instrument_completion_overlay:b1.crucible.disruption-boundary.v1.convert:B"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"C16"
      ]
    },
    {
      "identity": "JUND",
      "score": 0.625,
      "positive_dependencies": 2,
      "qualification_dependencies": 2,
      "naming_dependencies": 0,
      "positive_constructs": [
        "C01",
        "C12"
      ],
      "satisfied_naming_rule_ids": [],
      "naming_qualification": {
        "identity": "JUND",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"ESPER",
      "score": 0.5125,
      "positive_dependencies": 1,
      "qualification_dependencies": 1,
      "naming_dependencies": 0,
      "positive_constructs": [
        "C16"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"R",
      "score": 0.458333,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"WB",
      "score": 0.458333,
      "positive_dependencies": 1,
      "qualification_dependencies": 1,
      "naming_dependencies": 0,
      "positive_constructs": [
        "C07"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"GRIXIS",
      "score": 0.25,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"C16"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"BG",
      "score": 0.166667,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"C12"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"JESKAI",
      "score": 0.125,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"C16"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"C16"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"C16"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x:v>
      </x:c>
    </x:row>
    <x:row r="80">
      <x:c r="A80" s="53" t="str">
        <x:v>Part 2/3</x:v>
      </x:c>
      <x:c r="B80" s="53" t="str">
        <x:v>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"B",
    "JUND",
    "RG",
    "ESPER",
    "R",
    "WB"
  ],
  "alternatives": [],
  "refinement": {
    "kind": "revisit_prior_answer",
    "can_reduce_ambiguity": true,
    "remaining_candidates": [
      "B",
      "JUND",
      "RG",
      "ESPER",
      "R",
      "WB"
    ],
    "unresolved_boundaries": [
      {
        "pair_id": "B__ESPER",
        "identities": [
          "B",
          "ESPER"
        ],
        "distinction": "Direct scenario tests one bounded Commander behavior.",
        "question_ids": [
          "b1.hall.information-to-plan.v1",
          "b1.crucible.esper.v1",
          "b1.crucible.mono-multi.v1",
          "b1.hall.sacrifice.v1",
          "b1.hall.engine-shape.v1",
          "b1.crucible.disruption-boundary.v1"
        ],
        "coverage_status": "DIRECT-OR-STRUCTURAL-MAPPING-HYPOTHESIS; bounded player validation required"
      },
      {
        "pair_id": "B__R",
        "identities": [
          "B",
          "R"
        ],
        "distinction": "B uses Resource sacrifice evidence; R uses Initiative posture evidence. No direct pair claim is made.",
        "question_ids": [
          "b1.hall.sacrifice.v1",
          "b1.gate.initiative.v1",
          "b1.crucible.mono-multi.v1",
          "b1.hall.information-to-plan.v1",
          "b1.hall.pressure.v1",
          "b1.crucible.disruption-boundary.v1"
        ],
        "coverage_status": "DIRECT-OR-STRUCTURAL-MAPPING-HYPOTHESIS; bounded player validation required"
      },
      {
        "pair_id": "B__RG",
        "identities": [
          "B",
          "RG"
        ],
        "distinction": "B uses Resource sacrifice evidence; RG uses Pressure channel evidence. No direct pair claim is made.",
        "question_ids": [
          "b1.hall.sacrifice.v1",
          "b1.hall.pressure.v1",
          "b1.crucible.mono-multi.v1",
          "b1.hall.information-to-plan.v1",
          "b1.gate.initiative.v1",
          "b1.gate.disruption.v1",
          "b1.crucible.disruption-boundary.v1"
        ],
        "coverage_status": "DIRECT-OR-STRUCTURAL-MAPPING-HYPOTHESIS; bounded player validation required"
      },
      {
        "pair_id": "ESPER__WB",
        "identities": [
          "ESPER",
          "WB"
        ],
        "distinction": "ESPER uses Information-to-plan conversion evidence; WB uses Public commitment evidence. No direct pair claim is made.",
        "question_ids": [
          "b1.hall.information-to-plan.v1",
          "b1.hall.commitment.v1",
          "b1.crucible.mono-multi.v1",
          "b1.crucible.wb.v1",
          "b1.crucible.esper.v1",
          "b1.hall.pressure.v1",
          "b1.hall.engine-shape.v1",
          "b1.crucible.disruption-boundary.v1"
        ],
        "coverage_status": "DIRECT-OR-STRUCTURAL-MAPPING-HYPOTHESIS; bounded player validation required"
      }
    ],
    "missing_constructs": [
      "C04",
      "C06",
      "C11",
      "C13"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"answer_title": "Narrow their options first",
      "prompt": "The player ahead uses all their mana and leaves one turn where the table can take control. Which kind of pressure do you want your deck to create?",
      "observation": "Prefers resource-control pressure before attempting to end the game.",
      "deltas": [
        {
          "faction": "WB",
          "delta": 0.5
        }
      ]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"answer_title": "Spend it for the next advantage",
      "prompt": "You can give up a useful permanent now for cards or another lasting resource. What feels natural?",
      "observation": "Prefers voluntary resource conversion.",
      "deltas": [
        {
          "faction": "B",
          "delta": 0.5
        },
        {
          "faction": "JUND",
          "delta": 0.5
        }
      ]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"answer_title": "Choose one route",
      "prompt": "A dangerous opposing play has been stopped, and you now have enough cards to choose among several workable plans. What do you most want to do next?",
      "observation": "Prefers to consolidate new options into one planned route.",
      "deltas": [
        {
          "faction": "ESPER",
          "delta": 0.6
        }
      ]
    },
    {
      "question_id": "b1.crucible.disruption-boundary.v1",
      "answer_id": "b1.crucible.disruption-boundary.v1.convert",
      "stage": "crucible",
      "construct": "C03",
      "bounded_observation": "Prefers converting disruption into immediate personal agency.",
      "signal": "SIG_C03_CONVERT",
      "dependency_group": "DG_C03",
      "evidence_class": "BEHAVIORAL_OBSERVATION",
      "affected_identities": [
        "B"
      ],
      "positive_support": [
        "B"
      ],
      "contradiction": [],
      "neutral": false,
      "mapping_strength": 1,
      "naming_evidence": true,
      "qualification_eligible": true,
      "qualification_support": [
        "B"
      ],
      "naming_support": [
        "B"
      ],
      "naming_rule_ids_by_identity": {
        "B": [
          "instrument_completion_overlay:b1.crucible.disruption-boundary.v1.convert:B"
        ]
      },
      "mapping_role": "completion_boundary_direction",
      "mapping_status": "REMEDIATION_MAPPING_HYPOTHESIS",
      "mapping_provenance": "docs/plans/vm551-gate-b1-instrument-completion/instrument-change-adjudication.tsv#b1.crucible.disruption-boundary.v1.convert;docs/audits/vm555-b1-identity-evidence-gap-bridge/identity-evidence-gap-matrix.tsv",
      "evidence_provenance": "E-VM555;E-CERTIFIED;E-CECOS;E-PLAYER-LANGUAGE",
      "limitation": "Many engines convert lost pieces automatically; independent behavior is required.",
      "behavioral_vs_lens": "behavioral",
      "answer_title": "Turn the loss into a resource",
      "prompt": "An opponent removes the piece your deck was built around after using most of their mana and cards. Your turn begins with the rest of your board still available. What do you try first?",
      "observation": "Prefers converting disruption into immediate personal agency.",
      "deltas": [
        {
          "faction": "B",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x:v>
      </x:c>
    </x:row>
    <x:row r="81">
      <x:c r="A81" s="53" t="str">
        <x:v>Part 3/3</x:v>
      </x:c>
      <x:c r="B81" s="53" t="str">
        <x:v>",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
    {
      "question_id": "b1.crucible.disruption-boundary.v1",
      "answer_id": "b1.crucible.disruption-boundary.v1.convert",
      "stage": "crucible",
      "construct": "C03",
      "bounded_observation": "Prefers converting disruption into immediate personal agency.",
      "signal": "SIG_C03_CONVERT",
      "dependency_group": "DG_C03",
      "evidence_class": "BEHAVIORAL_OBSERVATION",
      "affected_identities": [
        "B"
      ],
      "positive_support": [
        "B"
      ],
      "contradiction": [],
      "neutral": false,
      "mapping_strength": 1,
      "naming_evidence": true,
      "qualification_eligible": true,
      "qualification_support": [
        "B"
      ],
      "naming_support": [
        "B"
      ],
      "naming_rule_ids_by_identity": {
        "B": [
          "instrument_completion_overlay:b1.crucible.disruption-boundary.v1.convert:B"
        ]
      },
      "mapping_role": "completion_boundary_direction",
      "mapping_status": "REMEDIATION_MAPPING_HYPOTHESIS",
      "mapping_provenance": "docs/plans/vm551-gate-b1-instrument-completion/instrument-change-adjudication.tsv#b1.crucible.disruption-boundary.v1.convert;docs/audits/vm555-b1-identity-evidence-gap-bridge/identity-evidence-gap-matrix.tsv",
      "evidence_provenance": "E-VM555;E-CERTIFIED;E-CECOS;E-PLAYER-LANGUAGE",
      "limitation": "Many engines convert lost pieces automatically; independent behavior is required.",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"b1.hall.pressure.v1",
      "answer_id": "b1.hall.pressure.v1.resources",
      "stage": "hall",
      "evidence_class": "BEHAVIORAL_OBSERVATION"
    },
    {
      "question_id": "b1.hall.sacrifice.v1",
      "answer_id": "b1.hall.sacrifice.v1.convert",
      "stage": "hall",
      "evidence_class": "BEHAVIORAL_OBSERVATION"
    },
    {
      "question_id": "b1.hall.information-to-plan.v1",
      "answer_id": "b1.hall.information-to-plan.v1.consolidate",
      "stage": "hall",
      "evidence_class": "BEHAVIORAL_OBSERVATION"
    },
    {
      "question_id": "b1.crucible.disruption-boundary.v1",
      "answer_id": "b1.crucible.disruption-boundary.v1.convert",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Red — Engine Trace</x:v>
      </x:c>
      <x:c r="B1" s="3"/>
      <x:c r="C1" s="3"/>
      <x:c r="D1" s="3"/>
      <x:c r="E1" s="3"/>
      <x:c r="F1" s="3"/>
      <x:c r="G1" s="3"/>
      <x:c r="H1" s="3"/>
      <x:c r="I1" s="3"/>
      <x:c r="J1" s="3"/>
      <x:c r="K1" s="3"/>
      <x:c r="L1" s="3"/>
      <x:c r="M1" s="3"/>
      <x:c r="N1" s="3"/>
      <x:c r="O1" s="3"/>
      <x:c r="P1" s="3"/>
      <x:c r="Q1" s="3"/>
      <x:c r="R1" s="3"/>
      <x:c r="S1" s="3"/>
      <x:c r="T1" s="3"/>
    </x:row>
    <x:row r="2" ht="30" customHeight="1">
      <x:c r="A2" s="7" t="str">
        <x:v>ENGINE-R • PASS_MATCH • primary • trace d266b688e984c90186088d1b7d20b7d61547db8f00141edb4bcd3259126f25eb</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R</x:v>
      </x:c>
    </x:row>
    <x:row r="6">
      <x:c r="A6" s="53" t="str">
        <x:v>Expected public contract</x:v>
      </x:c>
      <x:c r="B6" s="53" t="str">
        <x:v>NAMED_DOSSIER</x:v>
      </x:c>
    </x:row>
    <x:row r="7">
      <x:c r="A7" s="53" t="str">
        <x:v>Witness status</x:v>
      </x:c>
      <x:c r="B7" s="53" t="str">
        <x:v>CURRENT_COMPATIBLE</x:v>
      </x:c>
    </x:row>
    <x:row r="8">
      <x:c r="A8" s="53" t="str">
        <x:v>Actual result</x:v>
      </x:c>
      <x:c r="B8" s="53" t="str">
        <x:v>R</x:v>
      </x:c>
    </x:row>
    <x:row r="9">
      <x:c r="A9" s="53" t="str">
        <x:v>Directional result</x:v>
      </x:c>
      <x:c r="B9" s="53" t="str">
        <x:v>R</x:v>
      </x:c>
    </x:row>
    <x:row r="10">
      <x:c r="A10" s="53" t="str">
        <x:v>Public state</x:v>
      </x:c>
      <x:c r="B10" s="53" t="str">
        <x:v>current-best-fit</x:v>
      </x:c>
    </x:row>
    <x:row r="11">
      <x:c r="A11" s="53" t="str">
        <x:v>Raw numeric leader</x:v>
      </x:c>
      <x:c r="B11" s="53" t="str">
        <x:v>R</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R</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b1.hall.pressure.v1.coordinate</x:v>
      </x:c>
      <x:c r="G33" s="53" t="str">
        <x:v>Coordinate one attack</x:v>
      </x:c>
      <x:c r="H33" s="53" t="str">
        <x:v>C07</x:v>
      </x:c>
      <x:c r="I33" s="53" t="str">
        <x:v>SIG_C07_COORDINATED_COMBAT</x:v>
      </x:c>
      <x:c r="J33" s="53" t="str">
        <x:v>DG_C07</x:v>
      </x:c>
      <x:c r="K33" s="53" t="str">
        <x:v>BEHAVIORAL_OBSERVATION</x:v>
      </x:c>
      <x:c r="L33" s="53" t="str">
        <x:v>DUNE | MARDU | WR</x:v>
      </x:c>
      <x:c r="M33" s="53" t="str"/>
      <x:c r="N33" s="53" t="n">
        <x:v>0.5</x:v>
      </x:c>
      <x:c r="O33" s="54" t="b">
        <x:v>0</x:v>
      </x:c>
      <x:c r="P33" s="53" t="str">
        <x:v>REMEDIATION_MAPPING_HYPOTHESIS</x:v>
      </x:c>
      <x:c r="Q33" s="53" t="str">
        <x:v>Prefers formation-based combat pressure during a shared opening.</x:v>
      </x:c>
      <x:c r="R33" s="53" t="str">
        <x:v>The tactically strongest attack may look coordinated without reflecting a stable preference.</x:v>
      </x:c>
      <x:c r="S33" s="53" t="str">
        <x:v>JUND</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b1.hall.commitment.v1.reopen</x:v>
      </x:c>
      <x:c r="G34" s="53" t="str">
        <x:v>Reopen the agreement</x:v>
      </x:c>
      <x:c r="H34" s="53" t="str">
        <x:v>C13</x:v>
      </x:c>
      <x:c r="I34" s="53" t="str">
        <x:v>SIG_C13_REVISABLE</x:v>
      </x:c>
      <x:c r="J34" s="53" t="str">
        <x:v>DG_C13</x:v>
      </x:c>
      <x:c r="K34" s="53" t="str">
        <x:v>BEHAVIORAL_OBSERVATION</x:v>
      </x:c>
      <x:c r="L34" s="53" t="str">
        <x:v>SILVERQUILL</x:v>
      </x:c>
      <x:c r="M34" s="53" t="str"/>
      <x:c r="N34" s="53" t="n">
        <x:v>0.5</x:v>
      </x:c>
      <x:c r="O34" s="54" t="b">
        <x:v>0</x:v>
      </x:c>
      <x:c r="P34" s="53" t="str">
        <x:v>REMEDIATION_MAPPING_HYPOTHESIS</x:v>
      </x:c>
      <x:c r="Q34" s="53" t="str">
        <x:v>Prefers revisable present influence over a binding future commitment.</x:v>
      </x:c>
      <x:c r="R34" s="53" t="str">
        <x:v>Players may reopen a deal because it became impossible, not because they prefer revisable influence.</x:v>
      </x:c>
      <x:c r="S34" s="53" t="str">
        <x:v>MARDU</x:v>
      </x:c>
      <x:c r="T34" s="53" t="str">
        <x:v>incomplete / useful_evidence_remains / b1.hall.sacrifice.v1</x:v>
      </x:c>
    </x:row>
    <x:row r="35">
      <x:c r="A35" s="53" t="n">
        <x:v>7</x:v>
      </x:c>
      <x:c r="B35" s="53" t="str">
        <x:v>main</x:v>
      </x:c>
      <x:c r="C35" s="53" t="str">
        <x:v>hall</x:v>
      </x:c>
      <x:c r="D35" s="53" t="str">
        <x:v>b1.hall.sacrifice.v1</x:v>
      </x:c>
      <x:c r="E35" s="53" t="str">
        <x:v>You can give up a useful permanent now for cards or another lasting resource. What feels natural?</x:v>
      </x:c>
      <x:c r="F35" s="53" t="str">
        <x:v>b1.hall.sacrifice.v1.convert</x:v>
      </x:c>
      <x:c r="G35" s="53" t="str">
        <x:v>Spend it for the next advantage</x:v>
      </x:c>
      <x:c r="H35" s="53" t="str">
        <x:v>C12</x:v>
      </x:c>
      <x:c r="I35" s="53" t="str">
        <x:v>SIG_C12_CONVERT</x:v>
      </x:c>
      <x:c r="J35" s="53" t="str">
        <x:v>DG_C12</x:v>
      </x:c>
      <x:c r="K35" s="53" t="str">
        <x:v>BEHAVIORAL_OBSERVATION</x:v>
      </x:c>
      <x:c r="L35" s="53" t="str">
        <x:v>B | JUND</x:v>
      </x:c>
      <x:c r="M35" s="53" t="str"/>
      <x:c r="N35" s="53" t="n">
        <x:v>0.5</x:v>
      </x:c>
      <x:c r="O35" s="54" t="b">
        <x:v>0</x:v>
      </x:c>
      <x:c r="P35" s="53" t="str">
        <x:v>REMEDIATION_MAPPING_HYPOTHESIS</x:v>
      </x:c>
      <x:c r="Q35" s="53" t="str">
        <x:v>Prefers voluntary resource conversion.</x:v>
      </x:c>
      <x:c r="R35" s="53" t="str">
        <x:v>Observation wording and identity association require player validation; no weight is authorized.</x:v>
      </x:c>
      <x:c r="S35" s="53" t="str">
        <x:v>JUND</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b1.crucible.disruption-boundary.v1.act</x:v>
      </x:c>
      <x:c r="G36" s="53" t="str">
        <x:v>Use the remaining opening</x:v>
      </x:c>
      <x:c r="H36" s="53" t="str">
        <x:v>C03</x:v>
      </x:c>
      <x:c r="I36" s="53" t="str">
        <x:v>SIG_C03_ACT</x:v>
      </x:c>
      <x:c r="J36" s="53" t="str">
        <x:v>DG_C03</x:v>
      </x:c>
      <x:c r="K36" s="53" t="str">
        <x:v>BEHAVIORAL_OBSERVATION</x:v>
      </x:c>
      <x:c r="L36" s="53" t="str">
        <x:v>R</x:v>
      </x:c>
      <x:c r="M36" s="53" t="str"/>
      <x:c r="N36" s="53" t="n">
        <x:v>1</x:v>
      </x:c>
      <x:c r="O36" s="54" t="b">
        <x:v>1</x:v>
      </x:c>
      <x:c r="P36" s="53" t="str">
        <x:v>REMEDIATION_MAPPING_HYPOTHESIS</x:v>
      </x:c>
      <x:c r="Q36" s="53" t="str">
        <x:v>Prefers immediate action after disruption rather than restoration.</x:v>
      </x:c>
      <x:c r="R36" s="53" t="str">
        <x:v>The opponent being tapped out can make immediate action tactically correct for any deck.</x:v>
      </x:c>
      <x:c r="S36" s="53" t="str">
        <x:v>R</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R</x:v>
      </x:c>
      <x:c r="C40" s="53" t="str">
        <x:v>Red</x:v>
      </x:c>
      <x:c r="D40" s="53" t="n">
        <x:v>0.729167</x:v>
      </x:c>
      <x:c r="E40" s="54" t="b">
        <x:v>1</x:v>
      </x:c>
      <x:c r="F40" s="53" t="str">
        <x:v>C01 | C03</x:v>
      </x:c>
    </x:row>
    <x:row r="41">
      <x:c r="A41" s="53" t="n">
        <x:v>2</x:v>
      </x:c>
      <x:c r="B41" s="53" t="str">
        <x:v>JUND</x:v>
      </x:c>
      <x:c r="C41" s="53" t="str">
        <x:v>Jund</x:v>
      </x:c>
      <x:c r="D41" s="53" t="n">
        <x:v>0.625</x:v>
      </x:c>
      <x:c r="E41" s="54" t="b">
        <x:v>0</x:v>
      </x:c>
      <x:c r="F41" s="53" t="str">
        <x:v>C01 | C12</x:v>
      </x:c>
    </x:row>
    <x:row r="42">
      <x:c r="A42" s="53" t="n">
        <x:v>3</x:v>
      </x:c>
      <x:c r="B42" s="53" t="str">
        <x:v>MARDU</x:v>
      </x:c>
      <x:c r="C42" s="53" t="str">
        <x:v>Mardu Horde</x:v>
      </x:c>
      <x:c r="D42" s="53" t="n">
        <x:v>0.625</x:v>
      </x:c>
      <x:c r="E42" s="54" t="b">
        <x:v>0</x:v>
      </x:c>
      <x:c r="F42" s="53" t="str">
        <x:v>C07</x:v>
      </x:c>
    </x:row>
    <x:row r="43">
      <x:c r="A43" s="53" t="n">
        <x:v>4</x:v>
      </x:c>
      <x:c r="B43" s="53" t="str">
        <x:v>WR</x:v>
      </x:c>
      <x:c r="C43" s="53" t="str">
        <x:v>Boros Legion</x:v>
      </x:c>
      <x:c r="D43" s="53" t="n">
        <x:v>0.625</x:v>
      </x:c>
      <x:c r="E43" s="54" t="b">
        <x:v>0</x:v>
      </x:c>
      <x:c r="F43" s="53" t="str">
        <x:v>C07</x:v>
      </x:c>
    </x:row>
    <x:row r="44">
      <x:c r="A44" s="53" t="n">
        <x:v>5</x:v>
      </x:c>
      <x:c r="B44" s="53" t="str">
        <x:v>DUNE</x:v>
      </x:c>
      <x:c r="C44" s="53" t="str">
        <x:v>Dune / Aggression</x:v>
      </x:c>
      <x:c r="D44" s="53" t="n">
        <x:v>0.541667</x:v>
      </x:c>
      <x:c r="E44" s="54" t="b">
        <x:v>0</x:v>
      </x:c>
      <x:c r="F44" s="53" t="str">
        <x:v>C07</x:v>
      </x:c>
    </x:row>
    <x:row r="45">
      <x:c r="A45" s="53" t="n">
        <x:v>6</x:v>
      </x:c>
      <x:c r="B45" s="53" t="str">
        <x:v>RG</x:v>
      </x:c>
      <x:c r="C45" s="53" t="str">
        <x:v>Gruul Clans</x:v>
      </x:c>
      <x:c r="D45" s="53" t="n">
        <x:v>0.541667</x:v>
      </x:c>
      <x:c r="E45" s="54" t="b">
        <x:v>0</x:v>
      </x:c>
      <x:c r="F45" s="53" t="str">
        <x:v>C01</x:v>
      </x:c>
    </x:row>
    <x:row r="46">
      <x:c r="A46" s="53" t="n">
        <x:v>7</x:v>
      </x:c>
      <x:c r="B46" s="53" t="str">
        <x:v>SILVERQUILL</x:v>
      </x:c>
      <x:c r="C46" s="53" t="str">
        <x:v>Silverquill College</x:v>
      </x:c>
      <x:c r="D46" s="53" t="n">
        <x:v>0.458333</x:v>
      </x:c>
      <x:c r="E46" s="54" t="b">
        <x:v>0</x:v>
      </x:c>
      <x:c r="F46" s="53" t="str"/>
    </x:row>
    <x:row r="47">
      <x:c r="A47" s="53" t="n">
        <x:v>8</x:v>
      </x:c>
      <x:c r="B47" s="53" t="str">
        <x:v>B</x:v>
      </x:c>
      <x:c r="C47" s="53" t="str">
        <x:v>Black</x:v>
      </x:c>
      <x:c r="D47" s="53" t="n">
        <x:v>0.4375</x:v>
      </x:c>
      <x:c r="E47" s="54" t="b">
        <x:v>0</x:v>
      </x:c>
      <x:c r="F47" s="53" t="str">
        <x:v>C12</x:v>
      </x:c>
    </x:row>
    <x:row r="48">
      <x:c r="A48" s="53" t="n">
        <x:v>9</x:v>
      </x:c>
      <x:c r="B48" s="53" t="str">
        <x:v>W</x:v>
      </x:c>
      <x:c r="C48" s="53" t="str">
        <x:v>White</x:v>
      </x:c>
      <x:c r="D48" s="53" t="n">
        <x:v>0.25</x:v>
      </x:c>
      <x:c r="E48" s="54" t="b">
        <x:v>0</x:v>
      </x:c>
      <x:c r="F48" s="53" t="str"/>
    </x:row>
    <x:row r="49">
      <x:c r="A49" s="53" t="n">
        <x:v>10</x:v>
      </x:c>
      <x:c r="B49" s="53" t="str">
        <x:v>GRIXIS</x:v>
      </x:c>
      <x:c r="C49" s="53" t="str">
        <x:v>Grixis</x:v>
      </x:c>
      <x:c r="D49" s="53" t="n">
        <x:v>0.1875</x:v>
      </x:c>
      <x:c r="E49" s="54" t="b">
        <x:v>0</x:v>
      </x:c>
      <x:c r="F49" s="53" t="str"/>
    </x:row>
    <x:row r="50">
      <x:c r="A50" s="53" t="n">
        <x:v>11</x:v>
      </x:c>
      <x:c r="B50" s="53" t="str">
        <x:v>TEMUR</x:v>
      </x:c>
      <x:c r="C50" s="53" t="str">
        <x:v>Temur Frontier</x:v>
      </x:c>
      <x:c r="D50" s="53" t="n">
        <x:v>0.166667</x:v>
      </x:c>
      <x:c r="E50" s="54" t="b">
        <x:v>0</x:v>
      </x:c>
      <x:c r="F50" s="53" t="str"/>
    </x:row>
    <x:row r="51">
      <x:c r="A51" s="53" t="n">
        <x:v>12</x:v>
      </x:c>
      <x:c r="B51" s="53" t="str">
        <x:v>ABZAN</x:v>
      </x:c>
      <x:c r="C51" s="53" t="str">
        <x:v>Abzan Houses</x:v>
      </x:c>
      <x:c r="D51" s="53" t="n">
        <x:v>0.166667</x:v>
      </x:c>
      <x:c r="E51" s="54" t="b">
        <x:v>0</x:v>
      </x:c>
      <x:c r="F51" s="53" t="str"/>
    </x:row>
    <x:row r="52">
      <x:c r="A52" s="53" t="n">
        <x:v>13</x:v>
      </x:c>
      <x:c r="B52" s="53" t="str">
        <x:v>BG</x:v>
      </x:c>
      <x:c r="C52" s="53" t="str">
        <x:v>Golgari Swarm</x:v>
      </x:c>
      <x:c r="D52" s="53" t="n">
        <x:v>0.166667</x:v>
      </x:c>
      <x:c r="E52" s="54" t="b">
        <x:v>0</x:v>
      </x:c>
      <x:c r="F52" s="53" t="str"/>
    </x:row>
    <x:row r="53">
      <x:c r="A53" s="53" t="n">
        <x:v>14</x:v>
      </x:c>
      <x:c r="B53" s="53" t="str">
        <x:v>BR</x:v>
      </x:c>
      <x:c r="C53" s="53" t="str">
        <x:v>Cult of Rakdos</x:v>
      </x:c>
      <x:c r="D53" s="53" t="n">
        <x:v>0.166667</x:v>
      </x:c>
      <x:c r="E53" s="54" t="b">
        <x:v>0</x:v>
      </x:c>
      <x:c r="F53" s="53" t="str"/>
    </x:row>
    <x:row r="54">
      <x:c r="A54" s="53" t="n">
        <x:v>15</x:v>
      </x:c>
      <x:c r="B54" s="53" t="str">
        <x:v>INK</x:v>
      </x:c>
      <x:c r="C54" s="53" t="str">
        <x:v>Ink / Altruism</x:v>
      </x:c>
      <x:c r="D54" s="53" t="n">
        <x:v>0.166667</x:v>
      </x:c>
      <x:c r="E54" s="54" t="b">
        <x:v>0</x:v>
      </x:c>
      <x:c r="F54" s="53" t="str"/>
    </x:row>
    <x:row r="55">
      <x:c r="A55" s="53" t="n">
        <x:v>16</x:v>
      </x:c>
      <x:c r="B55" s="53" t="str">
        <x:v>WB</x:v>
      </x:c>
      <x:c r="C55" s="53" t="str">
        <x:v>Orzhov Syndicate</x:v>
      </x:c>
      <x:c r="D55" s="53" t="n">
        <x:v>0.166667</x:v>
      </x:c>
      <x:c r="E55" s="54" t="b">
        <x:v>0</x:v>
      </x:c>
      <x:c r="F55" s="53" t="str"/>
    </x:row>
    <x:row r="56">
      <x:c r="A56" s="53" t="n">
        <x:v>17</x:v>
      </x:c>
      <x:c r="B56" s="53" t="str">
        <x:v>WG</x:v>
      </x:c>
      <x:c r="C56" s="53" t="str">
        <x:v>Selesnya Conclave</x:v>
      </x:c>
      <x:c r="D56" s="53" t="n">
        <x:v>0.166667</x:v>
      </x:c>
      <x:c r="E56" s="54" t="b">
        <x:v>0</x:v>
      </x:c>
      <x:c r="F56" s="53" t="str"/>
    </x:row>
    <x:row r="57">
      <x:c r="A57" s="53" t="n">
        <x:v>18</x:v>
      </x:c>
      <x:c r="B57" s="53" t="str">
        <x:v>PRISMARI</x:v>
      </x:c>
      <x:c r="C57" s="53" t="str">
        <x:v>Prismari College</x:v>
      </x:c>
      <x:c r="D57" s="53" t="n">
        <x:v>0.083333</x:v>
      </x:c>
      <x:c r="E57" s="54" t="b">
        <x:v>0</x:v>
      </x:c>
      <x:c r="F57" s="53" t="str"/>
    </x:row>
    <x:row r="58">
      <x:c r="A58" s="53" t="n">
        <x:v>19</x:v>
      </x:c>
      <x:c r="B58" s="53" t="str">
        <x:v>SULTAI</x:v>
      </x:c>
      <x:c r="C58" s="53" t="str">
        <x:v>Sultai Brood</x:v>
      </x:c>
      <x:c r="D58" s="53" t="n">
        <x:v>0.083333</x:v>
      </x:c>
      <x:c r="E58" s="54" t="b">
        <x:v>0</x:v>
      </x:c>
      <x:c r="F58" s="53" t="str"/>
    </x:row>
    <x:row r="59">
      <x:c r="A59" s="53" t="n">
        <x:v>20</x:v>
      </x:c>
      <x:c r="B59" s="53" t="str">
        <x:v>WITHERBLOOM</x:v>
      </x:c>
      <x:c r="C59" s="53" t="str">
        <x:v>Witherbloom College</x:v>
      </x:c>
      <x:c r="D59" s="53" t="n">
        <x:v>0.083333</x:v>
      </x:c>
      <x:c r="E59" s="54" t="b">
        <x:v>0</x:v>
      </x:c>
      <x:c r="F59" s="53" t="str"/>
    </x:row>
    <x:row r="60">
      <x:c r="A60" s="53" t="n">
        <x:v>21</x:v>
      </x:c>
      <x:c r="B60" s="53" t="str">
        <x:v>BANT</x:v>
      </x:c>
      <x:c r="C60" s="53" t="str">
        <x:v>Bant</x:v>
      </x:c>
      <x:c r="D60" s="53" t="n">
        <x:v>0.083333</x:v>
      </x:c>
      <x:c r="E60" s="54" t="b">
        <x:v>0</x:v>
      </x:c>
      <x:c r="F60" s="53" t="str"/>
    </x:row>
    <x:row r="61">
      <x:c r="A61" s="53" t="n">
        <x:v>22</x:v>
      </x:c>
      <x:c r="B61" s="53" t="str">
        <x:v>G</x:v>
      </x:c>
      <x:c r="C61" s="53" t="str">
        <x:v>Green</x:v>
      </x:c>
      <x:c r="D61" s="53" t="n">
        <x:v>0.083333</x:v>
      </x:c>
      <x:c r="E61" s="54" t="b">
        <x:v>0</x:v>
      </x:c>
      <x:c r="F61" s="53" t="str"/>
    </x:row>
    <x:row r="62">
      <x:c r="A62" s="53" t="n">
        <x:v>23</x:v>
      </x:c>
      <x:c r="B62" s="53" t="str">
        <x:v>GLINT</x:v>
      </x:c>
      <x:c r="C62" s="53" t="str">
        <x:v>Glint / Chaos</x:v>
      </x:c>
      <x:c r="D62" s="53" t="n">
        <x:v>0.083333</x:v>
      </x:c>
      <x:c r="E62" s="54" t="b">
        <x:v>0</x:v>
      </x:c>
      <x:c r="F62" s="53" t="str"/>
    </x:row>
    <x:row r="63">
      <x:c r="A63" s="53" t="n">
        <x:v>24</x:v>
      </x:c>
      <x:c r="B63" s="53" t="str">
        <x:v>LOREHOLD</x:v>
      </x:c>
      <x:c r="C63" s="53" t="str">
        <x:v>Lorehold College</x:v>
      </x:c>
      <x:c r="D63" s="53" t="n">
        <x:v>0.083333</x:v>
      </x:c>
      <x:c r="E63" s="54" t="b">
        <x:v>0</x:v>
      </x:c>
      <x:c r="F63" s="53" t="str"/>
    </x:row>
    <x:row r="64">
      <x:c r="A64" s="53" t="n">
        <x:v>25</x:v>
      </x:c>
      <x:c r="B64" s="53" t="str">
        <x:v>NAYA</x:v>
      </x:c>
      <x:c r="C64" s="53" t="str">
        <x:v>Naya</x:v>
      </x:c>
      <x:c r="D64" s="53" t="n">
        <x:v>0.083333</x:v>
      </x:c>
      <x:c r="E64" s="54" t="b">
        <x:v>0</x:v>
      </x:c>
      <x:c r="F64" s="53" t="str"/>
    </x:row>
    <x:row r="65">
      <x:c r="A65" s="53" t="n">
        <x:v>26</x:v>
      </x:c>
      <x:c r="B65" s="53" t="str">
        <x:v>UG</x:v>
      </x:c>
      <x:c r="C65" s="53" t="str">
        <x:v>Simic Combine</x:v>
      </x:c>
      <x:c r="D65" s="53" t="n">
        <x:v>0.083333</x:v>
      </x:c>
      <x:c r="E65" s="54" t="b">
        <x:v>0</x:v>
      </x:c>
      <x:c r="F65" s="53" t="str"/>
    </x:row>
    <x:row r="66">
      <x:c r="A66" s="53" t="n">
        <x:v>27</x:v>
      </x:c>
      <x:c r="B66" s="53" t="str">
        <x:v>UR</x:v>
      </x:c>
      <x:c r="C66" s="53" t="str">
        <x:v>Izzet League</x:v>
      </x:c>
      <x:c r="D66" s="53" t="n">
        <x:v>0.083333</x:v>
      </x:c>
      <x:c r="E66" s="54" t="b">
        <x:v>0</x:v>
      </x:c>
      <x:c r="F66" s="53" t="str"/>
    </x:row>
    <x:row r="67">
      <x:c r="A67" s="53" t="n">
        <x:v>28</x:v>
      </x:c>
      <x:c r="B67" s="53" t="str">
        <x:v>YORE</x:v>
      </x:c>
      <x:c r="C67" s="53" t="str">
        <x:v>Yore / Artifice</x:v>
      </x:c>
      <x:c r="D67" s="53" t="n">
        <x:v>0.083333</x:v>
      </x:c>
      <x:c r="E67" s="54" t="b">
        <x:v>0</x:v>
      </x:c>
      <x:c r="F67" s="53" t="str"/>
    </x:row>
    <x:row r="68">
      <x:c r="A68" s="53" t="n">
        <x:v>29</x:v>
      </x:c>
      <x:c r="B68" s="53" t="str">
        <x:v>JESKAI</x:v>
      </x:c>
      <x:c r="C68" s="53" t="str">
        <x:v>Jeskai Way</x:v>
      </x:c>
      <x:c r="D68" s="53" t="n">
        <x:v>0.0625</x:v>
      </x:c>
      <x:c r="E68" s="54" t="b">
        <x:v>0</x:v>
      </x:c>
      <x:c r="F68" s="53" t="str"/>
    </x:row>
    <x:row r="69">
      <x:c r="A69" s="53" t="n">
        <x:v>30</x:v>
      </x:c>
      <x:c r="B69" s="53" t="str">
        <x:v>U</x:v>
      </x:c>
      <x:c r="C69" s="53" t="str">
        <x:v>Blue</x:v>
      </x:c>
      <x:c r="D69" s="53" t="n">
        <x:v>0.0625</x:v>
      </x:c>
      <x:c r="E69" s="54" t="b">
        <x:v>0</x:v>
      </x:c>
      <x:c r="F69" s="53" t="str"/>
    </x:row>
    <x:row r="70">
      <x:c r="A70" s="53" t="n">
        <x:v>31</x:v>
      </x:c>
      <x:c r="B70" s="53" t="str">
        <x:v>UB</x:v>
      </x:c>
      <x:c r="C70" s="53" t="str">
        <x:v>House Dimir</x:v>
      </x:c>
      <x:c r="D70" s="53" t="n">
        <x:v>0.0625</x:v>
      </x:c>
      <x:c r="E70" s="54" t="b">
        <x:v>0</x:v>
      </x:c>
      <x:c r="F70" s="53" t="str"/>
    </x:row>
    <x:row r="71">
      <x:c r="A71" s="53" t="n">
        <x:v>32</x:v>
      </x:c>
      <x:c r="B71" s="53" t="str">
        <x:v>WU</x:v>
      </x:c>
      <x:c r="C71" s="53" t="str">
        <x:v>Azorius Senate</x:v>
      </x:c>
      <x:c r="D71" s="53" t="n">
        <x:v>0.0625</x:v>
      </x:c>
      <x:c r="E71" s="54" t="b">
        <x:v>0</x:v>
      </x:c>
      <x:c r="F71" s="53" t="str"/>
    </x:row>
    <x:row r="72">
      <x:c r="A72" s="53" t="n">
        <x:v>33</x:v>
      </x:c>
      <x:c r="B72" s="53" t="str">
        <x:v>COLORLESS</x:v>
      </x:c>
      <x:c r="C72" s="53" t="str">
        <x:v>Colorless</x:v>
      </x:c>
      <x:c r="D72" s="53" t="n">
        <x:v>0</x:v>
      </x:c>
      <x:c r="E72" s="54" t="b">
        <x:v>0</x:v>
      </x:c>
      <x:c r="F72" s="53" t="str"/>
    </x:row>
    <x:row r="73">
      <x:c r="A73" s="53" t="n">
        <x:v>34</x:v>
      </x:c>
      <x:c r="B73" s="53" t="str">
        <x:v>ESPER</x:v>
      </x:c>
      <x:c r="C73" s="53" t="str">
        <x:v>Esper</x:v>
      </x:c>
      <x:c r="D73" s="53" t="n">
        <x:v>0</x:v>
      </x:c>
      <x:c r="E73" s="54" t="b">
        <x:v>0</x:v>
      </x:c>
      <x:c r="F73" s="53" t="str"/>
    </x:row>
    <x:row r="74">
      <x:c r="A74" s="53" t="n">
        <x:v>35</x:v>
      </x:c>
      <x:c r="B74" s="53" t="str">
        <x:v>QUANDRIX</x:v>
      </x:c>
      <x:c r="C74" s="53" t="str">
        <x:v>Quandrix College</x:v>
      </x:c>
      <x:c r="D74" s="53" t="n">
        <x:v>0</x:v>
      </x:c>
      <x:c r="E74" s="54" t="b">
        <x:v>0</x:v>
      </x:c>
      <x:c r="F74" s="53" t="str"/>
    </x:row>
    <x:row r="75">
      <x:c r="A75" s="53" t="n">
        <x:v>36</x:v>
      </x:c>
      <x:c r="B75" s="53" t="str">
        <x:v>WITCH</x:v>
      </x:c>
      <x:c r="C75" s="53" t="str">
        <x:v>Witch / Growth</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"R",
  "faction_name": "Red",
  "institution_type": "color",
  "world": "The Color Pie",
  "identity": {
    "core_color": "R",
    "secondary_colors": [],
    "secondary_color": null,
    "expression_key": "R",
    "expression_name": "Red",
    "expression_kind": "color",
    "purity": 1,
    "routing": {
      "edhrec_slug": "mono-red",
      "mtgdecks_slug": "mono-red",
      "label": "Red"
    }
  },
  "decree": "Red is the clearest current fit from the approved observations.",
  "confidence": 0.042,
  "confidence_gap": 1,
  "mana_scores": {
    "W": 9,
    "U": 8,
    "B": 9,
    "R": 10,
    "G": 9
  },
  "top_matches": [
    {
      "rank": 1,
      "faction": "R",
      "faction_name": "Red",
      "institution_type": "color",
      "world": "The Color Pie",
      "identity": {
        "core_color": "R",
        "secondary_colors": [],
        "secondary_color": null,
        "expression_key": "R",
        "expression_name": "Red",
        "expression_kind": "color",
        "purity": 1,
        "routing": {
          "edhrec_slug": "mono-red",
          "mtgdecks_slug": "mono-red",
          "label": "Red"
        }
      },
      "score": 0.729167,
      "confidence": 0.042,
      "reason": "Red remained plausible through C01, C04; identity mapping remains a hypothesis."
    }
  ],
  "adjacent_matches": [],
  "internal_candidate_order": [
    {
      "identity": "R",
      "score": 0.729167,
      "positive_dependencies": 2,
      "qualification_dependencies": 2,
      "naming_dependencies": 1,
      "positive_constructs": [
        "C01",
        "C03"
      ],
      "satisfied_naming_rule_ids": [
        "instrument_completion_overlay:b1.crucible.disruption-boundary.v1.act:R"
      ],
      "naming_qualification": {
        "identity": "R",
        "qualified": true,
        "satisfied_naming_rule_ids": [
          "instrument_completion_overlay:b1.crucible.disruption-boundary.v1.act:R"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"JUND",
      "score": 0.625,
      "positive_dependencies": 2,
      "qualification_dependencies": 2,
      "naming_dependencies": 0,
      "positive_constructs": [
        "C01",
        "C12"
      ],
      "satisfied_naming_rule_ids": [],
      "naming_qualification": {
        "identity": "JUND",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"MARDU",
      "score": 0.625,
      "positive_dependencies": 1,
      "qualification_dependencies": 1,
      "naming_dependencies": 0,
      "positive_constructs": [
        "C07"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"WR",
      "score": 0.625,
      "positive_dependencies": 1,
      "qualification_dependencies": 1,
      "naming_dependencies": 0,
      "positive_constructs": [
        "C07"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"DUNE",
      "score": 0.541667,
      "positive_dependencies": 1,
      "qualification_dependencies": 1,
      "naming_dependencies": 0,
      "positive_constructs": [
        "C07"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"SILVERQUILL",
      "score": 0.458333,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0.4375,
      "positive_dependencies": 1,
      "qualification_dependencies": 1,
      "naming_dependencies": 0,
      "positive_constructs": [
        "C12"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
      "score": 0.25,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"ABZAN",
      "score": 0.166667,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"BG",
      "score": 0.166667,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"C12"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"C12"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"WB",
      "score": 0.166667,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"C13"
      ]
    },
    {
      "identity": "WG",
      "score": 0.166667,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x:v>
      </x:c>
    </x:row>
    <x:row r="80">
      <x:c r="A80" s="53" t="str">
        <x:v>Part 2/3</x:v>
      </x:c>
      <x:c r="B80" s="53" t="str">
        <x:v>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"R",
    "JUND",
    "MARDU",
    "WR",
    "DUNE",
    "RG",
    "SILVERQUILL",
    "B"
  ],
  "alternatives": [],
  "refinement": {
    "kind": "revisit_prior_answer",
    "can_reduce_ambiguity": true,
    "remaining_candidates": [
      "R",
      "JUND",
      "MARDU",
      "WR",
      "DUNE",
      "RG",
      "SILVERQUILL",
      "B"
    ],
    "unresolved_boundaries": [
      {
        "pair_id": "B__R",
        "identities": [
          "B",
          "R"
        ],
        "distinction": "B uses Resource sacrifice evidence; R uses Initiative posture evidence. No direct pair claim is made.",
        "question_ids": [
          "b1.hall.sacrifice.v1",
          "b1.gate.initiative.v1",
          "b1.crucible.mono-multi.v1",
          "b1.hall.information-to-plan.v1",
          "b1.hall.pressure.v1",
          "b1.crucible.disruption-boundary.v1"
        ],
        "coverage_status": "DIRECT-OR-STRUCTURAL-MAPPING-HYPOTHESIS; bounded player validation required"
      },
      {
        "pair_id": "B__RG",
        "identities": [
          "B",
          "RG"
        ],
        "distinction": "B uses Resource sacrifice evidence; RG uses Pressure channel evidence. No direct pair claim is made.",
        "question_ids": [
          "b1.hall.sacrifice.v1",
          "b1.hall.pressure.v1",
          "b1.crucible.mono-multi.v1",
          "b1.hall.information-to-plan.v1",
          "b1.gate.initiative.v1",
          "b1.gate.disruption.v1",
          "b1.crucible.disruption-boundary.v1"
        ],
        "coverage_status": "DIRECT-OR-STRUCTURAL-MAPPING-HYPOTHESIS; bounded player validation required"
      },
      {
        "pair_id": "MARDU__R",
        "identities": [
          "MARDU",
          "R"
        ],
        "distinction": "MARDU uses Pressure channel evidence; R uses Advantage tempo evidence. No direct pair claim is made.",
        "question_ids": [
          "b1.hall.pressure.v1",
          "b1.gate.tempo.v1",
          "b1.crucible.mono-multi.v1",
          "b1.gate.initiative.v1",
          "b1.hall.commitment.v1",
          "b1.crucible.disruption-boundary.v1"
        ],
        "coverage_status": "DIRECT-OR-STRUCTURAL-MAPPING-HYPOTHESIS; bounded player validation required"
      }
    ],
    "missing_constructs": [
      "C11"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"answer_title": "Coordinate one attack",
      "prompt": "The player ahead uses all their mana and leaves one turn where the table can take control. Which kind of pressure do you want your deck to create?",
      "observation": "Prefers formation-based combat pressure during a shared opening.",
      "deltas": [
        {
          "faction": "DUNE",
          "delta": 0.5
        },
        {
          "faction": "MARDU",
          "delta": 0.5
        },
        {
          "faction": "WR",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"answer_title": "Spend it for the next advantage",
      "prompt": "You can give up a useful permanent now for cards or another lasting resource. What feels natural?",
      "observation": "Prefers voluntary resource conversion.",
      "deltas": [
        {
          "faction": "B",
          "delta": 0.5
        },
        {
          "faction": "JUND",
          "delta": 0.5
        }
      ]
    },
    {
      "question_id": "b1.crucible.disruption-boundary.v1",
      "answer_id": "b1.crucible.disruption-boundary.v1.act",
      "stage": "crucible",
      "construct": "C03",
      "bounded_observation": "Prefers immediate action after disruption rather than restoration.",
      "signal": "SIG_C03_ACT",
      "dependency_group": "DG_C03",
      "evidence_class": "BEHAVIORAL_OBSERVATION",
      "affected_identities": [
        "R"
      ],
      "positive_support": [
        "R"
      ],
      "contradiction": [],
      "neutral": false,
      "mapping_strength": 1,
      "naming_evidence": true,
      "qualification_eligible": true,
      "qualification_support": [
        "R"
      ],
      "naming_support": [
        "R"
      ],
      "naming_rule_ids_by_identity": {
        "R": [
          "instrument_completion_overlay:b1.crucible.disruption-boundary.v1.act:R"
        ]
      },
      "mapping_role": "completion_boundary_direction",
      "mapping_status": "REMEDIATION_MAPPING_HYPOTHESIS",
      "mapping_provenance": "docs/plans/vm551-gate-b1-instrument-completion/instrument-change-adjudication.tsv#b1.crucible.disruption-boundary.v1.act;docs/audits/vm555-b1-identity-evidence-gap-bridge/identity-evidence-gap-matrix.tsv",
      "evidence_provenance": "E-VM555;E-CERTIFIED;E-CECOS;E-PLAYER-LANGUAGE",
      "limitation": "The opponent being tapped out can make immediate action tactically correct for any deck.",
      "behavioral_vs_lens": "behavioral",
      "answer_title": "Use the remaining opening",
      "prompt": "An opponent removes the piece your deck was built around after using most of their mana and cards. Your turn begins with the rest of your board still available. What do you try first?",
      "observation": "Prefers immediate action after disruption rather than restoration.",
      "deltas": [
        {
          "faction": "R",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x:v>
      </x:c>
    </x:row>
    <x:row r="81">
      <x:c r="A81" s="53" t="str">
        <x:v>Part 3/3</x:v>
      </x:c>
      <x:c r="B81" s="53" t="str">
        <x:v>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
    {
      "question_id": "b1.crucible.disruption-boundary.v1",
      "answer_id": "b1.crucible.disruption-boundary.v1.act",
      "stage": "crucible",
      "construct": "C03",
      "bounded_observation": "Prefers immediate action after disruption rather than restoration.",
      "signal": "SIG_C03_ACT",
      "dependency_group": "DG_C03",
      "evidence_class": "BEHAVIORAL_OBSERVATION",
      "affected_identities": [
        "R"
      ],
      "positive_support": [
        "R"
      ],
      "contradiction": [],
      "neutral": false,
      "mapping_strength": 1,
      "naming_evidence": true,
      "qualification_eligible": true,
      "qualification_support": [
        "R"
      ],
      "naming_support": [
        "R"
      ],
      "naming_rule_ids_by_identity": {
        "R": [
          "instrument_completion_overlay:b1.crucible.disruption-boundary.v1.act:R"
        ]
      },
      "mapping_role": "completion_boundary_direction",
      "mapping_status": "REMEDIATION_MAPPING_HYPOTHESIS",
      "mapping_provenance": "docs/plans/vm551-gate-b1-instrument-completion/instrument-change-adjudication.tsv#b1.crucible.disruption-boundary.v1.act;docs/audits/vm555-b1-identity-evidence-gap-bridge/identity-evidence-gap-matrix.tsv",
      "evidence_provenance": "E-VM555;E-CERTIFIED;E-CECOS;E-PLAYER-LANGUAGE",
      "limitation": "The opponent being tapped out can make immediate action tactically correct for any deck.",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"b1.hall.pressure.v1.coordinate",
      "stage": "hall",
      "evidence_class": "BEHAVIORAL_OBSERVATION"
    },
    {
      "question_id": "b1.hall.commitment.v1",
      "answer_id": "b1.hall.commitment.v1.reopen",
      "stage": "hall",
      "evidence_class": "BEHAVIORAL_OBSERVATION"
    },
    {
      "question_id": "b1.hall.sacrifice.v1",
      "answer_id": "b1.hall.sacrifice.v1.convert",
      "stage": "hall",
      "evidence_class": "BEHAVIORAL_OBSERVATION"
    },
    {
      "question_id": "b1.crucible.disruption-boundary.v1",
      "answer_id": "b1.crucible.disruption-boundary.v1.act",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Green — Engine Trace</x:v>
      </x:c>
      <x:c r="B1" s="3"/>
      <x:c r="C1" s="3"/>
      <x:c r="D1" s="3"/>
      <x:c r="E1" s="3"/>
      <x:c r="F1" s="3"/>
      <x:c r="G1" s="3"/>
      <x:c r="H1" s="3"/>
      <x:c r="I1" s="3"/>
      <x:c r="J1" s="3"/>
      <x:c r="K1" s="3"/>
      <x:c r="L1" s="3"/>
      <x:c r="M1" s="3"/>
      <x:c r="N1" s="3"/>
      <x:c r="O1" s="3"/>
      <x:c r="P1" s="3"/>
      <x:c r="Q1" s="3"/>
      <x:c r="R1" s="3"/>
      <x:c r="S1" s="3"/>
      <x:c r="T1" s="3"/>
    </x:row>
    <x:row r="2" ht="30" customHeight="1">
      <x:c r="A2" s="7" t="str">
        <x:v>ENGINE-G • PASS_MATCH • primary • trace 9b2f18a033d4f2bde913b158779d6c901b3add3cee4dd60b8fdae175b9a2158b</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G</x:v>
      </x:c>
    </x:row>
    <x:row r="6">
      <x:c r="A6" s="53" t="str">
        <x:v>Expected public contract</x:v>
      </x:c>
      <x:c r="B6" s="53" t="str">
        <x:v>NAMED_DOSSIER</x:v>
      </x:c>
    </x:row>
    <x:row r="7">
      <x:c r="A7" s="53" t="str">
        <x:v>Witness status</x:v>
      </x:c>
      <x:c r="B7" s="53" t="str">
        <x:v>CURRENT_COMPATIBLE</x:v>
      </x:c>
    </x:row>
    <x:row r="8">
      <x:c r="A8" s="53" t="str">
        <x:v>Actual result</x:v>
      </x:c>
      <x:c r="B8" s="53" t="str">
        <x:v>G</x:v>
      </x:c>
    </x:row>
    <x:row r="9">
      <x:c r="A9" s="53" t="str">
        <x:v>Directional result</x:v>
      </x:c>
      <x:c r="B9" s="53" t="str">
        <x:v>G</x:v>
      </x:c>
    </x:row>
    <x:row r="10">
      <x:c r="A10" s="53" t="str">
        <x:v>Public state</x:v>
      </x:c>
      <x:c r="B10" s="53" t="str">
        <x:v>current-best-fit</x:v>
      </x:c>
    </x:row>
    <x:row r="11">
      <x:c r="A11" s="53" t="str">
        <x:v>Raw numeric leader</x:v>
      </x:c>
      <x:c r="B11" s="53" t="str">
        <x:v>RG</x:v>
      </x:c>
    </x:row>
    <x:row r="12">
      <x:c r="A12" s="53" t="str">
        <x:v>Raw score</x:v>
      </x:c>
      <x:c r="B12" s="53" t="n">
        <x:v>0.916667</x:v>
      </x:c>
    </x:row>
    <x:row r="13">
      <x:c r="A13" s="53" t="str">
        <x:v>Raw leader qualified</x:v>
      </x:c>
      <x:c r="B13" s="54" t="b">
        <x:v>0</x:v>
      </x:c>
    </x:row>
    <x:row r="14">
      <x:c r="A14" s="53" t="str">
        <x:v>Selected qualified</x:v>
      </x:c>
      <x:c r="B14" s="54" t="b">
        <x:v>1</x:v>
      </x:c>
    </x:row>
    <x:row r="15">
      <x:c r="A15" s="53" t="str">
        <x:v>Frontier</x:v>
      </x:c>
      <x:c r="B15" s="53" t="str">
        <x:v>G</x:v>
      </x:c>
    </x:row>
    <x:row r="16">
      <x:c r="A16" s="53" t="str">
        <x:v>Stop reason</x:v>
      </x:c>
      <x:c r="B16" s="53" t="str">
        <x:v>highest_responsible_candidate_trails_unqualified_internal_candidate</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b1.gate.disruption.v1.recover</x:v>
      </x:c>
      <x:c r="G31" s="53" t="str">
        <x:v>A way to rebuild</x:v>
      </x:c>
      <x:c r="H31" s="53" t="str">
        <x:v>C03</x:v>
      </x:c>
      <x:c r="I31" s="53" t="str">
        <x:v>SIG_C03_RECOVER</x:v>
      </x:c>
      <x:c r="J31" s="53" t="str">
        <x:v>DG_C03</x:v>
      </x:c>
      <x:c r="K31" s="53" t="str">
        <x:v>BEHAVIORAL_OBSERVATION</x:v>
      </x:c>
      <x:c r="L31" s="53" t="str">
        <x:v>G | RG</x:v>
      </x:c>
      <x:c r="M31" s="53" t="str"/>
      <x:c r="N31" s="53" t="n">
        <x:v>0.5</x:v>
      </x:c>
      <x:c r="O31" s="54" t="b">
        <x:v>0</x:v>
      </x:c>
      <x:c r="P31" s="53" t="str">
        <x:v>REMEDIATION_MAPPING_HYPOTHESIS</x:v>
      </x:c>
      <x:c r="Q31" s="53" t="str">
        <x:v>Prefers recovery after broad disruption.</x:v>
      </x:c>
      <x:c r="R31" s="53" t="str">
        <x:v>Observation wording and identity association require player validation; no weight is authorized.</x:v>
      </x:c>
      <x:c r="S31" s="53" t="str">
        <x:v>G</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G</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b1.hall.pressure.v1.resources</x:v>
      </x:c>
      <x:c r="G33" s="53" t="str">
        <x:v>Narrow their options first</x:v>
      </x:c>
      <x:c r="H33" s="53" t="str">
        <x:v>C07</x:v>
      </x:c>
      <x:c r="I33" s="53" t="str">
        <x:v>SIG_C07_RESOURCE_CONTROL</x:v>
      </x:c>
      <x:c r="J33" s="53" t="str">
        <x:v>DG_C07</x:v>
      </x:c>
      <x:c r="K33" s="53" t="str">
        <x:v>BEHAVIORAL_OBSERVATION</x:v>
      </x:c>
      <x:c r="L33" s="53" t="str">
        <x:v>WB</x:v>
      </x:c>
      <x:c r="M33" s="53" t="str"/>
      <x:c r="N33" s="53" t="n">
        <x:v>0.5</x:v>
      </x:c>
      <x:c r="O33" s="54" t="b">
        <x:v>0</x:v>
      </x:c>
      <x:c r="P33" s="53" t="str">
        <x:v>REMEDIATION_MAPPING_HYPOTHESIS</x:v>
      </x:c>
      <x:c r="Q33" s="53" t="str">
        <x:v>Prefers resource-control pressure before attempting to end the game.</x:v>
      </x:c>
      <x:c r="R33" s="53" t="str">
        <x:v>Removing options can be a tactical prerequisite in any deck.</x:v>
      </x:c>
      <x:c r="S33" s="53" t="str">
        <x:v>RG</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b1.hall.setup.v1.staged</x:v>
      </x:c>
      <x:c r="G34" s="53" t="str">
        <x:v>Let each step matter</x:v>
      </x:c>
      <x:c r="H34" s="53" t="str">
        <x:v>C14</x:v>
      </x:c>
      <x:c r="I34" s="53" t="str">
        <x:v>SIG_C14_STAGED</x:v>
      </x:c>
      <x:c r="J34" s="53" t="str">
        <x:v>DG_C14</x:v>
      </x:c>
      <x:c r="K34" s="53" t="str">
        <x:v>BEHAVIORAL_OBSERVATION</x:v>
      </x:c>
      <x:c r="L34" s="53" t="str">
        <x:v>ABZAN | BG | G | NAYA | UG | WITHERBLOOM</x:v>
      </x:c>
      <x:c r="M34" s="53" t="str"/>
      <x:c r="N34" s="53" t="n">
        <x:v>0.5</x:v>
      </x:c>
      <x:c r="O34" s="54" t="b">
        <x:v>0</x:v>
      </x:c>
      <x:c r="P34" s="53" t="str">
        <x:v>REMEDIATION_MAPPING_HYPOTHESIS</x:v>
      </x:c>
      <x:c r="Q34" s="53" t="str">
        <x:v>Prefers staged cultivation where development contributes along the way.</x:v>
      </x:c>
      <x:c r="R34" s="53" t="str">
        <x:v>Value engines commonly reward staged play for mechanical reasons.</x:v>
      </x:c>
      <x:c r="S34" s="53" t="str">
        <x:v>G</x:v>
      </x:c>
      <x:c r="T34" s="53" t="str">
        <x:v>incomplete / useful_evidence_remains / b1.hall.commitment.v1</x:v>
      </x:c>
    </x:row>
    <x:row r="35">
      <x:c r="A35" s="53" t="n">
        <x:v>7</x:v>
      </x:c>
      <x:c r="B35" s="53" t="str">
        <x:v>main</x:v>
      </x:c>
      <x:c r="C35" s="53" t="str">
        <x:v>hall</x:v>
      </x:c>
      <x:c r="D35" s="53" t="str">
        <x:v>b1.hall.commitment.v1</x:v>
      </x:c>
      <x:c r="E35" s="53" t="str">
        <x:v>The table agrees to stop a repeatable threat. Before your next turn, the board changes and that threat is weaker but still present. What should the agreement require now?</x:v>
      </x:c>
      <x:c r="F35" s="53" t="str">
        <x:v>b1.hall.commitment.v1.reopen</x:v>
      </x:c>
      <x:c r="G35" s="53" t="str">
        <x:v>Reopen the agreement</x:v>
      </x:c>
      <x:c r="H35" s="53" t="str">
        <x:v>C13</x:v>
      </x:c>
      <x:c r="I35" s="53" t="str">
        <x:v>SIG_C13_REVISABLE</x:v>
      </x:c>
      <x:c r="J35" s="53" t="str">
        <x:v>DG_C13</x:v>
      </x:c>
      <x:c r="K35" s="53" t="str">
        <x:v>BEHAVIORAL_OBSERVATION</x:v>
      </x:c>
      <x:c r="L35" s="53" t="str">
        <x:v>SILVERQUILL</x:v>
      </x:c>
      <x:c r="M35" s="53" t="str"/>
      <x:c r="N35" s="53" t="n">
        <x:v>0.5</x:v>
      </x:c>
      <x:c r="O35" s="54" t="b">
        <x:v>0</x:v>
      </x:c>
      <x:c r="P35" s="53" t="str">
        <x:v>REMEDIATION_MAPPING_HYPOTHESIS</x:v>
      </x:c>
      <x:c r="Q35" s="53" t="str">
        <x:v>Prefers revisable present influence over a binding future commitment.</x:v>
      </x:c>
      <x:c r="R35" s="53" t="str">
        <x:v>Players may reopen a deal because it became impossible, not because they prefer revisable influence.</x:v>
      </x:c>
      <x:c r="S35" s="53" t="str">
        <x:v>ABZAN</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b1.crucible.disruption-boundary.v1.adapt</x:v>
      </x:c>
      <x:c r="G36" s="53" t="str">
        <x:v>Use the board that remains</x:v>
      </x:c>
      <x:c r="H36" s="53" t="str">
        <x:v>C03</x:v>
      </x:c>
      <x:c r="I36" s="53" t="str">
        <x:v>SIG_C03_ADAPT</x:v>
      </x:c>
      <x:c r="J36" s="53" t="str">
        <x:v>DG_C03</x:v>
      </x:c>
      <x:c r="K36" s="53" t="str">
        <x:v>BEHAVIORAL_OBSERVATION</x:v>
      </x:c>
      <x:c r="L36" s="53" t="str">
        <x:v>G | RG</x:v>
      </x:c>
      <x:c r="M36" s="53" t="str"/>
      <x:c r="N36" s="53" t="n">
        <x:v>1</x:v>
      </x:c>
      <x:c r="O36" s="54" t="b">
        <x:v>1</x:v>
      </x:c>
      <x:c r="P36" s="53" t="str">
        <x:v>REMEDIATION_MAPPING_HYPOTHESIS</x:v>
      </x:c>
      <x:c r="Q36" s="53" t="str">
        <x:v>Prefers board-led adaptation over restoring the ideal plan.</x:v>
      </x:c>
      <x:c r="R36" s="53" t="str">
        <x:v>Any player may pivot when reconstruction is impossible.</x:v>
      </x:c>
      <x:c r="S36" s="53" t="str">
        <x:v>RG</x:v>
      </x:c>
      <x:c r="T36" s="53" t="str">
        <x:v>close / highest_responsible_candidate_trails_unqualified_internal_candidate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RG</x:v>
      </x:c>
      <x:c r="C40" s="53" t="str">
        <x:v>Gruul Clans</x:v>
      </x:c>
      <x:c r="D40" s="53" t="n">
        <x:v>0.916667</x:v>
      </x:c>
      <x:c r="E40" s="54" t="b">
        <x:v>0</x:v>
      </x:c>
      <x:c r="F40" s="53" t="str">
        <x:v>C03</x:v>
      </x:c>
    </x:row>
    <x:row r="41">
      <x:c r="A41" s="53" t="n">
        <x:v>2</x:v>
      </x:c>
      <x:c r="B41" s="53" t="str">
        <x:v>G</x:v>
      </x:c>
      <x:c r="C41" s="53" t="str">
        <x:v>Green</x:v>
      </x:c>
      <x:c r="D41" s="53" t="n">
        <x:v>0.729167</x:v>
      </x:c>
      <x:c r="E41" s="54" t="b">
        <x:v>1</x:v>
      </x:c>
      <x:c r="F41" s="53" t="str">
        <x:v>C03 | C14</x:v>
      </x:c>
    </x:row>
    <x:row r="42">
      <x:c r="A42" s="53" t="n">
        <x:v>3</x:v>
      </x:c>
      <x:c r="B42" s="53" t="str">
        <x:v>ABZAN</x:v>
      </x:c>
      <x:c r="C42" s="53" t="str">
        <x:v>Abzan Houses</x:v>
      </x:c>
      <x:c r="D42" s="53" t="n">
        <x:v>0.625</x:v>
      </x:c>
      <x:c r="E42" s="54" t="b">
        <x:v>0</x:v>
      </x:c>
      <x:c r="F42" s="53" t="str">
        <x:v>C14</x:v>
      </x:c>
    </x:row>
    <x:row r="43">
      <x:c r="A43" s="53" t="n">
        <x:v>4</x:v>
      </x:c>
      <x:c r="B43" s="53" t="str">
        <x:v>UG</x:v>
      </x:c>
      <x:c r="C43" s="53" t="str">
        <x:v>Simic Combine</x:v>
      </x:c>
      <x:c r="D43" s="53" t="n">
        <x:v>0.541667</x:v>
      </x:c>
      <x:c r="E43" s="54" t="b">
        <x:v>0</x:v>
      </x:c>
      <x:c r="F43" s="53" t="str">
        <x:v>C14</x:v>
      </x:c>
    </x:row>
    <x:row r="44">
      <x:c r="A44" s="53" t="n">
        <x:v>5</x:v>
      </x:c>
      <x:c r="B44" s="53" t="str">
        <x:v>BG</x:v>
      </x:c>
      <x:c r="C44" s="53" t="str">
        <x:v>Golgari Swarm</x:v>
      </x:c>
      <x:c r="D44" s="53" t="n">
        <x:v>0.458333</x:v>
      </x:c>
      <x:c r="E44" s="54" t="b">
        <x:v>0</x:v>
      </x:c>
      <x:c r="F44" s="53" t="str">
        <x:v>C14</x:v>
      </x:c>
    </x:row>
    <x:row r="45">
      <x:c r="A45" s="53" t="n">
        <x:v>6</x:v>
      </x:c>
      <x:c r="B45" s="53" t="str">
        <x:v>NAYA</x:v>
      </x:c>
      <x:c r="C45" s="53" t="str">
        <x:v>Naya</x:v>
      </x:c>
      <x:c r="D45" s="53" t="n">
        <x:v>0.458333</x:v>
      </x:c>
      <x:c r="E45" s="54" t="b">
        <x:v>0</x:v>
      </x:c>
      <x:c r="F45" s="53" t="str">
        <x:v>C14</x:v>
      </x:c>
    </x:row>
    <x:row r="46">
      <x:c r="A46" s="53" t="n">
        <x:v>7</x:v>
      </x:c>
      <x:c r="B46" s="53" t="str">
        <x:v>SILVERQUILL</x:v>
      </x:c>
      <x:c r="C46" s="53" t="str">
        <x:v>Silverquill College</x:v>
      </x:c>
      <x:c r="D46" s="53" t="n">
        <x:v>0.458333</x:v>
      </x:c>
      <x:c r="E46" s="54" t="b">
        <x:v>0</x:v>
      </x:c>
      <x:c r="F46" s="53" t="str"/>
    </x:row>
    <x:row r="47">
      <x:c r="A47" s="53" t="n">
        <x:v>8</x:v>
      </x:c>
      <x:c r="B47" s="53" t="str">
        <x:v>WB</x:v>
      </x:c>
      <x:c r="C47" s="53" t="str">
        <x:v>Orzhov Syndicate</x:v>
      </x:c>
      <x:c r="D47" s="53" t="n">
        <x:v>0.458333</x:v>
      </x:c>
      <x:c r="E47" s="54" t="b">
        <x:v>0</x:v>
      </x:c>
      <x:c r="F47" s="53" t="str">
        <x:v>C07</x:v>
      </x:c>
    </x:row>
    <x:row r="48">
      <x:c r="A48" s="53" t="n">
        <x:v>9</x:v>
      </x:c>
      <x:c r="B48" s="53" t="str">
        <x:v>WITHERBLOOM</x:v>
      </x:c>
      <x:c r="C48" s="53" t="str">
        <x:v>Witherbloom College</x:v>
      </x:c>
      <x:c r="D48" s="53" t="n">
        <x:v>0.458333</x:v>
      </x:c>
      <x:c r="E48" s="54" t="b">
        <x:v>0</x:v>
      </x:c>
      <x:c r="F48" s="53" t="str">
        <x:v>C14</x:v>
      </x:c>
    </x:row>
    <x:row r="49">
      <x:c r="A49" s="53" t="n">
        <x:v>10</x:v>
      </x:c>
      <x:c r="B49" s="53" t="str">
        <x:v>JESKAI</x:v>
      </x:c>
      <x:c r="C49" s="53" t="str">
        <x:v>Jeskai Way</x:v>
      </x:c>
      <x:c r="D49" s="53" t="n">
        <x:v>0.4375</x:v>
      </x:c>
      <x:c r="E49" s="54" t="b">
        <x:v>0</x:v>
      </x:c>
      <x:c r="F49" s="53" t="str">
        <x:v>C01</x:v>
      </x:c>
    </x:row>
    <x:row r="50">
      <x:c r="A50" s="53" t="n">
        <x:v>11</x:v>
      </x:c>
      <x:c r="B50" s="53" t="str">
        <x:v>MARDU</x:v>
      </x:c>
      <x:c r="C50" s="53" t="str">
        <x:v>Mardu Horde</x:v>
      </x:c>
      <x:c r="D50" s="53" t="n">
        <x:v>0.25</x:v>
      </x:c>
      <x:c r="E50" s="54" t="b">
        <x:v>0</x:v>
      </x:c>
      <x:c r="F50" s="53" t="str"/>
    </x:row>
    <x:row r="51">
      <x:c r="A51" s="53" t="n">
        <x:v>12</x:v>
      </x:c>
      <x:c r="B51" s="53" t="str">
        <x:v>TEMUR</x:v>
      </x:c>
      <x:c r="C51" s="53" t="str">
        <x:v>Temur Frontier</x:v>
      </x:c>
      <x:c r="D51" s="53" t="n">
        <x:v>0.25</x:v>
      </x:c>
      <x:c r="E51" s="54" t="b">
        <x:v>0</x:v>
      </x:c>
      <x:c r="F51" s="53" t="str"/>
    </x:row>
    <x:row r="52">
      <x:c r="A52" s="53" t="n">
        <x:v>13</x:v>
      </x:c>
      <x:c r="B52" s="53" t="str">
        <x:v>W</x:v>
      </x:c>
      <x:c r="C52" s="53" t="str">
        <x:v>White</x:v>
      </x:c>
      <x:c r="D52" s="53" t="n">
        <x:v>0.25</x:v>
      </x:c>
      <x:c r="E52" s="54" t="b">
        <x:v>0</x:v>
      </x:c>
      <x:c r="F52" s="53" t="str"/>
    </x:row>
    <x:row r="53">
      <x:c r="A53" s="53" t="n">
        <x:v>14</x:v>
      </x:c>
      <x:c r="B53" s="53" t="str">
        <x:v>WR</x:v>
      </x:c>
      <x:c r="C53" s="53" t="str">
        <x:v>Boros Legion</x:v>
      </x:c>
      <x:c r="D53" s="53" t="n">
        <x:v>0.25</x:v>
      </x:c>
      <x:c r="E53" s="54" t="b">
        <x:v>0</x:v>
      </x:c>
      <x:c r="F53" s="53" t="str"/>
    </x:row>
    <x:row r="54">
      <x:c r="A54" s="53" t="n">
        <x:v>15</x:v>
      </x:c>
      <x:c r="B54" s="53" t="str">
        <x:v>DUNE</x:v>
      </x:c>
      <x:c r="C54" s="53" t="str">
        <x:v>Dune / Aggression</x:v>
      </x:c>
      <x:c r="D54" s="53" t="n">
        <x:v>0.166667</x:v>
      </x:c>
      <x:c r="E54" s="54" t="b">
        <x:v>0</x:v>
      </x:c>
      <x:c r="F54" s="53" t="str"/>
    </x:row>
    <x:row r="55">
      <x:c r="A55" s="53" t="n">
        <x:v>16</x:v>
      </x:c>
      <x:c r="B55" s="53" t="str">
        <x:v>INK</x:v>
      </x:c>
      <x:c r="C55" s="53" t="str">
        <x:v>Ink / Altruism</x:v>
      </x:c>
      <x:c r="D55" s="53" t="n">
        <x:v>0.166667</x:v>
      </x:c>
      <x:c r="E55" s="54" t="b">
        <x:v>0</x:v>
      </x:c>
      <x:c r="F55" s="53" t="str"/>
    </x:row>
    <x:row r="56">
      <x:c r="A56" s="53" t="n">
        <x:v>17</x:v>
      </x:c>
      <x:c r="B56" s="53" t="str">
        <x:v>JUND</x:v>
      </x:c>
      <x:c r="C56" s="53" t="str">
        <x:v>Jund</x:v>
      </x:c>
      <x:c r="D56" s="53" t="n">
        <x:v>0.166667</x:v>
      </x:c>
      <x:c r="E56" s="54" t="b">
        <x:v>0</x:v>
      </x:c>
      <x:c r="F56" s="53" t="str"/>
    </x:row>
    <x:row r="57">
      <x:c r="A57" s="53" t="n">
        <x:v>18</x:v>
      </x:c>
      <x:c r="B57" s="53" t="str">
        <x:v>R</x:v>
      </x:c>
      <x:c r="C57" s="53" t="str">
        <x:v>Red</x:v>
      </x:c>
      <x:c r="D57" s="53" t="n">
        <x:v>0.166667</x:v>
      </x:c>
      <x:c r="E57" s="54" t="b">
        <x:v>0</x:v>
      </x:c>
      <x:c r="F57" s="53" t="str"/>
    </x:row>
    <x:row r="58">
      <x:c r="A58" s="53" t="n">
        <x:v>19</x:v>
      </x:c>
      <x:c r="B58" s="53" t="str">
        <x:v>WG</x:v>
      </x:c>
      <x:c r="C58" s="53" t="str">
        <x:v>Selesnya Conclave</x:v>
      </x:c>
      <x:c r="D58" s="53" t="n">
        <x:v>0.166667</x:v>
      </x:c>
      <x:c r="E58" s="54" t="b">
        <x:v>0</x:v>
      </x:c>
      <x:c r="F58" s="53" t="str"/>
    </x:row>
    <x:row r="59">
      <x:c r="A59" s="53" t="n">
        <x:v>20</x:v>
      </x:c>
      <x:c r="B59" s="53" t="str">
        <x:v>GRIXIS</x:v>
      </x:c>
      <x:c r="C59" s="53" t="str">
        <x:v>Grixis</x:v>
      </x:c>
      <x:c r="D59" s="53" t="n">
        <x:v>0.125</x:v>
      </x:c>
      <x:c r="E59" s="54" t="b">
        <x:v>0</x:v>
      </x:c>
      <x:c r="F59" s="53" t="str"/>
    </x:row>
    <x:row r="60">
      <x:c r="A60" s="53" t="n">
        <x:v>21</x:v>
      </x:c>
      <x:c r="B60" s="53" t="str">
        <x:v>LOREHOLD</x:v>
      </x:c>
      <x:c r="C60" s="53" t="str">
        <x:v>Lorehold College</x:v>
      </x:c>
      <x:c r="D60" s="53" t="n">
        <x:v>0.083333</x:v>
      </x:c>
      <x:c r="E60" s="54" t="b">
        <x:v>0</x:v>
      </x:c>
      <x:c r="F60" s="53" t="str"/>
    </x:row>
    <x:row r="61">
      <x:c r="A61" s="53" t="n">
        <x:v>22</x:v>
      </x:c>
      <x:c r="B61" s="53" t="str">
        <x:v>PRISMARI</x:v>
      </x:c>
      <x:c r="C61" s="53" t="str">
        <x:v>Prismari College</x:v>
      </x:c>
      <x:c r="D61" s="53" t="n">
        <x:v>0.083333</x:v>
      </x:c>
      <x:c r="E61" s="54" t="b">
        <x:v>0</x:v>
      </x:c>
      <x:c r="F61" s="53" t="str"/>
    </x:row>
    <x:row r="62">
      <x:c r="A62" s="53" t="n">
        <x:v>23</x:v>
      </x:c>
      <x:c r="B62" s="53" t="str">
        <x:v>BANT</x:v>
      </x:c>
      <x:c r="C62" s="53" t="str">
        <x:v>Bant</x:v>
      </x:c>
      <x:c r="D62" s="53" t="n">
        <x:v>0.083333</x:v>
      </x:c>
      <x:c r="E62" s="54" t="b">
        <x:v>0</x:v>
      </x:c>
      <x:c r="F62" s="53" t="str"/>
    </x:row>
    <x:row r="63">
      <x:c r="A63" s="53" t="n">
        <x:v>24</x:v>
      </x:c>
      <x:c r="B63" s="53" t="str">
        <x:v>BR</x:v>
      </x:c>
      <x:c r="C63" s="53" t="str">
        <x:v>Cult of Rakdos</x:v>
      </x:c>
      <x:c r="D63" s="53" t="n">
        <x:v>0.083333</x:v>
      </x:c>
      <x:c r="E63" s="54" t="b">
        <x:v>0</x:v>
      </x:c>
      <x:c r="F63" s="53" t="str"/>
    </x:row>
    <x:row r="64">
      <x:c r="A64" s="53" t="n">
        <x:v>25</x:v>
      </x:c>
      <x:c r="B64" s="53" t="str">
        <x:v>GLINT</x:v>
      </x:c>
      <x:c r="C64" s="53" t="str">
        <x:v>Glint / Chaos</x:v>
      </x:c>
      <x:c r="D64" s="53" t="n">
        <x:v>0.083333</x:v>
      </x:c>
      <x:c r="E64" s="54" t="b">
        <x:v>0</x:v>
      </x:c>
      <x:c r="F64" s="53" t="str"/>
    </x:row>
    <x:row r="65">
      <x:c r="A65" s="53" t="n">
        <x:v>26</x:v>
      </x:c>
      <x:c r="B65" s="53" t="str">
        <x:v>QUANDRIX</x:v>
      </x:c>
      <x:c r="C65" s="53" t="str">
        <x:v>Quandrix College</x:v>
      </x:c>
      <x:c r="D65" s="53" t="n">
        <x:v>0.083333</x:v>
      </x:c>
      <x:c r="E65" s="54" t="b">
        <x:v>0</x:v>
      </x:c>
      <x:c r="F65" s="53" t="str"/>
    </x:row>
    <x:row r="66">
      <x:c r="A66" s="53" t="n">
        <x:v>27</x:v>
      </x:c>
      <x:c r="B66" s="53" t="str">
        <x:v>SULTAI</x:v>
      </x:c>
      <x:c r="C66" s="53" t="str">
        <x:v>Sultai Brood</x:v>
      </x:c>
      <x:c r="D66" s="53" t="n">
        <x:v>0.083333</x:v>
      </x:c>
      <x:c r="E66" s="54" t="b">
        <x:v>0</x:v>
      </x:c>
      <x:c r="F66" s="53" t="str"/>
    </x:row>
    <x:row r="67">
      <x:c r="A67" s="53" t="n">
        <x:v>28</x:v>
      </x:c>
      <x:c r="B67" s="53" t="str">
        <x:v>UR</x:v>
      </x:c>
      <x:c r="C67" s="53" t="str">
        <x:v>Izzet League</x:v>
      </x:c>
      <x:c r="D67" s="53" t="n">
        <x:v>0.083333</x:v>
      </x:c>
      <x:c r="E67" s="54" t="b">
        <x:v>0</x:v>
      </x:c>
      <x:c r="F67" s="53" t="str"/>
    </x:row>
    <x:row r="68">
      <x:c r="A68" s="53" t="n">
        <x:v>29</x:v>
      </x:c>
      <x:c r="B68" s="53" t="str">
        <x:v>WITCH</x:v>
      </x:c>
      <x:c r="C68" s="53" t="str">
        <x:v>Witch / Growth</x:v>
      </x:c>
      <x:c r="D68" s="53" t="n">
        <x:v>0.083333</x:v>
      </x:c>
      <x:c r="E68" s="54" t="b">
        <x:v>0</x:v>
      </x:c>
      <x:c r="F68" s="53" t="str"/>
    </x:row>
    <x:row r="69">
      <x:c r="A69" s="53" t="n">
        <x:v>30</x:v>
      </x:c>
      <x:c r="B69" s="53" t="str">
        <x:v>U</x:v>
      </x:c>
      <x:c r="C69" s="53" t="str">
        <x:v>Blue</x:v>
      </x:c>
      <x:c r="D69" s="53" t="n">
        <x:v>0.0625</x:v>
      </x:c>
      <x:c r="E69" s="54" t="b">
        <x:v>0</x:v>
      </x:c>
      <x:c r="F69" s="53" t="str"/>
    </x:row>
    <x:row r="70">
      <x:c r="A70" s="53" t="n">
        <x:v>31</x:v>
      </x:c>
      <x:c r="B70" s="53" t="str">
        <x:v>UB</x:v>
      </x:c>
      <x:c r="C70" s="53" t="str">
        <x:v>House Dimir</x:v>
      </x:c>
      <x:c r="D70" s="53" t="n">
        <x:v>0.0625</x:v>
      </x:c>
      <x:c r="E70" s="54" t="b">
        <x:v>0</x:v>
      </x:c>
      <x:c r="F70" s="53" t="str"/>
    </x:row>
    <x:row r="71">
      <x:c r="A71" s="53" t="n">
        <x:v>32</x:v>
      </x:c>
      <x:c r="B71" s="53" t="str">
        <x:v>WU</x:v>
      </x:c>
      <x:c r="C71" s="53" t="str">
        <x:v>Azorius Senate</x:v>
      </x:c>
      <x:c r="D71" s="53" t="n">
        <x:v>0.0625</x:v>
      </x:c>
      <x:c r="E71" s="54" t="b">
        <x:v>0</x:v>
      </x:c>
      <x:c r="F71" s="53" t="str"/>
    </x:row>
    <x:row r="72">
      <x:c r="A72" s="53" t="n">
        <x:v>33</x:v>
      </x:c>
      <x:c r="B72" s="53" t="str">
        <x:v>B</x:v>
      </x:c>
      <x:c r="C72" s="53" t="str">
        <x:v>Black</x:v>
      </x:c>
      <x:c r="D72" s="53" t="n">
        <x:v>0</x:v>
      </x:c>
      <x:c r="E72" s="54" t="b">
        <x:v>0</x:v>
      </x:c>
      <x:c r="F72" s="53" t="str"/>
    </x:row>
    <x:row r="73">
      <x:c r="A73" s="53" t="n">
        <x:v>34</x:v>
      </x:c>
      <x:c r="B73" s="53" t="str">
        <x:v>COLORLESS</x:v>
      </x:c>
      <x:c r="C73" s="53" t="str">
        <x:v>Colorless</x:v>
      </x:c>
      <x:c r="D73" s="53" t="n">
        <x:v>0</x:v>
      </x:c>
      <x:c r="E73" s="54" t="b">
        <x:v>0</x:v>
      </x:c>
      <x:c r="F73" s="53" t="str"/>
    </x:row>
    <x:row r="74">
      <x:c r="A74" s="53" t="n">
        <x:v>35</x:v>
      </x:c>
      <x:c r="B74" s="53" t="str">
        <x:v>ESPER</x:v>
      </x:c>
      <x:c r="C74" s="53" t="str">
        <x:v>Esper</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YORE</x:v>
      </x:c>
      <x:c r="C76" s="53" t="str">
        <x:v>Yore / Artifice</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"G",
  "faction_name": "Green",
  "institution_type": "color",
  "world": "The Color Pie",
  "identity": {
    "core_color": "G",
    "secondary_colors": [],
    "secondary_color": null,
    "expression_key": "G",
    "expression_name": "Green",
    "expression_kind": "color",
    "purity": 1,
    "routing": {
      "edhrec_slug": "mono-green",
      "mtgdecks_slug": "mono-green",
      "label": "Green"
    }
  },
  "decree": "This is the identity your recorded answers favored most in this reading.",
  "confidence": 0.041,
  "confidence_gap": 1,
  "mana_scores": {
    "W": 9,
    "U": 8,
    "B": 9,
    "R": 9,
    "G": 10
  },
  "top_matches": [
    {
      "rank": 1,
      "faction": "G",
      "faction_name": "Green",
      "institution_type": "color",
      "world": "The Color Pie",
      "identity": {
        "core_color": "G",
        "secondary_colors": [],
        "secondary_color": null,
        "expression_key": "G",
        "expression_name": "Green",
        "expression_kind": "color",
        "purity": 1,
        "routing": {
          "edhrec_slug": "mono-green",
          "mtgdecks_slug": "mono-green",
          "label": "Green"
        }
      },
      "score": 0.729167,
      "confidence": 0.041,
      "reason": "Green remained plausible through C03, C14; identity mapping remains a hypothesis."
    }
  ],
  "adjacent_matches": [],
  "internal_candidate_order": [
    {
      "identity": "RG",
      "score": 0.916667,
      "positive_dependencies": 1,
      "qualification_dependencies": 1,
      "naming_dependencies": 0,
      "positive_constructs": [
        "C03"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
      "score": 0.729167,
      "positive_dependencies": 2,
      "qualification_dependencies": 2,
      "naming_dependencies": 1,
      "positive_constructs": [
        "C03",
        "C14"
      ],
      "satisfied_naming_rule_ids": [
        "instrument_completion_overlay:b1.crucible.disruption-boundary.v1.adapt:G"
      ],
      "naming_qualification": {
        "identity": "G",
        "qualified": true,
        "satisfied_naming_rule_ids": [
          "instrument_completion_overlay:b1.crucible.disruption-boundary.v1.adapt:G"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"ABZAN",
      "score": 0.625,
      "positive_dependencies": 1,
      "qualification_dependencies": 1,
      "naming_dependencies": 0,
      "positive_constructs": [
        "C14"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"UG",
      "score": 0.541667,
      "positive_dependencies": 1,
      "qualification_dependencies": 1,
      "naming_dependencies": 0,
      "positive_constructs": [
        "C14"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"BG",
      "score": 0.458333,
      "positive_dependencies": 1,
      "qualification_dependencies": 1,
      "naming_dependencies": 0,
      "positive_constructs": [
        "C14"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0.458333,
      "positive_dependencies": 1,
      "qualification_dependencies": 1,
      "naming_dependencies": 0,
      "positive_constructs": [
        "C14"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"SILVERQUILL",
      "score": 0.458333,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"WB",
      "score": 0.458333,
      "positive_dependencies": 1,
      "qualification_dependencies": 1,
      "naming_dependencies": 0,
      "positive_constructs": [
        "C07"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"WITHERBLOOM",
      "score": 0.458333,
      "positive_dependencies": 1,
      "qualification_dependencies": 1,
      "naming_dependencies": 0,
      "positive_constructs": [
        "C14"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"MARDU",
      "score": 0.25,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"TEMUR",
      "score": 0.25,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"W",
      "score": 0.25,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0.166667,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"WG",
      "score": 0.166667,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"SULTAI",
      "score": 0.083333,
      "positive_dependencies": 0,
      "qualification_dependencies": 0,
      "naming_dependencies": 0,
      "positive_constructs": [],
      "satisfied_naming_rule_ids": [],
      "naming_qualification": {
        "identity": "SULTAI",
        "qualified": false,
        "satisfied_naming_rule_ids": [],
        "requirements": {
       </x:v>
      </x:c>
    </x:row>
    <x:row r="80">
      <x:c r="A80" s="53" t="str">
        <x:v>Part 2/3</x:v>
      </x:c>
      <x:c r="B80" s="53" t="str">
        <x:v>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"RG",
    "G",
    "ABZAN"
  ],
  "alternatives": [],
  "refinement": {
    "kind": "no_approved_discriminator",
    "can_reduce_ambiguity": false,
    "remaining_candidates": [
      "G"
    ],
    "unresolved_boundaries": [],
    "missing_constructs": [],
    "question_id": null,
    "purpose": "no_approved_discriminator",
    "target_identities": [
      "G"
    ],
    "target_pair_ids": [],
    "distinction": "",
    "revisit": null,
    "limitation": "The approved instrument cannot responsibly distinguish the remaining candidates with another available observation."
  },
  "stopping": {
    "stop": true,
    "state": "close",
    "reason": "highest_responsible_candidate_trails_unqualified_internal_candidate",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rebuild",
      "prompt": "A board wipe—an effect that removes many cards and tokens from the battlefield—is likely next turn. What would you rather have prepared?",
      "observation": "Prefers recovery after broad disruption.",
      "deltas": [
        {
          "faction": "G",
          "delta": 0.5
        },
        {
          "faction": "RG",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"answer_title": "Narrow their options first",
      "prompt": "The player ahead uses all their mana and leaves one turn where the table can take control. Which kind of pressure do you want your deck to create?",
      "observation": "Prefers resource-control pressure before attempting to end the game.",
      "deltas": [
        {
          "faction": "WB",
          "delta": 0.5
        }
      ]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"answer_title": "Let each step matter",
      "prompt": "Your deck becomes much stronger after several setup turns, but the table is already developing threats. What must the setup do along the way?",
      "observation": "Prefers staged cultivation where development contributes along the way.",
      "deltas": [
        {
          "faction": "ABZAN",
          "delta": 0.5
        },
        {
          "faction": "BG",
          "delta": 0.5
        },
        {
          "faction": "G",
          "delta": 0.5
        },
        {
          "faction": "NAYA",
          "delta": 0.5
        },
        {
          "faction": "UG",
          "delta": 0.5
        },
        {
          "faction": "WITHERBLOOM",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"b1.crucible.disruption-boundary.v1",
      "answer_id": "b1.crucible.disruption-boundary.v1.adapt",
      "stage": "crucible",
      "construct": "C03",
      "bounded_observation": "Prefers board-led adaptation over restoring the ideal plan.",
      "signal": "SIG_C03_ADAPT",
      "dependency_group": "DG_C03",
      "evidence_class": "BEHAVIORAL_OBSERVATION",
      "affected_identities": [
        "G",
        "RG"
      ],
      "positive_support": [
        "G",
        "RG"
      ],
      "contradiction": [],
      "neutral": false,
      "mapping_strength": 1,
      "naming_evidence": true,
      "qualification_eligible": true,
      "qualification_support": [
        "G",
        "RG"
      ],
      "naming_support": [
        "G"
      ],
      "naming_rule_ids_by_identity": {
        "G": [
          "instrument_completion_overlay:b1.crucible.disruption-boundary.v1.adapt:G"
        ]
      },
      "mapping_role": "completion_boundary_direction",
      "mapping_status": "REMEDIATION_MAPPING_HYPOTHESIS",
      "mapping_provenance": "docs/plans/vm551-gate-b1-instrument-completion/instrument-change-adjudication.tsv#b1.crucible.disruption-boundary.v1.adapt;docs/audits/vm555-b1-identity-evidence-gap-bridge/identity-evidence-gap-matrix.tsv",
      "evidence_provenance": "E-VM555;E-CERTIFIED;E-CECOS;E-PLAYER-LANGUAGE",
      "limitation": "Any player may pivot when reconstruction is impossible.",
      "behavioral_vs_lens": "behavioral",
      "answer_title": "Use the board that remains",
      "prompt": "An opponent removes the piece your deck was built around after using most of their mana and cards. Your turn begins with the rest of your board still available. What do you try first?",
      "observation": "Prefers board-led adaptation over restoring the ideal plan.",
      "deltas": [
        {
          "faction": "G",
          "delta": 1
        },
        {
          "faction": "RG",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x:v>
      </x:c>
    </x:row>
    <x:row r="81">
      <x:c r="A81" s="53" t="str">
        <x:v>Part 3/3</x:v>
      </x:c>
      <x:c r="B81" s="53" t="str">
        <x:v>[],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"b1.crucible.disruption-boundary.v1",
      "answer_id": "b1.crucible.disruption-boundary.v1.adapt",
      "stage": "crucible",
      "construct": "C03",
      "bounded_observation": "Prefers board-led adaptation over restoring the ideal plan.",
      "signal": "SIG_C03_ADAPT",
      "dependency_group": "DG_C03",
      "evidence_class": "BEHAVIORAL_OBSERVATION",
      "affected_identities": [
        "G",
        "RG"
      ],
      "positive_support": [
        "G",
        "RG"
      ],
      "contradiction": [],
      "neutral": false,
      "mapping_strength": 1,
      "naming_evidence": true,
      "qualification_eligible": true,
      "qualification_support": [
        "G",
        "RG"
      ],
      "naming_support": [
        "G"
      ],
      "naming_rule_ids_by_identity": {
        "G": [
          "instrument_completion_overlay:b1.crucible.disruption-boundary.v1.adapt:G"
        ]
      },
      "mapping_role": "completion_boundary_direction",
      "mapping_status": "REMEDIATION_MAPPING_HYPOTHESIS",
      "mapping_provenance": "docs/plans/vm551-gate-b1-instrument-completion/instrument-change-adjudication.tsv#b1.crucible.disruption-boundary.v1.adapt;docs/audits/vm555-b1-identity-evidence-gap-bridge/identity-evidence-gap-matrix.tsv",
      "evidence_provenance": "E-VM555;E-CERTIFIED;E-CECOS;E-PLAYER-LANGUAGE",
      "limitation": "Any player may pivot when reconstruction is impossible.",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"b1.gate.disruption.v1.recover",
      "stage": "gate",
      "evidence_class": "BEHAVIORAL_OBSERVATION"
    },
    {
      "question_id": "b1.gate.tempo.v1",
      "answer_id": "b1.gate.tempo.v1.burst",
      "stage": "gate",
      "evidence_class": "BEHAVIORAL_OBSERVATION"
    },
    {
      "question_id": "b1.hall.pressure.v1",
      "answer_id": "b1.hall.pressure.v1.resources",
      "stage": "hall",
      "evidence_class": "BEHAVIORAL_OBSERVATION"
    },
    {
      "question_id": "b1.hall.setup.v1",
      "answer_id": "b1.hall.setup.v1.staged",
      "stage": "hall",
      "evidence_class": "BEHAVIORAL_OBSERVATION"
    },
    {
      "question_id": "b1.hall.commitment.v1",
      "answer_id": "b1.hall.commitment.v1.reopen",
      "stage": "hall",
      "evidence_class": "BEHAVIORAL_OBSERVATION"
    },
    {
      "question_id": "b1.crucible.disruption-boundary.v1",
      "answer_id": "b1.crucible.disruption-boundary.v1.adapt",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8:T38"/>
    <x:mergeCell ref="A78:T78"/>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Azorius Senate — Engine Trace</x:v>
      </x:c>
      <x:c r="B1" s="3"/>
      <x:c r="C1" s="3"/>
      <x:c r="D1" s="3"/>
      <x:c r="E1" s="3"/>
      <x:c r="F1" s="3"/>
      <x:c r="G1" s="3"/>
      <x:c r="H1" s="3"/>
      <x:c r="I1" s="3"/>
      <x:c r="J1" s="3"/>
      <x:c r="K1" s="3"/>
      <x:c r="L1" s="3"/>
      <x:c r="M1" s="3"/>
      <x:c r="N1" s="3"/>
      <x:c r="O1" s="3"/>
      <x:c r="P1" s="3"/>
      <x:c r="Q1" s="3"/>
      <x:c r="R1" s="3"/>
      <x:c r="S1" s="3"/>
      <x:c r="T1" s="3"/>
    </x:row>
    <x:row r="2" ht="30" customHeight="1">
      <x:c r="A2" s="7" t="str">
        <x:v>ENGINE-WU • PASS_MATCH • primary • trace 3f0cffe1b9bc163b9d3d22d4c1e9da5bc7f8321d7bc5737508eea02ec04ca8aa</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WU</x:v>
      </x:c>
    </x:row>
    <x:row r="6">
      <x:c r="A6" s="53" t="str">
        <x:v>Expected public contract</x:v>
      </x:c>
      <x:c r="B6" s="53" t="str">
        <x:v>NAMED_DOSSIER</x:v>
      </x:c>
    </x:row>
    <x:row r="7">
      <x:c r="A7" s="53" t="str">
        <x:v>Witness status</x:v>
      </x:c>
      <x:c r="B7" s="53" t="str">
        <x:v>CURRENT_COMPATIBLE</x:v>
      </x:c>
    </x:row>
    <x:row r="8">
      <x:c r="A8" s="53" t="str">
        <x:v>Actual result</x:v>
      </x:c>
      <x:c r="B8" s="53" t="str">
        <x:v>WU</x:v>
      </x:c>
    </x:row>
    <x:row r="9">
      <x:c r="A9" s="53" t="str">
        <x:v>Directional result</x:v>
      </x:c>
      <x:c r="B9" s="53" t="str">
        <x:v>WU</x:v>
      </x:c>
    </x:row>
    <x:row r="10">
      <x:c r="A10" s="53" t="str">
        <x:v>Public state</x:v>
      </x:c>
      <x:c r="B10" s="53" t="str">
        <x:v>current-best-fit</x:v>
      </x:c>
    </x:row>
    <x:row r="11">
      <x:c r="A11" s="53" t="str">
        <x:v>Raw numeric leader</x:v>
      </x:c>
      <x:c r="B11" s="53" t="str">
        <x:v>W</x:v>
      </x:c>
    </x:row>
    <x:row r="12">
      <x:c r="A12" s="53" t="str">
        <x:v>Raw score</x:v>
      </x:c>
      <x:c r="B12" s="53" t="n">
        <x:v>0.833333</x:v>
      </x:c>
    </x:row>
    <x:row r="13">
      <x:c r="A13" s="53" t="str">
        <x:v>Raw leader qualified</x:v>
      </x:c>
      <x:c r="B13" s="54" t="b">
        <x:v>0</x:v>
      </x:c>
    </x:row>
    <x:row r="14">
      <x:c r="A14" s="53" t="str">
        <x:v>Selected qualified</x:v>
      </x:c>
      <x:c r="B14" s="54" t="b">
        <x:v>1</x:v>
      </x:c>
    </x:row>
    <x:row r="15">
      <x:c r="A15" s="53" t="str">
        <x:v>Frontier</x:v>
      </x:c>
      <x:c r="B15" s="53" t="str">
        <x:v>WU</x:v>
      </x:c>
    </x:row>
    <x:row r="16">
      <x:c r="A16" s="53" t="str">
        <x:v>Stop reason</x:v>
      </x:c>
      <x:c r="B16" s="53" t="str">
        <x:v>next_question_cannot_improve_responsible_top_boundary</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outputs/01a02cd6-bce7-7832-9558-3075c52f146a/archscry-current-state-2026-08-22/evidence/engine/traces/wu.json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b1.hall.interaction-window.v1.before</x:v>
      </x:c>
      <x:c r="G33" s="53" t="str">
        <x:v>Before the turn develops</x:v>
      </x:c>
      <x:c r="H33" s="53" t="str">
        <x:v>C08</x:v>
      </x:c>
      <x:c r="I33" s="53" t="str">
        <x:v>SIG_C08_EARLY_WINDOW</x:v>
      </x:c>
      <x:c r="J33" s="53" t="str">
        <x:v>DG_C08</x:v>
      </x:c>
      <x:c r="K33" s="53" t="str">
        <x:v>BEHAVIORAL_OBSERVATION</x:v>
      </x:c>
      <x:c r="L33" s="53" t="str">
        <x:v>WU</x:v>
      </x:c>
      <x:c r="M33" s="53" t="str"/>
      <x:c r="N33" s="53" t="n">
        <x:v>0.5</x:v>
      </x:c>
      <x:c r="O33" s="54" t="b">
        <x:v>0</x:v>
      </x:c>
      <x:c r="P33" s="53" t="str">
        <x:v>REMEDIATION_MAPPING_HYPOTHESIS</x:v>
      </x:c>
      <x:c r="Q33" s="53" t="str">
        <x:v>Prefers early prevention before the decisive action becomes visible.</x:v>
      </x:c>
      <x:c r="R33" s="53" t="str">
        <x:v>Early action may be forced by card timing rather than preferred information use.</x:v>
      </x:c>
      <x:c r="S33" s="53" t="str">
        <x:v>JESKAI</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b1.hall.commitment.v1.procedure</x:v>
      </x:c>
      <x:c r="G34" s="53" t="str">
        <x:v>Apply one clear rule</x:v>
      </x:c>
      <x:c r="H34" s="53" t="str">
        <x:v>C13</x:v>
      </x:c>
      <x:c r="I34" s="53" t="str">
        <x:v>SIG_C13_PROCEDURAL</x:v>
      </x:c>
      <x:c r="J34" s="53" t="str">
        <x:v>DG_C13</x:v>
      </x:c>
      <x:c r="K34" s="53" t="str">
        <x:v>BEHAVIORAL_OBSERVATION</x:v>
      </x:c>
      <x:c r="L34" s="53" t="str">
        <x:v>W | WU</x:v>
      </x:c>
      <x:c r="M34" s="53" t="str"/>
      <x:c r="N34" s="53" t="n">
        <x:v>1</x:v>
      </x:c>
      <x:c r="O34" s="54" t="b">
        <x:v>1</x:v>
      </x:c>
      <x:c r="P34" s="53" t="str">
        <x:v>REMEDIATION_MAPPING_HYPOTHESIS</x:v>
      </x:c>
      <x:c r="Q34" s="53" t="str">
        <x:v>Prefers public procedural consistency after circumstances change.</x:v>
      </x:c>
      <x:c r="R34" s="53" t="str">
        <x:v>Public consistency can be chosen for convenience, fairness, threat management, or social comfort; it requires independent evidence.</x:v>
      </x:c>
      <x:c r="S34" s="53" t="str">
        <x:v>W</x:v>
      </x:c>
      <x:c r="T34" s="53" t="str">
        <x:v>incomplete / useful_evidence_remains / b1.hall.information-to-plan.v1</x:v>
      </x:c>
    </x:row>
    <x:row r="35">
      <x:c r="A35" s="53" t="n">
        <x:v>7</x:v>
      </x:c>
      <x:c r="B35" s="53" t="str">
        <x:v>main</x:v>
      </x:c>
      <x:c r="C35" s="53" t="str">
        <x:v>hall</x:v>
      </x:c>
      <x:c r="D35" s="53" t="str">
        <x:v>b1.hall.information-to-plan.v1</x:v>
      </x:c>
      <x:c r="E35" s="53" t="str">
        <x:v>A dangerous opposing play has been stopped, and you now have enough cards to choose among several workable plans. What do you most want to do next?</x:v>
      </x:c>
      <x:c r="F35" s="53" t="str">
        <x:v>b1.hall.information-to-plan.v1.consolidate</x:v>
      </x:c>
      <x:c r="G35" s="53" t="str">
        <x:v>Choose one route</x:v>
      </x:c>
      <x:c r="H35" s="53" t="str">
        <x:v>C16</x:v>
      </x:c>
      <x:c r="I35" s="53" t="str">
        <x:v>SIG_C16_CONSOLIDATE</x:v>
      </x:c>
      <x:c r="J35" s="53" t="str">
        <x:v>DG_C16</x:v>
      </x:c>
      <x:c r="K35" s="53" t="str">
        <x:v>BEHAVIORAL_OBSERVATION</x:v>
      </x:c>
      <x:c r="L35" s="53" t="str">
        <x:v>ESPER</x:v>
      </x:c>
      <x:c r="M35" s="53" t="str"/>
      <x:c r="N35" s="53" t="n">
        <x:v>0.6</x:v>
      </x:c>
      <x:c r="O35" s="54" t="b">
        <x:v>0</x:v>
      </x:c>
      <x:c r="P35" s="53" t="str">
        <x:v>MAPPING_HYPOTHESIS</x:v>
      </x:c>
      <x:c r="Q35" s="53" t="str">
        <x:v>Prefers to consolidate new options into one planned route.</x:v>
      </x:c>
      <x:c r="R35" s="53" t="str">
        <x:v>Observation wording and identity association require player validation; no weight is authorized.</x:v>
      </x:c>
      <x:c r="S35" s="53" t="str">
        <x:v>W</x:v>
      </x:c>
      <x:c r="T35" s="53" t="str">
        <x:v>close / next_question_cannot_improve_responsible_top_boundary / </x:v>
      </x:c>
    </x:row>
    <x:row r="37" ht="28" customHeight="1">
      <x:c r="A37" s="45" t="str">
        <x:v>FINAL CANDIDATE INVENTORY</x:v>
      </x:c>
      <x:c r="B37" s="45"/>
      <x:c r="C37" s="45"/>
      <x:c r="D37" s="45"/>
      <x:c r="E37" s="45"/>
      <x:c r="F37" s="45"/>
      <x:c r="G37" s="45"/>
      <x:c r="H37" s="45"/>
      <x:c r="I37" s="45"/>
      <x:c r="J37" s="45"/>
      <x:c r="K37" s="45"/>
      <x:c r="L37" s="45"/>
      <x:c r="M37" s="45"/>
      <x:c r="N37" s="45"/>
      <x:c r="O37" s="45"/>
      <x:c r="P37" s="45"/>
      <x:c r="Q37" s="45"/>
      <x:c r="R37" s="45"/>
      <x:c r="S37" s="45"/>
      <x:c r="T37" s="45"/>
    </x:row>
    <x:row r="38" ht="28" customHeight="1">
      <x:c r="A38" s="45" t="str">
        <x:v>Rank</x:v>
      </x:c>
      <x:c r="B38" s="45" t="str">
        <x:v>Identity</x:v>
      </x:c>
      <x:c r="C38" s="45" t="str">
        <x:v>Name</x:v>
      </x:c>
      <x:c r="D38" s="45" t="str">
        <x:v>Score</x:v>
      </x:c>
      <x:c r="E38" s="45" t="str">
        <x:v>Qualified</x:v>
      </x:c>
      <x:c r="F38" s="45" t="str">
        <x:v>Positive Constructs</x:v>
      </x:c>
    </x:row>
    <x:row r="39">
      <x:c r="A39" s="53" t="n">
        <x:v>1</x:v>
      </x:c>
      <x:c r="B39" s="53" t="str">
        <x:v>W</x:v>
      </x:c>
      <x:c r="C39" s="53" t="str">
        <x:v>White</x:v>
      </x:c>
      <x:c r="D39" s="53" t="n">
        <x:v>0.833333</x:v>
      </x:c>
      <x:c r="E39" s="54" t="b">
        <x:v>0</x:v>
      </x:c>
      <x:c r="F39" s="53" t="str">
        <x:v>C13</x:v>
      </x:c>
    </x:row>
    <x:row r="40">
      <x:c r="A40" s="53" t="n">
        <x:v>2</x:v>
      </x:c>
      <x:c r="B40" s="53" t="str">
        <x:v>WU</x:v>
      </x:c>
      <x:c r="C40" s="53" t="str">
        <x:v>Azorius Senate</x:v>
      </x:c>
      <x:c r="D40" s="53" t="n">
        <x:v>0.75</x:v>
      </x:c>
      <x:c r="E40" s="54" t="b">
        <x:v>1</x:v>
      </x:c>
      <x:c r="F40" s="53" t="str">
        <x:v>C08 | C13</x:v>
      </x:c>
    </x:row>
    <x:row r="41">
      <x:c r="A41" s="53" t="n">
        <x:v>3</x:v>
      </x:c>
      <x:c r="B41" s="53" t="str">
        <x:v>ESPER</x:v>
      </x:c>
      <x:c r="C41" s="53" t="str">
        <x:v>Esper</x:v>
      </x:c>
      <x:c r="D41" s="53" t="n">
        <x:v>0.575</x:v>
      </x:c>
      <x:c r="E41" s="54" t="b">
        <x:v>0</x:v>
      </x:c>
      <x:c r="F41" s="53" t="str">
        <x:v>C16</x:v>
      </x:c>
    </x:row>
    <x:row r="42">
      <x:c r="A42" s="53" t="n">
        <x:v>4</x:v>
      </x:c>
      <x:c r="B42" s="53" t="str">
        <x:v>JESKAI</x:v>
      </x:c>
      <x:c r="C42" s="53" t="str">
        <x:v>Jeskai Way</x:v>
      </x:c>
      <x:c r="D42" s="53" t="n">
        <x:v>0.5625</x:v>
      </x:c>
      <x:c r="E42" s="54" t="b">
        <x:v>0</x:v>
      </x:c>
      <x:c r="F42" s="53" t="str">
        <x:v>C01</x:v>
      </x:c>
    </x:row>
    <x:row r="43">
      <x:c r="A43" s="53" t="n">
        <x:v>5</x:v>
      </x:c>
      <x:c r="B43" s="53" t="str">
        <x:v>U</x:v>
      </x:c>
      <x:c r="C43" s="53" t="str">
        <x:v>Blue</x:v>
      </x:c>
      <x:c r="D43" s="53" t="n">
        <x:v>0.1875</x:v>
      </x:c>
      <x:c r="E43" s="54" t="b">
        <x:v>0</x:v>
      </x:c>
      <x:c r="F43" s="53" t="str"/>
    </x:row>
    <x:row r="44">
      <x:c r="A44" s="53" t="n">
        <x:v>6</x:v>
      </x:c>
      <x:c r="B44" s="53" t="str">
        <x:v>MARDU</x:v>
      </x:c>
      <x:c r="C44" s="53" t="str">
        <x:v>Mardu Horde</x:v>
      </x:c>
      <x:c r="D44" s="53" t="n">
        <x:v>0.166667</x:v>
      </x:c>
      <x:c r="E44" s="54" t="b">
        <x:v>0</x:v>
      </x:c>
      <x:c r="F44" s="53" t="str"/>
    </x:row>
    <x:row r="45">
      <x:c r="A45" s="53" t="n">
        <x:v>7</x:v>
      </x:c>
      <x:c r="B45" s="53" t="str">
        <x:v>GRIXIS</x:v>
      </x:c>
      <x:c r="C45" s="53" t="str">
        <x:v>Grixis</x:v>
      </x:c>
      <x:c r="D45" s="53" t="n">
        <x:v>0.125</x:v>
      </x:c>
      <x:c r="E45" s="54" t="b">
        <x:v>0</x:v>
      </x:c>
      <x:c r="F45" s="53" t="str"/>
    </x:row>
    <x:row r="46">
      <x:c r="A46" s="53" t="n">
        <x:v>8</x:v>
      </x:c>
      <x:c r="B46" s="53" t="str">
        <x:v>UB</x:v>
      </x:c>
      <x:c r="C46" s="53" t="str">
        <x:v>House Dimir</x:v>
      </x:c>
      <x:c r="D46" s="53" t="n">
        <x:v>0.125</x:v>
      </x:c>
      <x:c r="E46" s="54" t="b">
        <x:v>0</x:v>
      </x:c>
      <x:c r="F46" s="53" t="str"/>
    </x:row>
    <x:row r="47">
      <x:c r="A47" s="53" t="n">
        <x:v>9</x:v>
      </x:c>
      <x:c r="B47" s="53" t="str">
        <x:v>ABZAN</x:v>
      </x:c>
      <x:c r="C47" s="53" t="str">
        <x:v>Abzan Houses</x:v>
      </x:c>
      <x:c r="D47" s="53" t="n">
        <x:v>0.083333</x:v>
      </x:c>
      <x:c r="E47" s="54" t="b">
        <x:v>0</x:v>
      </x:c>
      <x:c r="F47" s="53" t="str"/>
    </x:row>
    <x:row r="48">
      <x:c r="A48" s="53" t="n">
        <x:v>10</x:v>
      </x:c>
      <x:c r="B48" s="53" t="str">
        <x:v>DUNE</x:v>
      </x:c>
      <x:c r="C48" s="53" t="str">
        <x:v>Dune / Aggression</x:v>
      </x:c>
      <x:c r="D48" s="53" t="n">
        <x:v>0.083333</x:v>
      </x:c>
      <x:c r="E48" s="54" t="b">
        <x:v>0</x:v>
      </x:c>
      <x:c r="F48" s="53" t="str"/>
    </x:row>
    <x:row r="49">
      <x:c r="A49" s="53" t="n">
        <x:v>11</x:v>
      </x:c>
      <x:c r="B49" s="53" t="str">
        <x:v>GLINT</x:v>
      </x:c>
      <x:c r="C49" s="53" t="str">
        <x:v>Glint / Chaos</x:v>
      </x:c>
      <x:c r="D49" s="53" t="n">
        <x:v>0.083333</x:v>
      </x:c>
      <x:c r="E49" s="54" t="b">
        <x:v>0</x:v>
      </x:c>
      <x:c r="F49" s="53" t="str"/>
    </x:row>
    <x:row r="50">
      <x:c r="A50" s="53" t="n">
        <x:v>12</x:v>
      </x:c>
      <x:c r="B50" s="53" t="str">
        <x:v>INK</x:v>
      </x:c>
      <x:c r="C50" s="53" t="str">
        <x:v>Ink / Altruism</x:v>
      </x:c>
      <x:c r="D50" s="53" t="n">
        <x:v>0.083333</x:v>
      </x:c>
      <x:c r="E50" s="54" t="b">
        <x:v>0</x:v>
      </x:c>
      <x:c r="F50" s="53" t="str"/>
    </x:row>
    <x:row r="51">
      <x:c r="A51" s="53" t="n">
        <x:v>13</x:v>
      </x:c>
      <x:c r="B51" s="53" t="str">
        <x:v>JUND</x:v>
      </x:c>
      <x:c r="C51" s="53" t="str">
        <x:v>Jund</x:v>
      </x:c>
      <x:c r="D51" s="53" t="n">
        <x:v>0.083333</x:v>
      </x:c>
      <x:c r="E51" s="54" t="b">
        <x:v>0</x:v>
      </x:c>
      <x:c r="F51" s="53" t="str"/>
    </x:row>
    <x:row r="52">
      <x:c r="A52" s="53" t="n">
        <x:v>14</x:v>
      </x:c>
      <x:c r="B52" s="53" t="str">
        <x:v>R</x:v>
      </x:c>
      <x:c r="C52" s="53" t="str">
        <x:v>Red</x:v>
      </x:c>
      <x:c r="D52" s="53" t="n">
        <x:v>0.083333</x:v>
      </x:c>
      <x:c r="E52" s="54" t="b">
        <x:v>0</x:v>
      </x:c>
      <x:c r="F52" s="53" t="str"/>
    </x:row>
    <x:row r="53">
      <x:c r="A53" s="53" t="n">
        <x:v>15</x:v>
      </x:c>
      <x:c r="B53" s="53" t="str">
        <x:v>RG</x:v>
      </x:c>
      <x:c r="C53" s="53" t="str">
        <x:v>Gruul Clans</x:v>
      </x:c>
      <x:c r="D53" s="53" t="n">
        <x:v>0.083333</x:v>
      </x:c>
      <x:c r="E53" s="54" t="b">
        <x:v>0</x:v>
      </x:c>
      <x:c r="F53" s="53" t="str"/>
    </x:row>
    <x:row r="54">
      <x:c r="A54" s="53" t="n">
        <x:v>16</x:v>
      </x:c>
      <x:c r="B54" s="53" t="str">
        <x:v>SILVERQUILL</x:v>
      </x:c>
      <x:c r="C54" s="53" t="str">
        <x:v>Silverquill College</x:v>
      </x:c>
      <x:c r="D54" s="53" t="n">
        <x:v>0.083333</x:v>
      </x:c>
      <x:c r="E54" s="54" t="b">
        <x:v>0</x:v>
      </x:c>
      <x:c r="F54" s="53" t="str"/>
    </x:row>
    <x:row r="55">
      <x:c r="A55" s="53" t="n">
        <x:v>17</x:v>
      </x:c>
      <x:c r="B55" s="53" t="str">
        <x:v>TEMUR</x:v>
      </x:c>
      <x:c r="C55" s="53" t="str">
        <x:v>Temur Frontier</x:v>
      </x:c>
      <x:c r="D55" s="53" t="n">
        <x:v>0.083333</x:v>
      </x:c>
      <x:c r="E55" s="54" t="b">
        <x:v>0</x:v>
      </x:c>
      <x:c r="F55" s="53" t="str"/>
    </x:row>
    <x:row r="56">
      <x:c r="A56" s="53" t="n">
        <x:v>18</x:v>
      </x:c>
      <x:c r="B56" s="53" t="str">
        <x:v>WB</x:v>
      </x:c>
      <x:c r="C56" s="53" t="str">
        <x:v>Orzhov Syndicate</x:v>
      </x:c>
      <x:c r="D56" s="53" t="n">
        <x:v>0.083333</x:v>
      </x:c>
      <x:c r="E56" s="54" t="b">
        <x:v>0</x:v>
      </x:c>
      <x:c r="F56" s="53" t="str"/>
    </x:row>
    <x:row r="57">
      <x:c r="A57" s="53" t="n">
        <x:v>19</x:v>
      </x:c>
      <x:c r="B57" s="53" t="str">
        <x:v>WG</x:v>
      </x:c>
      <x:c r="C57" s="53" t="str">
        <x:v>Selesnya Conclave</x:v>
      </x:c>
      <x:c r="D57" s="53" t="n">
        <x:v>0.083333</x:v>
      </x:c>
      <x:c r="E57" s="54" t="b">
        <x:v>0</x:v>
      </x:c>
      <x:c r="F57" s="53" t="str"/>
    </x:row>
    <x:row r="58">
      <x:c r="A58" s="53" t="n">
        <x:v>20</x:v>
      </x:c>
      <x:c r="B58" s="53" t="str">
        <x:v>WR</x:v>
      </x:c>
      <x:c r="C58" s="53" t="str">
        <x:v>Boros Legion</x:v>
      </x:c>
      <x:c r="D58" s="53" t="n">
        <x:v>0.083333</x:v>
      </x:c>
      <x:c r="E58" s="54" t="b">
        <x:v>0</x:v>
      </x:c>
      <x:c r="F58" s="53" t="str"/>
    </x:row>
    <x:row r="59">
      <x:c r="A59" s="53" t="n">
        <x:v>21</x:v>
      </x:c>
      <x:c r="B59" s="53" t="str">
        <x:v>B</x:v>
      </x:c>
      <x:c r="C59" s="53" t="str">
        <x:v>Black</x:v>
      </x:c>
      <x:c r="D59" s="53" t="n">
        <x:v>0.0625</x:v>
      </x:c>
      <x:c r="E59" s="54" t="b">
        <x:v>0</x:v>
      </x:c>
      <x:c r="F59" s="53" t="str"/>
    </x:row>
    <x:row r="60">
      <x:c r="A60" s="53" t="n">
        <x:v>22</x:v>
      </x:c>
      <x:c r="B60" s="53" t="str">
        <x:v>BANT</x:v>
      </x:c>
      <x:c r="C60" s="53" t="str">
        <x:v>Bant</x:v>
      </x:c>
      <x:c r="D60" s="53" t="n">
        <x:v>0</x:v>
      </x:c>
      <x:c r="E60" s="54" t="b">
        <x:v>0</x:v>
      </x:c>
      <x:c r="F60" s="53" t="str"/>
    </x:row>
    <x:row r="61">
      <x:c r="A61" s="53" t="n">
        <x:v>23</x:v>
      </x:c>
      <x:c r="B61" s="53" t="str">
        <x:v>BG</x:v>
      </x:c>
      <x:c r="C61" s="53" t="str">
        <x:v>Golgari Swarm</x:v>
      </x:c>
      <x:c r="D61" s="53" t="n">
        <x:v>0</x:v>
      </x:c>
      <x:c r="E61" s="54" t="b">
        <x:v>0</x:v>
      </x:c>
      <x:c r="F61" s="53" t="str"/>
    </x:row>
    <x:row r="62">
      <x:c r="A62" s="53" t="n">
        <x:v>24</x:v>
      </x:c>
      <x:c r="B62" s="53" t="str">
        <x:v>BR</x:v>
      </x:c>
      <x:c r="C62" s="53" t="str">
        <x:v>Cult of Rakdos</x:v>
      </x:c>
      <x:c r="D62" s="53" t="n">
        <x:v>0</x:v>
      </x:c>
      <x:c r="E62" s="54" t="b">
        <x:v>0</x:v>
      </x:c>
      <x:c r="F62" s="53" t="str"/>
    </x:row>
    <x:row r="63">
      <x:c r="A63" s="53" t="n">
        <x:v>25</x:v>
      </x:c>
      <x:c r="B63" s="53" t="str">
        <x:v>COLORLESS</x:v>
      </x:c>
      <x:c r="C63" s="53" t="str">
        <x:v>Colorless</x:v>
      </x:c>
      <x:c r="D63" s="53" t="n">
        <x:v>0</x:v>
      </x:c>
      <x:c r="E63" s="54" t="b">
        <x:v>0</x:v>
      </x:c>
      <x:c r="F63" s="53" t="str"/>
    </x:row>
    <x:row r="64">
      <x:c r="A64" s="53" t="n">
        <x:v>26</x:v>
      </x:c>
      <x:c r="B64" s="53" t="str">
        <x:v>G</x:v>
      </x:c>
      <x:c r="C64" s="53" t="str">
        <x:v>Green</x:v>
      </x:c>
      <x:c r="D64" s="53" t="n">
        <x:v>0</x:v>
      </x:c>
      <x:c r="E64" s="54" t="b">
        <x:v>0</x:v>
      </x:c>
      <x:c r="F64" s="53" t="str"/>
    </x:row>
    <x:row r="65">
      <x:c r="A65" s="53" t="n">
        <x:v>27</x:v>
      </x:c>
      <x:c r="B65" s="53" t="str">
        <x:v>LOREHOLD</x:v>
      </x:c>
      <x:c r="C65" s="53" t="str">
        <x:v>Lorehold College</x:v>
      </x:c>
      <x:c r="D65" s="53" t="n">
        <x:v>0</x:v>
      </x:c>
      <x:c r="E65" s="54" t="b">
        <x:v>0</x:v>
      </x:c>
      <x:c r="F65" s="53" t="str"/>
    </x:row>
    <x:row r="66">
      <x:c r="A66" s="53" t="n">
        <x:v>28</x:v>
      </x:c>
      <x:c r="B66" s="53" t="str">
        <x:v>NAYA</x:v>
      </x:c>
      <x:c r="C66" s="53" t="str">
        <x:v>Naya</x:v>
      </x:c>
      <x:c r="D66" s="53" t="n">
        <x:v>0</x:v>
      </x:c>
      <x:c r="E66" s="54" t="b">
        <x:v>0</x:v>
      </x:c>
      <x:c r="F66" s="53" t="str"/>
    </x:row>
    <x:row r="67">
      <x:c r="A67" s="53" t="n">
        <x:v>29</x:v>
      </x:c>
      <x:c r="B67" s="53" t="str">
        <x:v>PRISMARI</x:v>
      </x:c>
      <x:c r="C67" s="53" t="str">
        <x:v>Prismari College</x:v>
      </x:c>
      <x:c r="D67" s="53" t="n">
        <x:v>0</x:v>
      </x:c>
      <x:c r="E67" s="54" t="b">
        <x:v>0</x:v>
      </x:c>
      <x:c r="F67" s="53" t="str"/>
    </x:row>
    <x:row r="68">
      <x:c r="A68" s="53" t="n">
        <x:v>30</x:v>
      </x:c>
      <x:c r="B68" s="53" t="str">
        <x:v>QUANDRIX</x:v>
      </x:c>
      <x:c r="C68" s="53" t="str">
        <x:v>Quandrix College</x:v>
      </x:c>
      <x:c r="D68" s="53" t="n">
        <x:v>0</x:v>
      </x:c>
      <x:c r="E68" s="54" t="b">
        <x:v>0</x:v>
      </x:c>
      <x:c r="F68" s="53" t="str"/>
    </x:row>
    <x:row r="69">
      <x:c r="A69" s="53" t="n">
        <x:v>31</x:v>
      </x:c>
      <x:c r="B69" s="53" t="str">
        <x:v>SULTAI</x:v>
      </x:c>
      <x:c r="C69" s="53" t="str">
        <x:v>Sultai Brood</x:v>
      </x:c>
      <x:c r="D69" s="53" t="n">
        <x:v>0</x:v>
      </x:c>
      <x:c r="E69" s="54" t="b">
        <x:v>0</x:v>
      </x:c>
      <x:c r="F69" s="53" t="str"/>
    </x:row>
    <x:row r="70">
      <x:c r="A70" s="53" t="n">
        <x:v>32</x:v>
      </x:c>
      <x:c r="B70" s="53" t="str">
        <x:v>UG</x:v>
      </x:c>
      <x:c r="C70" s="53" t="str">
        <x:v>Simic Combine</x:v>
      </x:c>
      <x:c r="D70" s="53" t="n">
        <x:v>0</x:v>
      </x:c>
      <x:c r="E70" s="54" t="b">
        <x:v>0</x:v>
      </x:c>
      <x:c r="F70" s="53" t="str"/>
    </x:row>
    <x:row r="71">
      <x:c r="A71" s="53" t="n">
        <x:v>33</x:v>
      </x:c>
      <x:c r="B71" s="53" t="str">
        <x:v>UR</x:v>
      </x:c>
      <x:c r="C71" s="53" t="str">
        <x:v>Izzet League</x:v>
      </x:c>
      <x:c r="D71" s="53" t="n">
        <x:v>0</x:v>
      </x:c>
      <x:c r="E71" s="54" t="b">
        <x:v>0</x:v>
      </x:c>
      <x:c r="F71" s="53" t="str"/>
    </x:row>
    <x:row r="72">
      <x:c r="A72" s="53" t="n">
        <x:v>34</x:v>
      </x:c>
      <x:c r="B72" s="53" t="str">
        <x:v>WITCH</x:v>
      </x:c>
      <x:c r="C72" s="53" t="str">
        <x:v>Witch / Growth</x:v>
      </x:c>
      <x:c r="D72" s="53" t="n">
        <x:v>0</x:v>
      </x:c>
      <x:c r="E72" s="54" t="b">
        <x:v>0</x:v>
      </x:c>
      <x:c r="F72" s="53" t="str"/>
    </x:row>
    <x:row r="73">
      <x:c r="A73" s="53" t="n">
        <x:v>35</x:v>
      </x:c>
      <x:c r="B73" s="53" t="str">
        <x:v>WITHERBLOOM</x:v>
      </x:c>
      <x:c r="C73" s="53" t="str">
        <x:v>Witherbloom College</x:v>
      </x:c>
      <x:c r="D73" s="53" t="n">
        <x:v>0</x:v>
      </x:c>
      <x:c r="E73" s="54" t="b">
        <x:v>0</x:v>
      </x:c>
      <x:c r="F73" s="53" t="str"/>
    </x:row>
    <x:row r="74">
      <x:c r="A74" s="53" t="n">
        <x:v>36</x:v>
      </x:c>
      <x:c r="B74" s="53" t="str">
        <x:v>WUBRG</x:v>
      </x:c>
      <x:c r="C74" s="53" t="str">
        <x:v>Five-Color / WUBRG</x:v>
      </x:c>
      <x:c r="D74" s="53" t="n">
        <x:v>0</x:v>
      </x:c>
      <x:c r="E74" s="54" t="b">
        <x:v>0</x:v>
      </x:c>
      <x:c r="F74" s="53" t="str"/>
    </x:row>
    <x:row r="75">
      <x:c r="A75" s="53" t="n">
        <x:v>37</x:v>
      </x:c>
      <x:c r="B75" s="53" t="str">
        <x:v>YORE</x:v>
      </x:c>
      <x:c r="C75" s="53" t="str">
        <x:v>Yore / Artifice</x:v>
      </x:c>
      <x:c r="D75" s="53" t="n">
        <x:v>0</x:v>
      </x:c>
      <x:c r="E75" s="54" t="b">
        <x:v>0</x:v>
      </x:c>
      <x:c r="F75" s="53" t="str"/>
    </x:row>
    <x:row r="77" ht="28" customHeight="1">
      <x:c r="A77" s="45" t="str">
        <x:v>FINAL RESULT JSON — CHUNKED ONLY FOR XLSX CELL LIMIT</x:v>
      </x:c>
      <x:c r="B77" s="45"/>
      <x:c r="C77" s="45"/>
      <x:c r="D77" s="45"/>
      <x:c r="E77" s="45"/>
      <x:c r="F77" s="45"/>
      <x:c r="G77" s="45"/>
      <x:c r="H77" s="45"/>
      <x:c r="I77" s="45"/>
      <x:c r="J77" s="45"/>
      <x:c r="K77" s="45"/>
      <x:c r="L77" s="45"/>
      <x:c r="M77" s="45"/>
      <x:c r="N77" s="45"/>
      <x:c r="O77" s="45"/>
      <x:c r="P77" s="45"/>
      <x:c r="Q77" s="45"/>
      <x:c r="R77" s="45"/>
      <x:c r="S77" s="45"/>
      <x:c r="T77" s="45"/>
    </x:row>
    <x:row r="78">
      <x:c r="A78" s="53" t="str">
        <x:v>Part 1/3</x:v>
      </x:c>
      <x:c r="B78" s="53" t="str">
        <x:v>{
  "version": "2026-08-09-gate-b1-v1",
  "model_version": "vm551-gate-b1-placement-engine-v1",
  "instrument_version": "vm551-gate-b1-instrument-v2",
  "mapping_version": "vm551-gate-b1-mapping-v2-instrument-completion",
  "source_mode": "quick",
  "faction": "WU",
  "faction_name": "Azorius Senate",
  "institution_type": "guild",
  "world": "Ravnica",
  "identity": {
    "core_color": "W",
    "secondary_colors": [
      "U"
    ],
    "secondary_color": "U",
    "expression_key": "WU",
    "expression_name": "Azorius Senate",
    "expression_kind": "guild",
    "purity": null,
    "routing": {
      "edhrec_slug": "azorius",
      "mtgdecks_slug": "azorius",
      "label": "Azorius"
    }
  },
  "decree": "This is the identity your recorded answers favored most in this reading.",
  "confidence": 0.047,
  "confidence_gap": 1,
  "mana_scores": {
    "W": 10,
    "U": 9,
    "B": 9,
    "R": 9,
    "G": 8
  },
  "top_matches": [
    {
      "rank": 1,
      "faction": "WU",
      "faction_name": "Azorius Senate",
      "institution_type": "guild",
      "world": "Ravnica",
      "identity": {
        "core_color": "W",
        "secondary_colors": [
          "U"
        ],
        "secondary_color": "U",
        "expression_key": "WU",
        "expression_name": "Azorius Senate",
        "expression_kind": "guild",
        "purity": null,
        "routing": {
          "edhrec_slug": "azorius",
          "mtgdecks_slug": "azorius",
          "label": "Azorius"
        }
      },
      "score": 0.75,
      "confidence": 0.047,
      "reason": "Azorius Senate remained plausible through C08, C13, C16; identity mapping remains a hypothesis."
    }
  ],
  "adjacent_matches": [],
  "internal_candidate_order": [
    {
      "identity": "W",
      "score": 0.833333,
      "positive_dependencies": 1,
      "qualification_dependencies": 1,
      "naming_dependencies": 1,
      "positive_constructs": [
        "C13"
      ],
      "satisfied_naming_rule_ids": [
        "instrument_completion_overlay:b1.hall.commitment.v1.procedure:W"
      ],
      "naming_qualification": {
        "identity": "W",
        "qualified": false,
        "satisfied_naming_rule_ids": [
          "instrument_completion_overlay:b1.hall.commitment.v1.procedure:W"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"WU",
      "score": 0.75,
      "positive_dependencies": 2,
      "qualification_dependencies": 2,
      "naming_dependencies": 1,
      "positive_constructs": [
        "C08",
        "C13"
      ],
      "satisfied_naming_rule_ids": [
        "instrument_completion_overlay:b1.hall.commitment.v1.procedure:WU"
      ],
      "naming_qualification": {
        "identity": "WU",
        "qualified": true,
        "satisfied_naming_rule_ids": [
          "instrument_completion_overlay:b1.hall.commitment.v1.procedure:WU"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"C13",
        "C16"
      ]
    },
    {
      "identity": "ESPER",
      "score": 0.575,
      "positive_dependencies": 1,
      "qualification_dependencies": 1,
      "naming_dependencies": 0,
      "positive_constructs": [
        "C16"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"JESKAI",
      "score": 0.5625,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"U",
      "score": 0.1875,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"C16"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x:v>
      </x:c>
    </x:row>
    <x:row r="79">
      <x:c r="A79" s="53" t="str">
        <x:v>Part 2/3</x:v>
      </x:c>
      <x:c r="B79" s="53" t="str">
        <x:v>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"W",
    "WU",
    "ESPER",
    "JESKAI"
  ],
  "alternatives": [],
  "refinement": {
    "kind": "no_approved_discriminator",
    "can_reduce_ambiguity": false,
    "remaining_candidates": [
      "WU"
    ],
    "unresolved_boundaries": [],
    "missing_constructs": [],
    "question_id": null,
    "purpose": "no_approved_discriminator",
    "target_identities": [
      "WU"
    ],
    "target_pair_ids": [],
    "distinction": "",
    "revisit": null,
    "limitation": "The approved instrument cannot responsibly distinguish the remaining candidates with another available observation."
  },
  "stopping": {
    "stop": true,
    "state": "close",
    "reason": "next_question_cannot_improve_responsible_top_boundary",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"answer_title": "Before the turn develops",
      "prompt": "An opponent begins a decisive turn, but you do not yet know which card matters most. When do you want your deck to use the card or mana it kept available?",
      "observation": "Prefers early prevention before the decisive action becomes visible.",
      "deltas": [
        {
          "faction": "WU",
          "delta": 0.5
        }
      ]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"answer_title": "Apply one clear rule",
      "prompt": "The table agrees to stop a repeatable threat. Before your next turn, the board changes and that threat is weaker but still present. What should the agreement require now?",
      "observation": "Prefers public procedural consistency after circumstances change.",
      "deltas": [
        {
          "faction": "W",
          "delta": 1
        },
        {
          "faction": "WU",
          "delta": 1
        }
      ]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"answer_title": "Choose one route",
      "prompt": "A dangerous opposing play has been stopped, and you now have enough cards to choose among several workable plans. What do you most want to do next?",
      "observation": "Prefers to consolidate new options into one planned route.",
      "deltas": [
        {
          "faction": "ESPER",
          "delta": 0.6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x:v>
      </x:c>
    </x:row>
    <x:row r="80">
      <x:c r="A80" s="53" t="str">
        <x:v>Part 3/3</x:v>
      </x:c>
      <x:c r="B80" s="53" t="str">
        <x:v>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
  ],
  "lens_ledger": [],
  "stage_history": [
    {
      "question_id": "b1.gate.initiative.v1",
      "answer_id": "b1.gate.initiative.v1.balance",
      "stage": "gate",
      "evidence_class": "BEHAVIORAL_OBSERVATION"
    },
    {
      "question_id": "b1.gate.visibility.v1",
      "answer_id": "b1.gate.visibility.v1.depends",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"b1.hall.interaction-window.v1.before",
      "stage": "hall",
      "evidence_class": "BEHAVIORAL_OBSERVATION"
    },
    {
      "question_id": "b1.hall.commitment.v1",
      "answer_id": "b1.hall.commitment.v1.procedure",
      "stage": "hall",
      "evidence_class": "BEHAVIORAL_OBSERVATION"
    },
    {
      "question_id": "b1.hall.information-to-plan.v1",
      "answer_id": "b1.hall.information-to-plan.v1.consolidate",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7:T37"/>
    <x:mergeCell ref="A77:T77"/>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Boros Legion — Engine Trace</x:v>
      </x:c>
      <x:c r="B1" s="3"/>
      <x:c r="C1" s="3"/>
      <x:c r="D1" s="3"/>
      <x:c r="E1" s="3"/>
      <x:c r="F1" s="3"/>
      <x:c r="G1" s="3"/>
      <x:c r="H1" s="3"/>
      <x:c r="I1" s="3"/>
      <x:c r="J1" s="3"/>
      <x:c r="K1" s="3"/>
      <x:c r="L1" s="3"/>
      <x:c r="M1" s="3"/>
      <x:c r="N1" s="3"/>
      <x:c r="O1" s="3"/>
      <x:c r="P1" s="3"/>
      <x:c r="Q1" s="3"/>
      <x:c r="R1" s="3"/>
      <x:c r="S1" s="3"/>
      <x:c r="T1" s="3"/>
    </x:row>
    <x:row r="2" ht="30" customHeight="1">
      <x:c r="A2" s="7" t="str">
        <x:v>ENGINE-WR • PASS_MATCH • primary • trace 6dcac2cef38862624918ae1e03e7ec64508a8e87d7ae3f03ba52ec9d7d6e0322</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WR</x:v>
      </x:c>
    </x:row>
    <x:row r="6">
      <x:c r="A6" s="53" t="str">
        <x:v>Expected public contract</x:v>
      </x:c>
      <x:c r="B6" s="53" t="str">
        <x:v>NAMED_DOSSIER</x:v>
      </x:c>
    </x:row>
    <x:row r="7">
      <x:c r="A7" s="53" t="str">
        <x:v>Witness status</x:v>
      </x:c>
      <x:c r="B7" s="53" t="str">
        <x:v>CURRENT_COMPATIBLE</x:v>
      </x:c>
    </x:row>
    <x:row r="8">
      <x:c r="A8" s="53" t="str">
        <x:v>Actual result</x:v>
      </x:c>
      <x:c r="B8" s="53" t="str">
        <x:v>WR</x:v>
      </x:c>
    </x:row>
    <x:row r="9">
      <x:c r="A9" s="53" t="str">
        <x:v>Directional result</x:v>
      </x:c>
      <x:c r="B9" s="53" t="str">
        <x:v>WR</x:v>
      </x:c>
    </x:row>
    <x:row r="10">
      <x:c r="A10" s="53" t="str">
        <x:v>Public state</x:v>
      </x:c>
      <x:c r="B10" s="53" t="str">
        <x:v>current-best-fit</x:v>
      </x:c>
    </x:row>
    <x:row r="11">
      <x:c r="A11" s="53" t="str">
        <x:v>Raw numeric leader</x:v>
      </x:c>
      <x:c r="B11" s="53" t="str">
        <x:v>WR</x:v>
      </x:c>
    </x:row>
    <x:row r="12">
      <x:c r="A12" s="53" t="str">
        <x:v>Raw score</x:v>
      </x:c>
      <x:c r="B12" s="53" t="n">
        <x:v>1</x:v>
      </x:c>
    </x:row>
    <x:row r="13">
      <x:c r="A13" s="53" t="str">
        <x:v>Raw leader qualified</x:v>
      </x:c>
      <x:c r="B13" s="54" t="b">
        <x:v>1</x:v>
      </x:c>
    </x:row>
    <x:row r="14">
      <x:c r="A14" s="53" t="str">
        <x:v>Selected qualified</x:v>
      </x:c>
      <x:c r="B14" s="54" t="b">
        <x:v>1</x:v>
      </x:c>
    </x:row>
    <x:row r="15">
      <x:c r="A15" s="53" t="str">
        <x:v>Frontier</x:v>
      </x:c>
      <x:c r="B15" s="53" t="str">
        <x:v>WR</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b1.gate.disruption.v1.protect</x:v>
      </x:c>
      <x:c r="G31" s="53" t="str">
        <x:v>A way to keep the board</x:v>
      </x:c>
      <x:c r="H31" s="53" t="str">
        <x:v>C03</x:v>
      </x:c>
      <x:c r="I31" s="53" t="str">
        <x:v>SIG_C03_PROTECT</x:v>
      </x:c>
      <x:c r="J31" s="53" t="str">
        <x:v>DG_C03</x:v>
      </x:c>
      <x:c r="K31" s="53" t="str">
        <x:v>BEHAVIORAL_OBSERVATION</x:v>
      </x:c>
      <x:c r="L31" s="53" t="str">
        <x:v>ABZAN | W | WG</x:v>
      </x:c>
      <x:c r="M31" s="53" t="str"/>
      <x:c r="N31" s="53" t="n">
        <x:v>0.5</x:v>
      </x:c>
      <x:c r="O31" s="54" t="b">
        <x:v>0</x:v>
      </x:c>
      <x:c r="P31" s="53" t="str">
        <x:v>REMEDIATION_MAPPING_HYPOTHESIS</x:v>
      </x:c>
      <x:c r="Q31" s="53" t="str">
        <x:v>Prefers protection before broad disruption.</x:v>
      </x:c>
      <x:c r="R31" s="53" t="str">
        <x:v>Observation wording and identity association require player validation; no weight is authorized.</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ABZAN</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b1.hall.commitment.v1.short</x:v>
      </x:c>
      <x:c r="G33" s="53" t="str">
        <x:v>Keep only this opening</x:v>
      </x:c>
      <x:c r="H33" s="53" t="str">
        <x:v>C13</x:v>
      </x:c>
      <x:c r="I33" s="53" t="str">
        <x:v>SIG_C13_BOUNDED</x:v>
      </x:c>
      <x:c r="J33" s="53" t="str">
        <x:v>DG_C13</x:v>
      </x:c>
      <x:c r="K33" s="53" t="str">
        <x:v>BEHAVIORAL_OBSERVATION</x:v>
      </x:c>
      <x:c r="L33" s="53" t="str">
        <x:v>DUNE | MARDU | WR</x:v>
      </x:c>
      <x:c r="M33" s="53" t="str"/>
      <x:c r="N33" s="53" t="n">
        <x:v>1</x:v>
      </x:c>
      <x:c r="O33" s="54" t="b">
        <x:v>1</x:v>
      </x:c>
      <x:c r="P33" s="53" t="str">
        <x:v>REMEDIATION_MAPPING_HYPOTHESIS</x:v>
      </x:c>
      <x:c r="Q33" s="53" t="str">
        <x:v>Prefers bounded coordination tied to the present opening.</x:v>
      </x:c>
      <x:c r="R33" s="53" t="str">
        <x:v>A short deal may be tactically obvious rather than an enduring behavioral preference.</x:v>
      </x:c>
      <x:c r="S33" s="53" t="str">
        <x:v>MARDU</x:v>
      </x:c>
      <x:c r="T33" s="53" t="str">
        <x:v>incomplete / minimum_questions / b1.hall.pressure.v1</x:v>
      </x:c>
    </x:row>
    <x:row r="34">
      <x:c r="A34" s="53" t="n">
        <x:v>6</x:v>
      </x:c>
      <x:c r="B34" s="53" t="str">
        <x:v>main</x:v>
      </x:c>
      <x:c r="C34" s="53" t="str">
        <x:v>hall</x:v>
      </x:c>
      <x:c r="D34" s="53" t="str">
        <x:v>b1.hall.pressure.v1</x:v>
      </x:c>
      <x:c r="E34" s="53" t="str">
        <x:v>The player ahead uses all their mana and leaves one turn where the table can take control. Which kind of pressure do you want your deck to create?</x:v>
      </x:c>
      <x:c r="F34" s="53" t="str">
        <x:v>b1.hall.pressure.v1.abundance</x:v>
      </x:c>
      <x:c r="G34" s="53" t="str">
        <x:v>Keep the wide board moving</x:v>
      </x:c>
      <x:c r="H34" s="53" t="str">
        <x:v>C07</x:v>
      </x:c>
      <x:c r="I34" s="53" t="str">
        <x:v>SIG_C07_ABUNDANCE_PRESSURE</x:v>
      </x:c>
      <x:c r="J34" s="53" t="str">
        <x:v>DG_C07</x:v>
      </x:c>
      <x:c r="K34" s="53" t="str">
        <x:v>BEHAVIORAL_OBSERVATION</x:v>
      </x:c>
      <x:c r="L34" s="53" t="str">
        <x:v>NAYA</x:v>
      </x:c>
      <x:c r="M34" s="53" t="str"/>
      <x:c r="N34" s="53" t="n">
        <x:v>1</x:v>
      </x:c>
      <x:c r="O34" s="54" t="b">
        <x:v>1</x:v>
      </x:c>
      <x:c r="P34" s="53" t="str">
        <x:v>REMEDIATION_MAPPING_HYPOTHESIS</x:v>
      </x:c>
      <x:c r="Q34" s="53" t="str">
        <x:v>Prefers abundance-based board pressure rather than one concentrated strike.</x:v>
      </x:c>
      <x:c r="R34" s="53" t="str">
        <x:v>Board width may be accidental or mechanically efficient rather than identity-relevant.</x:v>
      </x:c>
      <x:c r="S34" s="53" t="str">
        <x:v>MARDU</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b1.hall.setup.v1.change</x:v>
      </x:c>
      <x:c r="G35" s="53" t="str">
        <x:v>Change plans for this game</x:v>
      </x:c>
      <x:c r="H35" s="53" t="str">
        <x:v>C14</x:v>
      </x:c>
      <x:c r="I35" s="53" t="str">
        <x:v>SIG_C14_BOARD_RESPONSIVE</x:v>
      </x:c>
      <x:c r="J35" s="53" t="str">
        <x:v>DG_C14</x:v>
      </x:c>
      <x:c r="K35" s="53" t="str">
        <x:v>BEHAVIORAL_OBSERVATION</x:v>
      </x:c>
      <x:c r="L35" s="53" t="str">
        <x:v>GLINT | TEMUR</x:v>
      </x:c>
      <x:c r="M35" s="53" t="str"/>
      <x:c r="N35" s="53" t="n">
        <x:v>0.5</x:v>
      </x:c>
      <x:c r="O35" s="54" t="b">
        <x:v>0</x:v>
      </x:c>
      <x:c r="P35" s="53" t="str">
        <x:v>REMEDIATION_MAPPING_HYPOTHESIS</x:v>
      </x:c>
      <x:c r="Q35" s="53" t="str">
        <x:v>Prefers board-responsive development over preserving a stalled long plan.</x:v>
      </x:c>
      <x:c r="R35" s="53" t="str">
        <x:v>A clearly lost setup can make changing plans tactically mandatory.</x:v>
      </x:c>
      <x:c r="S35" s="53" t="str">
        <x:v>MARDU</x:v>
      </x:c>
      <x:c r="T35" s="53" t="str">
        <x:v>incomplete / useful_evidence_remains / b1.crucible.wr.v1</x:v>
      </x:c>
    </x:row>
    <x:row r="36">
      <x:c r="A36" s="53" t="n">
        <x:v>8</x:v>
      </x:c>
      <x:c r="B36" s="53" t="str">
        <x:v>main</x:v>
      </x:c>
      <x:c r="C36" s="53" t="str">
        <x:v>crucible</x:v>
      </x:c>
      <x:c r="D36" s="53" t="str">
        <x:v>b1.crucible.wr.v1</x:v>
      </x:c>
      <x:c r="E36" s="53" t="str">
        <x:v>An opponent targets an important permanent. Which response would you rather have built toward?</x:v>
      </x:c>
      <x:c r="F36" s="53" t="str">
        <x:v>b1.crucible.wr.v1.intervene</x:v>
      </x:c>
      <x:c r="G36" s="53" t="str">
        <x:v>Stop the removal now</x:v>
      </x:c>
      <x:c r="H36" s="53" t="str">
        <x:v>C03</x:v>
      </x:c>
      <x:c r="I36" s="53" t="str">
        <x:v>SIG_C03_PROTECT</x:v>
      </x:c>
      <x:c r="J36" s="53" t="str">
        <x:v>DG_C03</x:v>
      </x:c>
      <x:c r="K36" s="53" t="str">
        <x:v>BEHAVIORAL_OBSERVATION</x:v>
      </x:c>
      <x:c r="L36" s="53" t="str">
        <x:v>WR</x:v>
      </x:c>
      <x:c r="M36" s="53" t="str">
        <x:v>LOREHOLD</x:v>
      </x:c>
      <x:c r="N36" s="53" t="n">
        <x:v>1</x:v>
      </x:c>
      <x:c r="O36" s="54" t="b">
        <x:v>1</x:v>
      </x:c>
      <x:c r="P36" s="53" t="str">
        <x:v>MAPPING_HYPOTHESIS</x:v>
      </x:c>
      <x:c r="Q36" s="53" t="str">
        <x:v>Prefers immediate intervention.</x:v>
      </x:c>
      <x:c r="R36" s="53" t="str">
        <x:v>Use only after prior independent observations leave the stated competitor boundary plausible; the identity association requires player validation.</x:v>
      </x:c>
      <x:c r="S36" s="53" t="str">
        <x:v>WR</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WR</x:v>
      </x:c>
      <x:c r="C40" s="53" t="str">
        <x:v>Boros Legion</x:v>
      </x:c>
      <x:c r="D40" s="53" t="n">
        <x:v>1</x:v>
      </x:c>
      <x:c r="E40" s="54" t="b">
        <x:v>1</x:v>
      </x:c>
      <x:c r="F40" s="53" t="str">
        <x:v>C03 | C13</x:v>
      </x:c>
    </x:row>
    <x:row r="41">
      <x:c r="A41" s="53" t="n">
        <x:v>2</x:v>
      </x:c>
      <x:c r="B41" s="53" t="str">
        <x:v>MARDU</x:v>
      </x:c>
      <x:c r="C41" s="53" t="str">
        <x:v>Mardu Horde</x:v>
      </x:c>
      <x:c r="D41" s="53" t="n">
        <x:v>1</x:v>
      </x:c>
      <x:c r="E41" s="54" t="b">
        <x:v>0</x:v>
      </x:c>
      <x:c r="F41" s="53" t="str">
        <x:v>C13</x:v>
      </x:c>
    </x:row>
    <x:row r="42">
      <x:c r="A42" s="53" t="n">
        <x:v>3</x:v>
      </x:c>
      <x:c r="B42" s="53" t="str">
        <x:v>DUNE</x:v>
      </x:c>
      <x:c r="C42" s="53" t="str">
        <x:v>Dune / Aggression</x:v>
      </x:c>
      <x:c r="D42" s="53" t="n">
        <x:v>0.916667</x:v>
      </x:c>
      <x:c r="E42" s="54" t="b">
        <x:v>0</x:v>
      </x:c>
      <x:c r="F42" s="53" t="str">
        <x:v>C13</x:v>
      </x:c>
    </x:row>
    <x:row r="43">
      <x:c r="A43" s="53" t="n">
        <x:v>4</x:v>
      </x:c>
      <x:c r="B43" s="53" t="str">
        <x:v>NAYA</x:v>
      </x:c>
      <x:c r="C43" s="53" t="str">
        <x:v>Naya</x:v>
      </x:c>
      <x:c r="D43" s="53" t="n">
        <x:v>0.833333</x:v>
      </x:c>
      <x:c r="E43" s="54" t="b">
        <x:v>0</x:v>
      </x:c>
      <x:c r="F43" s="53" t="str">
        <x:v>C07</x:v>
      </x:c>
    </x:row>
    <x:row r="44">
      <x:c r="A44" s="53" t="n">
        <x:v>5</x:v>
      </x:c>
      <x:c r="B44" s="53" t="str">
        <x:v>TEMUR</x:v>
      </x:c>
      <x:c r="C44" s="53" t="str">
        <x:v>Temur Frontier</x:v>
      </x:c>
      <x:c r="D44" s="53" t="n">
        <x:v>0.625</x:v>
      </x:c>
      <x:c r="E44" s="54" t="b">
        <x:v>0</x:v>
      </x:c>
      <x:c r="F44" s="53" t="str">
        <x:v>C14</x:v>
      </x:c>
    </x:row>
    <x:row r="45">
      <x:c r="A45" s="53" t="n">
        <x:v>6</x:v>
      </x:c>
      <x:c r="B45" s="53" t="str">
        <x:v>ABZAN</x:v>
      </x:c>
      <x:c r="C45" s="53" t="str">
        <x:v>Abzan Houses</x:v>
      </x:c>
      <x:c r="D45" s="53" t="n">
        <x:v>0.625</x:v>
      </x:c>
      <x:c r="E45" s="54" t="b">
        <x:v>0</x:v>
      </x:c>
      <x:c r="F45" s="53" t="str">
        <x:v>C03</x:v>
      </x:c>
    </x:row>
    <x:row r="46">
      <x:c r="A46" s="53" t="n">
        <x:v>7</x:v>
      </x:c>
      <x:c r="B46" s="53" t="str">
        <x:v>W</x:v>
      </x:c>
      <x:c r="C46" s="53" t="str">
        <x:v>White</x:v>
      </x:c>
      <x:c r="D46" s="53" t="n">
        <x:v>0.625</x:v>
      </x:c>
      <x:c r="E46" s="54" t="b">
        <x:v>0</x:v>
      </x:c>
      <x:c r="F46" s="53" t="str">
        <x:v>C03</x:v>
      </x:c>
    </x:row>
    <x:row r="47">
      <x:c r="A47" s="53" t="n">
        <x:v>8</x:v>
      </x:c>
      <x:c r="B47" s="53" t="str">
        <x:v>JUND</x:v>
      </x:c>
      <x:c r="C47" s="53" t="str">
        <x:v>Jund</x:v>
      </x:c>
      <x:c r="D47" s="53" t="n">
        <x:v>0.541667</x:v>
      </x:c>
      <x:c r="E47" s="54" t="b">
        <x:v>0</x:v>
      </x:c>
      <x:c r="F47" s="53" t="str">
        <x:v>C01</x:v>
      </x:c>
    </x:row>
    <x:row r="48">
      <x:c r="A48" s="53" t="n">
        <x:v>9</x:v>
      </x:c>
      <x:c r="B48" s="53" t="str">
        <x:v>RG</x:v>
      </x:c>
      <x:c r="C48" s="53" t="str">
        <x:v>Gruul Clans</x:v>
      </x:c>
      <x:c r="D48" s="53" t="n">
        <x:v>0.541667</x:v>
      </x:c>
      <x:c r="E48" s="54" t="b">
        <x:v>0</x:v>
      </x:c>
      <x:c r="F48" s="53" t="str">
        <x:v>C01</x:v>
      </x:c>
    </x:row>
    <x:row r="49">
      <x:c r="A49" s="53" t="n">
        <x:v>10</x:v>
      </x:c>
      <x:c r="B49" s="53" t="str">
        <x:v>WG</x:v>
      </x:c>
      <x:c r="C49" s="53" t="str">
        <x:v>Selesnya Conclave</x:v>
      </x:c>
      <x:c r="D49" s="53" t="n">
        <x:v>0.541667</x:v>
      </x:c>
      <x:c r="E49" s="54" t="b">
        <x:v>0</x:v>
      </x:c>
      <x:c r="F49" s="53" t="str">
        <x:v>C03</x:v>
      </x:c>
    </x:row>
    <x:row r="50">
      <x:c r="A50" s="53" t="n">
        <x:v>11</x:v>
      </x:c>
      <x:c r="B50" s="53" t="str">
        <x:v>GLINT</x:v>
      </x:c>
      <x:c r="C50" s="53" t="str">
        <x:v>Glint / Chaos</x:v>
      </x:c>
      <x:c r="D50" s="53" t="n">
        <x:v>0.458333</x:v>
      </x:c>
      <x:c r="E50" s="54" t="b">
        <x:v>0</x:v>
      </x:c>
      <x:c r="F50" s="53" t="str">
        <x:v>C14</x:v>
      </x:c>
    </x:row>
    <x:row r="51">
      <x:c r="A51" s="53" t="n">
        <x:v>12</x:v>
      </x:c>
      <x:c r="B51" s="53" t="str">
        <x:v>R</x:v>
      </x:c>
      <x:c r="C51" s="53" t="str">
        <x:v>Red</x:v>
      </x:c>
      <x:c r="D51" s="53" t="n">
        <x:v>0.458333</x:v>
      </x:c>
      <x:c r="E51" s="54" t="b">
        <x:v>0</x:v>
      </x:c>
      <x:c r="F51" s="53" t="str">
        <x:v>C01</x:v>
      </x:c>
    </x:row>
    <x:row r="52">
      <x:c r="A52" s="53" t="n">
        <x:v>13</x:v>
      </x:c>
      <x:c r="B52" s="53" t="str">
        <x:v>G</x:v>
      </x:c>
      <x:c r="C52" s="53" t="str">
        <x:v>Green</x:v>
      </x:c>
      <x:c r="D52" s="53" t="n">
        <x:v>0.166667</x:v>
      </x:c>
      <x:c r="E52" s="54" t="b">
        <x:v>0</x:v>
      </x:c>
      <x:c r="F52" s="53" t="str"/>
    </x:row>
    <x:row r="53">
      <x:c r="A53" s="53" t="n">
        <x:v>14</x:v>
      </x:c>
      <x:c r="B53" s="53" t="str">
        <x:v>INK</x:v>
      </x:c>
      <x:c r="C53" s="53" t="str">
        <x:v>Ink / Altruism</x:v>
      </x:c>
      <x:c r="D53" s="53" t="n">
        <x:v>0.166667</x:v>
      </x:c>
      <x:c r="E53" s="54" t="b">
        <x:v>0</x:v>
      </x:c>
      <x:c r="F53" s="53" t="str"/>
    </x:row>
    <x:row r="54">
      <x:c r="A54" s="53" t="n">
        <x:v>15</x:v>
      </x:c>
      <x:c r="B54" s="53" t="str">
        <x:v>UG</x:v>
      </x:c>
      <x:c r="C54" s="53" t="str">
        <x:v>Simic Combine</x:v>
      </x:c>
      <x:c r="D54" s="53" t="n">
        <x:v>0.166667</x:v>
      </x:c>
      <x:c r="E54" s="54" t="b">
        <x:v>0</x:v>
      </x:c>
      <x:c r="F54" s="53" t="str"/>
    </x:row>
    <x:row r="55">
      <x:c r="A55" s="53" t="n">
        <x:v>16</x:v>
      </x:c>
      <x:c r="B55" s="53" t="str">
        <x:v>BANT</x:v>
      </x:c>
      <x:c r="C55" s="53" t="str">
        <x:v>Bant</x:v>
      </x:c>
      <x:c r="D55" s="53" t="n">
        <x:v>0.083333</x:v>
      </x:c>
      <x:c r="E55" s="54" t="b">
        <x:v>0</x:v>
      </x:c>
      <x:c r="F55" s="53" t="str"/>
    </x:row>
    <x:row r="56">
      <x:c r="A56" s="53" t="n">
        <x:v>17</x:v>
      </x:c>
      <x:c r="B56" s="53" t="str">
        <x:v>BG</x:v>
      </x:c>
      <x:c r="C56" s="53" t="str">
        <x:v>Golgari Swarm</x:v>
      </x:c>
      <x:c r="D56" s="53" t="n">
        <x:v>0.083333</x:v>
      </x:c>
      <x:c r="E56" s="54" t="b">
        <x:v>0</x:v>
      </x:c>
      <x:c r="F56" s="53" t="str"/>
    </x:row>
    <x:row r="57">
      <x:c r="A57" s="53" t="n">
        <x:v>18</x:v>
      </x:c>
      <x:c r="B57" s="53" t="str">
        <x:v>QUANDRIX</x:v>
      </x:c>
      <x:c r="C57" s="53" t="str">
        <x:v>Quandrix College</x:v>
      </x:c>
      <x:c r="D57" s="53" t="n">
        <x:v>0.083333</x:v>
      </x:c>
      <x:c r="E57" s="54" t="b">
        <x:v>0</x:v>
      </x:c>
      <x:c r="F57" s="53" t="str"/>
    </x:row>
    <x:row r="58">
      <x:c r="A58" s="53" t="n">
        <x:v>19</x:v>
      </x:c>
      <x:c r="B58" s="53" t="str">
        <x:v>SILVERQUILL</x:v>
      </x:c>
      <x:c r="C58" s="53" t="str">
        <x:v>Silverquill College</x:v>
      </x:c>
      <x:c r="D58" s="53" t="n">
        <x:v>0.083333</x:v>
      </x:c>
      <x:c r="E58" s="54" t="b">
        <x:v>0</x:v>
      </x:c>
      <x:c r="F58" s="53" t="str"/>
    </x:row>
    <x:row r="59">
      <x:c r="A59" s="53" t="n">
        <x:v>20</x:v>
      </x:c>
      <x:c r="B59" s="53" t="str">
        <x:v>SULTAI</x:v>
      </x:c>
      <x:c r="C59" s="53" t="str">
        <x:v>Sultai Brood</x:v>
      </x:c>
      <x:c r="D59" s="53" t="n">
        <x:v>0.083333</x:v>
      </x:c>
      <x:c r="E59" s="54" t="b">
        <x:v>0</x:v>
      </x:c>
      <x:c r="F59" s="53" t="str"/>
    </x:row>
    <x:row r="60">
      <x:c r="A60" s="53" t="n">
        <x:v>21</x:v>
      </x:c>
      <x:c r="B60" s="53" t="str">
        <x:v>WB</x:v>
      </x:c>
      <x:c r="C60" s="53" t="str">
        <x:v>Orzhov Syndicate</x:v>
      </x:c>
      <x:c r="D60" s="53" t="n">
        <x:v>0.083333</x:v>
      </x:c>
      <x:c r="E60" s="54" t="b">
        <x:v>0</x:v>
      </x:c>
      <x:c r="F60" s="53" t="str"/>
    </x:row>
    <x:row r="61">
      <x:c r="A61" s="53" t="n">
        <x:v>22</x:v>
      </x:c>
      <x:c r="B61" s="53" t="str">
        <x:v>WITCH</x:v>
      </x:c>
      <x:c r="C61" s="53" t="str">
        <x:v>Witch / Growth</x:v>
      </x:c>
      <x:c r="D61" s="53" t="n">
        <x:v>0.083333</x:v>
      </x:c>
      <x:c r="E61" s="54" t="b">
        <x:v>0</x:v>
      </x:c>
      <x:c r="F61" s="53" t="str"/>
    </x:row>
    <x:row r="62">
      <x:c r="A62" s="53" t="n">
        <x:v>23</x:v>
      </x:c>
      <x:c r="B62" s="53" t="str">
        <x:v>WITHERBLOOM</x:v>
      </x:c>
      <x:c r="C62" s="53" t="str">
        <x:v>Witherbloom College</x:v>
      </x:c>
      <x:c r="D62" s="53" t="n">
        <x:v>0.083333</x:v>
      </x:c>
      <x:c r="E62" s="54" t="b">
        <x:v>0</x:v>
      </x:c>
      <x:c r="F62" s="53" t="str"/>
    </x:row>
    <x:row r="63">
      <x:c r="A63" s="53" t="n">
        <x:v>24</x:v>
      </x:c>
      <x:c r="B63" s="53" t="str">
        <x:v>GRIXIS</x:v>
      </x:c>
      <x:c r="C63" s="53" t="str">
        <x:v>Grixis</x:v>
      </x:c>
      <x:c r="D63" s="53" t="n">
        <x:v>0.0625</x:v>
      </x:c>
      <x:c r="E63" s="54" t="b">
        <x:v>0</x:v>
      </x:c>
      <x:c r="F63" s="53" t="str"/>
    </x:row>
    <x:row r="64">
      <x:c r="A64" s="53" t="n">
        <x:v>25</x:v>
      </x:c>
      <x:c r="B64" s="53" t="str">
        <x:v>JESKAI</x:v>
      </x:c>
      <x:c r="C64" s="53" t="str">
        <x:v>Jeskai Way</x:v>
      </x:c>
      <x:c r="D64" s="53" t="n">
        <x:v>0.0625</x:v>
      </x:c>
      <x:c r="E64" s="54" t="b">
        <x:v>0</x:v>
      </x:c>
      <x:c r="F64" s="53" t="str"/>
    </x:row>
    <x:row r="65">
      <x:c r="A65" s="53" t="n">
        <x:v>26</x:v>
      </x:c>
      <x:c r="B65" s="53" t="str">
        <x:v>U</x:v>
      </x:c>
      <x:c r="C65" s="53" t="str">
        <x:v>Blue</x:v>
      </x:c>
      <x:c r="D65" s="53" t="n">
        <x:v>0.0625</x:v>
      </x:c>
      <x:c r="E65" s="54" t="b">
        <x:v>0</x:v>
      </x:c>
      <x:c r="F65" s="53" t="str"/>
    </x:row>
    <x:row r="66">
      <x:c r="A66" s="53" t="n">
        <x:v>27</x:v>
      </x:c>
      <x:c r="B66" s="53" t="str">
        <x:v>WU</x:v>
      </x:c>
      <x:c r="C66" s="53" t="str">
        <x:v>Azorius Senate</x:v>
      </x:c>
      <x:c r="D66" s="53" t="n">
        <x:v>0.0625</x:v>
      </x:c>
      <x:c r="E66" s="54" t="b">
        <x:v>0</x:v>
      </x:c>
      <x:c r="F66" s="53" t="str"/>
    </x:row>
    <x:row r="67">
      <x:c r="A67" s="53" t="n">
        <x:v>28</x:v>
      </x:c>
      <x:c r="B67" s="53" t="str">
        <x:v>B</x:v>
      </x:c>
      <x:c r="C67" s="53" t="str">
        <x:v>Black</x:v>
      </x:c>
      <x:c r="D67" s="53" t="n">
        <x:v>0</x:v>
      </x:c>
      <x:c r="E67" s="54" t="b">
        <x:v>0</x:v>
      </x:c>
      <x:c r="F67" s="53" t="str"/>
    </x:row>
    <x:row r="68">
      <x:c r="A68" s="53" t="n">
        <x:v>29</x:v>
      </x:c>
      <x:c r="B68" s="53" t="str">
        <x:v>BR</x:v>
      </x:c>
      <x:c r="C68" s="53" t="str">
        <x:v>Cult of Rakdos</x:v>
      </x:c>
      <x:c r="D68" s="53" t="n">
        <x:v>0</x:v>
      </x:c>
      <x:c r="E68" s="54" t="b">
        <x:v>0</x:v>
      </x:c>
      <x:c r="F68" s="53" t="str"/>
    </x:row>
    <x:row r="69">
      <x:c r="A69" s="53" t="n">
        <x:v>30</x:v>
      </x:c>
      <x:c r="B69" s="53" t="str">
        <x:v>COLORLESS</x:v>
      </x:c>
      <x:c r="C69" s="53" t="str">
        <x:v>Colorless</x:v>
      </x:c>
      <x:c r="D69" s="53" t="n">
        <x:v>0</x:v>
      </x:c>
      <x:c r="E69" s="54" t="b">
        <x:v>0</x:v>
      </x:c>
      <x:c r="F69" s="53" t="str"/>
    </x:row>
    <x:row r="70">
      <x:c r="A70" s="53" t="n">
        <x:v>31</x:v>
      </x:c>
      <x:c r="B70" s="53" t="str">
        <x:v>ESPER</x:v>
      </x:c>
      <x:c r="C70" s="53" t="str">
        <x:v>Esper</x:v>
      </x:c>
      <x:c r="D70" s="53" t="n">
        <x:v>0</x:v>
      </x:c>
      <x:c r="E70" s="54" t="b">
        <x:v>0</x:v>
      </x:c>
      <x:c r="F70" s="53" t="str"/>
    </x:row>
    <x:row r="71">
      <x:c r="A71" s="53" t="n">
        <x:v>32</x:v>
      </x:c>
      <x:c r="B71" s="53" t="str">
        <x:v>PRISMARI</x:v>
      </x:c>
      <x:c r="C71" s="53" t="str">
        <x:v>Prismari College</x:v>
      </x:c>
      <x:c r="D71" s="53" t="n">
        <x:v>0</x:v>
      </x:c>
      <x:c r="E71" s="54" t="b">
        <x:v>0</x:v>
      </x:c>
      <x:c r="F71" s="53" t="str"/>
    </x:row>
    <x:row r="72">
      <x:c r="A72" s="53" t="n">
        <x:v>33</x:v>
      </x:c>
      <x:c r="B72" s="53" t="str">
        <x:v>UB</x:v>
      </x:c>
      <x:c r="C72" s="53" t="str">
        <x:v>House Dimir</x:v>
      </x:c>
      <x:c r="D72" s="53" t="n">
        <x:v>0</x:v>
      </x:c>
      <x:c r="E72" s="54" t="b">
        <x:v>0</x:v>
      </x:c>
      <x:c r="F72" s="53" t="str"/>
    </x:row>
    <x:row r="73">
      <x:c r="A73" s="53" t="n">
        <x:v>34</x:v>
      </x:c>
      <x:c r="B73" s="53" t="str">
        <x:v>UR</x:v>
      </x:c>
      <x:c r="C73" s="53" t="str">
        <x:v>Izzet League</x:v>
      </x:c>
      <x:c r="D73" s="53" t="n">
        <x:v>0</x:v>
      </x:c>
      <x:c r="E73" s="54" t="b">
        <x:v>0</x:v>
      </x:c>
      <x:c r="F73" s="53" t="str"/>
    </x:row>
    <x:row r="74">
      <x:c r="A74" s="53" t="n">
        <x:v>35</x:v>
      </x:c>
      <x:c r="B74" s="53" t="str">
        <x:v>WUBRG</x:v>
      </x:c>
      <x:c r="C74" s="53" t="str">
        <x:v>Five-Color / WUBRG</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LOREHOLD</x:v>
      </x:c>
      <x:c r="C76" s="53" t="str">
        <x:v>Lorehold College</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"WR",
  "faction_name": "Boros Legion",
  "institution_type": "guild",
  "world": "Ravnica",
  "identity": {
    "core_color": "W",
    "secondary_colors": [
      "R"
    ],
    "secondary_color": "R",
    "expression_key": "WR",
    "expression_name": "Boros Legion",
    "expression_kind": "guild",
    "purity": null,
    "routing": {
      "edhrec_slug": "boros",
      "mtgdecks_slug": "boros",
      "label": "Boros"
    }
  },
  "decree": "Boros Legion is the clearest current fit from the approved observations.",
  "confidence": 0.047,
  "confidence_gap": 1,
  "mana_scores": {
    "W": 10,
    "U": 8,
    "B": 9,
    "R": 10,
    "G": 10
  },
  "top_matches": [
    {
      "rank": 1,
      "faction": "WR",
      "faction_name": "Boros Legion",
      "institution_type": "guild",
      "world": "Ravnica",
      "identity": {
        "core_color": "W",
        "secondary_colors": [
          "R"
        ],
        "secondary_color": "R",
        "expression_key": "WR",
        "expression_name": "Boros Legion",
        "expression_kind": "guild",
        "purity": null,
        "routing": {
          "edhrec_slug": "boros",
          "mtgdecks_slug": "boros",
          "label": "Boros"
        }
      },
      "score": 1,
      "confidence": 0.047,
      "reason": "Boros Legion remained plausible through C01, C03, C07; identity mapping remains a hypothesis."
    }
  ],
  "adjacent_matches": [],
  "internal_candidate_order": [
    {
      "identity": "WR",
      "score": 1,
      "positive_dependencies": 2,
      "qualification_dependencies": 2,
      "naming_dependencies": 1,
      "positive_constructs": [
        "C03",
        "C13"
      ],
      "satisfied_naming_rule_ids": [
        "baseline_40:b1.crucible.wr.v1.intervene:WR"
      ],
      "naming_qualification": {
        "identity": "WR",
        "qualified": true,
        "satisfied_naming_rule_ids": [
          "baseline_40:b1.crucible.wr.v1.intervene:WR"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"MARDU",
      "score": 1,
      "positive_dependencies": 1,
      "qualification_dependencies": 1,
      "naming_dependencies": 1,
      "positive_constructs": [
        "C13"
      ],
      "satisfied_naming_rule_ids": [
        "instrument_completion_overlay:b1.hall.commitment.v1.short:MARDU"
      ],
      "naming_qualification": {
        "identity": "MARDU",
        "qualified": false,
        "satisfied_naming_rule_ids": [
          "instrument_completion_overlay:b1.hall.commitment.v1.short:MARDU"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"DUNE",
      "score": 0.916667,
      "positive_dependencies": 1,
      "qualification_dependencies": 1,
      "naming_dependencies": 0,
      "positive_constructs": [
        "C13"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"NAYA",
      "score": 0.833333,
      "positive_dependencies": 1,
      "qualification_dependencies": 1,
      "naming_dependencies": 1,
      "positive_constructs": [
        "C07"
      ],
      "satisfied_naming_rule_ids": [
        "instrument_completion_overlay:b1.hall.pressure.v1.abundance:NAYA"
      ],
      "naming_qualification": {
        "identity": "NAYA",
        "qualified": false,
        "satisfied_naming_rule_ids": [
          "instrument_completion_overlay:b1.hall.pressure.v1.abundance:NAYA"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"TEMUR",
      "score": 0.625,
      "positive_dependencies": 1,
      "qualification_dependencies": 1,
      "naming_dependencies": 0,
      "positive_constructs": [
        "C14"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"ABZAN",
      "score": 0.625,
      "positive_dependencies": 1,
      "qualification_dependencies": 1,
      "naming_dependencies": 0,
      "positive_constructs": [
        "C03"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"W",
      "score": 0.625,
      "positive_dependencies": 1,
      "qualification_dependencies": 1,
      "naming_dependencies": 0,
      "positive_constructs": [
        "C03"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"WG",
      "score": 0.541667,
      "positive_dependencies": 1,
      "qualification_dependencies": 1,
      "naming_dependencies": 0,
      "positive_constructs": [
        "C03"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"GLINT",
      "score": 0.458333,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0.458333,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
      "score": 0.0625,
      "pos</x:v>
      </x:c>
    </x:row>
    <x:row r="80">
      <x:c r="A80" s="53" t="str">
        <x:v>Part 2/3</x:v>
      </x:c>
      <x:c r="B80" s="53" t="str">
        <x:v>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"UB",
      "score": 0,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-0.479167,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"C03"
      ]
    }
  ],
  "candidate_set": [
    "WR",
    "MARDU",
    "DUNE",
    "NAYA"
  ],
  "alternatives": [],
  "refinement": {
    "kind": "no_approved_discriminator",
    "can_reduce_ambiguity": false,
    "remaining_candidates": [
      "WR",
      "MARDU",
      "DUNE",
      "NAYA",
      "TEMUR",
      "ABZAN",
      "W",
      "JUND"
    ],
    "unresolved_boundaries": [
      {
        "pair_id": "ABZAN__MARDU",
        "identities": [
          "ABZAN",
          "MARDU"
        ],
        "distinction": "ABZAN uses Disruption response evidence; MARDU uses Initiative posture evidence. No direct pair claim is made.",
        "question_ids": [
          "b1.gate.disruption.v1",
          "b1.gate.initiative.v1",
          "b1.crucible.mono-multi.v1",
          "b1.hall.commitment.v1",
          "b1.hall.pressure.v1",
          "b1.hall.setup.v1"
        ],
        "coverage_status": "DIRECT-OR-STRUCTURAL-MAPPING-HYPOTHESIS; bounded player validation required"
      },
      {
        "pair_id": "DUNE__NAYA",
        "identities": [
          "DUNE",
          "NAYA"
        ],
        "distinction": "DUNE uses Public commitment evidence; NAYA uses Theme-efficiency tradeoff evidence. No direct pair claim is made.",
        "question_ids": [
          "b1.hall.commitment.v1",
          "b1.hall.theme.v1",
          "b1.crucible.mono-multi.v1",
          "b1.crucible.glint-dune.v1",
          "b1.crucible.dune-ink.v1",
          "b1.hall.pressure.v1",
          "b1.hall.setup.v1"
        ],
        "coverage_status": "DIRECT-OR-STRUCTURAL-MAPPING-HYPOTHESIS; bounded player validation required"
      },
      {
        "pair_id": "JUND__NAYA",
        "identities": [
          "JUND",
          "NAYA"
        ],
        "distinction": "JUND uses Initiative posture evidence; NAYA uses Theme-efficiency tradeoff evidence. No direct pair claim is made.",
        "question_ids": [
          "b1.gate.initiative.v1",
          "b1.hall.theme.v1",
          "b1.crucible.mono-multi.v1",
          "b1.hall.sacrifice.v1",
          "b1.hall.pressure.v1",
          "b1.crucible.disruption-boundary.v1",
          "b1.hall.setup.v1"
        ],
        "coverage_status": "DIRECT-OR-STRUCTURAL-MAPPING-HYPOTHESIS; bounded player validation required"
      },
      {
        "pair_id": "NAYA__W",
        "identities": [
          "NAYA",
          "W"
        ],
        "distinction": "NAYA uses Theme-efficiency tradeoff evidence; W uses Disruption response evidence. No direct pair claim is made.",
        "question_ids": [
          "b1.hall.theme.v1",
          "b1.gate.disruption.v1",
          "b1.crucible.mono-multi.v1",
          "b1.hall.commitment.v1",
          "b1.hall.pressure.v1",
          "b1.hall.setup.v1"
        ],
        "coverage_status": "DIRECT-OR-STRUCTURAL-MAPPING-HYPOTHESIS; bounded player validation required"
      }
    ],
    "missing_constructs": [
      "C10",
      "C11",
      "C12"
    ],
    "question_id": null,
    "purpose": "none_for_clean_primary",
    "target_identities": [
      "WR",
      "MARDU",
      "DUNE"
    ],
    "target_pair_ids": [
      "ABZAN__MARDU",
      "DUNE__NAYA",
      "JUND__NAYA",
      "NAYA__W"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keep the board",
      "prompt": "A board wipe—an effect that removes many cards and tokens from the battlefield—is likely next turn. What would you rather have prepared?",
      "observation": "Prefers protection before broad disruption.",
      "deltas": [
        {
          "faction": "ABZAN",
          "delta": 0.5
        },
        {
          "faction": "W",
          "delta": 0.5
        },
        {
          "faction": "WG",
          "delta": 0.5
        }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"b1.hall.commitment.v1",
      "answer_id": "b1.hall.commitment.v1.short",
      "stage": "hall",
      "construct": "C13",
      "bounded_observation": "Prefers bounded coordination tied to the present opening.",
      "signal": "SIG_C13_BOUNDED",
      "dependency_group": "DG_C13",
      "evidence_class":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"answer_title": "Keep only this opening",
      "prompt": "The table agrees to stop a repeatable threat. Before your next turn, the board changes and that threat is weaker but still present. What should the agreement require now?",
      "observation": "Prefers bounded coordination tied to the present opening.",
      "deltas": [
        {
          "faction": "DUNE",
          "delta": 1
        },
        {
          "faction": "MARDU",
          "delta": 1
        },
        {
          "faction": "WR",
          "delta": 1
        }
      ]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"answer_title": "Keep the wide board moving",
      "prompt": "The player ahead uses all their mana and leaves one turn where the table can take control. Which kind of pressure do you want your deck to create?",
      "observation": "Prefers abundance-based board pressure rather than one concentrated strike.",
      "deltas": [
        {
          "faction": "NAYA",
          "delta": 1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"question_id": "b1.crucible.wr.v1",
      "answer_id": "b1.crucible.wr.v1.intervene",
      "stage": "crucible",
      "construct": "C03",
      "bounded_observation": "Prefers immediate intervention.",
      "signal": "SIG_C03_PROTECT",
      "dependency_group": "DG_C03",
      "evidence_class": "BEHAVIORAL_OBSERVATION",
      "affected_identities": [
        "LOREHOLD",
        "WR"
      ],
      "positive_support": [
        "WR"
      ],
      "contradiction": [
        "LOREHOLD"
      ],
      "neutral": false,
      "mapping_strength": 1,
      "naming_evidence": true,
      "qualification_eligible": true,
      "qualification_support": [
        "WR"
      ],
      "naming_support": [
        "WR"
      ],
      "naming_rule_ids_by_identity": {
        "WR": [
          "baseline_40:b1.crucible.wr.v1.intervene:WR"
        ]
      },
      "mapping_role": "exact_pair_direction",
      "mapping_status": "MAPPING_HYPOTHESIS",
      "mapping_provenance": "answer-semantic-adjudication.tsv WR vs LOREHOLD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"Stop the removal now",
      "prompt": "An opponent targets an important permanent. Which response would y</x:v>
      </x:c>
    </x:row>
    <x:row r="81">
      <x:c r="A81" s="53" t="str">
        <x:v>Part 3/3</x:v>
      </x:c>
      <x:c r="B81" s="53" t="str">
        <x:v>ou rather have built toward?",
      "observation": "Prefers immediate intervention.",
      "deltas": [
        {
          "faction": "WR",
          "delta": 1
        },
        {
          "faction": "LOREHOLD",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"b1.hall.commitment.v1",
      "answer_id": "b1.hall.commitment.v1.short",
      "stage": "hall",
      "construct": "C13",
      "bounded_observation": "Prefers bounded coordination tied to the present opening.",
      "signal": "SIG_C13_BOUNDED",
      "dependency_group": "DG_C13",
      "evidence_class":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"question_id": "b1.crucible.wr.v1",
      "answer_id": "b1.crucible.wr.v1.intervene",
      "stage": "crucible",
      "construct": "C03",
      "bounded_observation": "Prefers immediate intervention.",
      "signal": "SIG_C03_PROTECT",
      "dependency_group": "DG_C03",
      "evidence_class": "BEHAVIORAL_OBSERVATION",
      "affected_identities": [
        "LOREHOLD",
        "WR"
      ],
      "positive_support": [
        "WR"
      ],
      "contradiction": [
        "LOREHOLD"
      ],
      "neutral": false,
      "mapping_strength": 1,
      "naming_evidence": true,
      "qualification_eligible": true,
      "qualification_support": [
        "WR"
      ],
      "naming_support": [
        "WR"
      ],
      "naming_rule_ids_by_identity": {
        "WR": [
          "baseline_40:b1.crucible.wr.v1.intervene:WR"
        ]
      },
      "mapping_role": "exact_pair_direction",
      "mapping_status": "MAPPING_HYPOTHESIS",
      "mapping_provenance": "answer-semantic-adjudication.tsv WR vs LOREHOLD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"b1.gate.visibility.v1.depends",
      "stage": "gate",
      "evidence_class": "BEHAVIORAL_OBSERVATION"
    },
    {
      "question_id": "b1.gate.disruption.v1",
      "answer_id": "b1.gate.disruption.v1.protect",
      "stage": "gate",
      "evidence_class": "BEHAVIORAL_OBSERVATION"
    },
    {
      "question_id": "b1.gate.tempo.v1",
      "answer_id": "b1.gate.tempo.v1.depends",
      "stage": "gate",
      "evidence_class": "BEHAVIORAL_OBSERVATION"
    },
    {
      "question_id": "b1.hall.commitment.v1",
      "answer_id": "b1.hall.commitment.v1.short",
      "stage": "hall",
      "evidence_class": "BEHAVIORAL_OBSERVATION"
    },
    {
      "question_id": "b1.hall.pressure.v1",
      "answer_id": "b1.hall.pressure.v1.abundance",
      "stage": "hall",
      "evidence_class": "BEHAVIORAL_OBSERVATION"
    },
    {
      "question_id": "b1.hall.setup.v1",
      "answer_id": "b1.hall.setup.v1.change",
      "stage": "hall",
      "evidence_class": "BEHAVIORAL_OBSERVATION"
    },
    {
      "question_id": "b1.crucible.wr.v1",
      "answer_id": "b1.crucible.wr.v1.intervene",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Cult of Rakdos — Engine Trace</x:v>
      </x:c>
      <x:c r="B1" s="3"/>
      <x:c r="C1" s="3"/>
      <x:c r="D1" s="3"/>
      <x:c r="E1" s="3"/>
      <x:c r="F1" s="3"/>
      <x:c r="G1" s="3"/>
      <x:c r="H1" s="3"/>
      <x:c r="I1" s="3"/>
      <x:c r="J1" s="3"/>
      <x:c r="K1" s="3"/>
      <x:c r="L1" s="3"/>
      <x:c r="M1" s="3"/>
      <x:c r="N1" s="3"/>
      <x:c r="O1" s="3"/>
      <x:c r="P1" s="3"/>
      <x:c r="Q1" s="3"/>
      <x:c r="R1" s="3"/>
      <x:c r="S1" s="3"/>
      <x:c r="T1" s="3"/>
    </x:row>
    <x:row r="2" ht="30" customHeight="1">
      <x:c r="A2" s="7" t="str">
        <x:v>ENGINE-BR • PASS_MATCH • primary • trace c431c82cb052f600357c23bf676c761ce76060a1020e87e47de3f074e7142f14</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BR</x:v>
      </x:c>
    </x:row>
    <x:row r="6">
      <x:c r="A6" s="53" t="str">
        <x:v>Expected public contract</x:v>
      </x:c>
      <x:c r="B6" s="53" t="str">
        <x:v>NAMED_DOSSIER</x:v>
      </x:c>
    </x:row>
    <x:row r="7">
      <x:c r="A7" s="53" t="str">
        <x:v>Witness status</x:v>
      </x:c>
      <x:c r="B7" s="53" t="str">
        <x:v>CURRENT_COMPATIBLE</x:v>
      </x:c>
    </x:row>
    <x:row r="8">
      <x:c r="A8" s="53" t="str">
        <x:v>Actual result</x:v>
      </x:c>
      <x:c r="B8" s="53" t="str">
        <x:v>BR</x:v>
      </x:c>
    </x:row>
    <x:row r="9">
      <x:c r="A9" s="53" t="str">
        <x:v>Directional result</x:v>
      </x:c>
      <x:c r="B9" s="53" t="str">
        <x:v>BR</x:v>
      </x:c>
    </x:row>
    <x:row r="10">
      <x:c r="A10" s="53" t="str">
        <x:v>Public state</x:v>
      </x:c>
      <x:c r="B10" s="53" t="str">
        <x:v>current-best-fit</x:v>
      </x:c>
    </x:row>
    <x:row r="11">
      <x:c r="A11" s="53" t="str">
        <x:v>Raw numeric leader</x:v>
      </x:c>
      <x:c r="B11" s="53" t="str">
        <x:v>BR</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BR</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outputs/01a02cd6-bce7-7832-9558-3075c52f146a/archscry-current-state-2026-08-22/evidence/engine/traces/br.json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b1.hall.pressure.v1.burst</x:v>
      </x:c>
      <x:c r="G33" s="53" t="str">
        <x:v>Make one visible turn count</x:v>
      </x:c>
      <x:c r="H33" s="53" t="str">
        <x:v>C07</x:v>
      </x:c>
      <x:c r="I33" s="53" t="str">
        <x:v>SIG_C07_VISIBLE_BURST</x:v>
      </x:c>
      <x:c r="J33" s="53" t="str">
        <x:v>DG_C07</x:v>
      </x:c>
      <x:c r="K33" s="53" t="str">
        <x:v>BEHAVIORAL_OBSERVATION</x:v>
      </x:c>
      <x:c r="L33" s="53" t="str">
        <x:v>BR | PRISMARI</x:v>
      </x:c>
      <x:c r="M33" s="53" t="str"/>
      <x:c r="N33" s="53" t="n">
        <x:v>1</x:v>
      </x:c>
      <x:c r="O33" s="54" t="b">
        <x:v>1</x:v>
      </x:c>
      <x:c r="P33" s="53" t="str">
        <x:v>REMEDIATION_MAPPING_HYPOTHESIS</x:v>
      </x:c>
      <x:c r="Q33" s="53" t="str">
        <x:v>Prefers a concentrated exposed payoff during the opening.</x:v>
      </x:c>
      <x:c r="R33" s="53" t="str">
        <x:v>Combo and efficient decks may also concentrate resources into one turn for unrelated reasons.</x:v>
      </x:c>
      <x:c r="S33" s="53" t="str">
        <x:v>BR</x:v>
      </x:c>
      <x:c r="T33" s="53" t="str">
        <x:v>incomplete / minimum_questions / b1.hall.threat.v1</x:v>
      </x:c>
    </x:row>
    <x:row r="34">
      <x:c r="A34" s="53" t="n">
        <x:v>6</x:v>
      </x:c>
      <x:c r="B34" s="53" t="str">
        <x:v>main</x:v>
      </x:c>
      <x:c r="C34" s="53" t="str">
        <x:v>hall</x:v>
      </x:c>
      <x:c r="D34" s="53" t="str">
        <x:v>b1.hall.threat.v1</x:v>
      </x:c>
      <x:c r="E34" s="53" t="str">
        <x:v>If your board becomes the clearest threat, how do you want the deck to handle that attention?</x:v>
      </x:c>
      <x:c r="F34" s="53" t="str">
        <x:v>b1.hall.threat.v1.embrace</x:v>
      </x:c>
      <x:c r="G34" s="53" t="str">
        <x:v>Make them answer it</x:v>
      </x:c>
      <x:c r="H34" s="53" t="str">
        <x:v>C11</x:v>
      </x:c>
      <x:c r="I34" s="53" t="str">
        <x:v>SIG_C11_EMBRACE</x:v>
      </x:c>
      <x:c r="J34" s="53" t="str">
        <x:v>DG_C11</x:v>
      </x:c>
      <x:c r="K34" s="53" t="str">
        <x:v>BEHAVIORAL_OBSERVATION</x:v>
      </x:c>
      <x:c r="L34" s="53" t="str">
        <x:v>BR | PRISMARI</x:v>
      </x:c>
      <x:c r="M34" s="53" t="str"/>
      <x:c r="N34" s="53" t="n">
        <x:v>0.5</x:v>
      </x:c>
      <x:c r="O34" s="54" t="b">
        <x:v>0</x:v>
      </x:c>
      <x:c r="P34" s="53" t="str">
        <x:v>REMEDIATION_MAPPING_HYPOTHESIS</x:v>
      </x:c>
      <x:c r="Q34" s="53" t="str">
        <x:v>Accepts visible threat status.</x:v>
      </x:c>
      <x:c r="R34" s="53" t="str">
        <x:v>Observation wording and identity association require player validation; no weight is authorized.</x:v>
      </x:c>
      <x:c r="S34" s="53" t="str">
        <x:v>BR</x:v>
      </x:c>
      <x:c r="T34" s="53" t="str">
        <x:v>primary / clear_separation / b1.hall.sacrifice.v1</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BR</x:v>
      </x:c>
      <x:c r="C38" s="53" t="str">
        <x:v>Cult of Rakdos</x:v>
      </x:c>
      <x:c r="D38" s="53" t="n">
        <x:v>0.729167</x:v>
      </x:c>
      <x:c r="E38" s="54" t="b">
        <x:v>1</x:v>
      </x:c>
      <x:c r="F38" s="53" t="str">
        <x:v>C07 | C11</x:v>
      </x:c>
    </x:row>
    <x:row r="39">
      <x:c r="A39" s="53" t="n">
        <x:v>2</x:v>
      </x:c>
      <x:c r="B39" s="53" t="str">
        <x:v>PRISMARI</x:v>
      </x:c>
      <x:c r="C39" s="53" t="str">
        <x:v>Prismari College</x:v>
      </x:c>
      <x:c r="D39" s="53" t="n">
        <x:v>0.729167</x:v>
      </x:c>
      <x:c r="E39" s="54" t="b">
        <x:v>0</x:v>
      </x:c>
      <x:c r="F39" s="53" t="str">
        <x:v>C07 | C11</x:v>
      </x:c>
    </x:row>
    <x:row r="40">
      <x:c r="A40" s="53" t="n">
        <x:v>3</x:v>
      </x:c>
      <x:c r="B40" s="53" t="str">
        <x:v>R</x:v>
      </x:c>
      <x:c r="C40" s="53" t="str">
        <x:v>Red</x:v>
      </x:c>
      <x:c r="D40" s="53" t="n">
        <x:v>0.625</x:v>
      </x:c>
      <x:c r="E40" s="54" t="b">
        <x:v>0</x:v>
      </x:c>
      <x:c r="F40" s="53" t="str">
        <x:v>C01</x:v>
      </x:c>
    </x:row>
    <x:row r="41">
      <x:c r="A41" s="53" t="n">
        <x:v>4</x:v>
      </x:c>
      <x:c r="B41" s="53" t="str">
        <x:v>JUND</x:v>
      </x:c>
      <x:c r="C41" s="53" t="str">
        <x:v>Jund</x:v>
      </x:c>
      <x:c r="D41" s="53" t="n">
        <x:v>0.541667</x:v>
      </x:c>
      <x:c r="E41" s="54" t="b">
        <x:v>0</x:v>
      </x:c>
      <x:c r="F41" s="53" t="str">
        <x:v>C01</x:v>
      </x:c>
    </x:row>
    <x:row r="42">
      <x:c r="A42" s="53" t="n">
        <x:v>5</x:v>
      </x:c>
      <x:c r="B42" s="53" t="str">
        <x:v>RG</x:v>
      </x:c>
      <x:c r="C42" s="53" t="str">
        <x:v>Gruul Clans</x:v>
      </x:c>
      <x:c r="D42" s="53" t="n">
        <x:v>0.541667</x:v>
      </x:c>
      <x:c r="E42" s="54" t="b">
        <x:v>0</x:v>
      </x:c>
      <x:c r="F42" s="53" t="str">
        <x:v>C01</x:v>
      </x:c>
    </x:row>
    <x:row r="43">
      <x:c r="A43" s="53" t="n">
        <x:v>6</x:v>
      </x:c>
      <x:c r="B43" s="53" t="str">
        <x:v>DUNE</x:v>
      </x:c>
      <x:c r="C43" s="53" t="str">
        <x:v>Dune / Aggression</x:v>
      </x:c>
      <x:c r="D43" s="53" t="n">
        <x:v>0.166667</x:v>
      </x:c>
      <x:c r="E43" s="54" t="b">
        <x:v>0</x:v>
      </x:c>
      <x:c r="F43" s="53" t="str"/>
    </x:row>
    <x:row r="44">
      <x:c r="A44" s="53" t="n">
        <x:v>7</x:v>
      </x:c>
      <x:c r="B44" s="53" t="str">
        <x:v>TEMUR</x:v>
      </x:c>
      <x:c r="C44" s="53" t="str">
        <x:v>Temur Frontier</x:v>
      </x:c>
      <x:c r="D44" s="53" t="n">
        <x:v>0.166667</x:v>
      </x:c>
      <x:c r="E44" s="54" t="b">
        <x:v>0</x:v>
      </x:c>
      <x:c r="F44" s="53" t="str"/>
    </x:row>
    <x:row r="45">
      <x:c r="A45" s="53" t="n">
        <x:v>8</x:v>
      </x:c>
      <x:c r="B45" s="53" t="str">
        <x:v>GLINT</x:v>
      </x:c>
      <x:c r="C45" s="53" t="str">
        <x:v>Glint / Chaos</x:v>
      </x:c>
      <x:c r="D45" s="53" t="n">
        <x:v>0.166667</x:v>
      </x:c>
      <x:c r="E45" s="54" t="b">
        <x:v>0</x:v>
      </x:c>
      <x:c r="F45" s="53" t="str"/>
    </x:row>
    <x:row r="46">
      <x:c r="A46" s="53" t="n">
        <x:v>9</x:v>
      </x:c>
      <x:c r="B46" s="53" t="str">
        <x:v>MARDU</x:v>
      </x:c>
      <x:c r="C46" s="53" t="str">
        <x:v>Mardu Horde</x:v>
      </x:c>
      <x:c r="D46" s="53" t="n">
        <x:v>0.166667</x:v>
      </x:c>
      <x:c r="E46" s="54" t="b">
        <x:v>0</x:v>
      </x:c>
      <x:c r="F46" s="53" t="str"/>
    </x:row>
    <x:row r="47">
      <x:c r="A47" s="53" t="n">
        <x:v>10</x:v>
      </x:c>
      <x:c r="B47" s="53" t="str">
        <x:v>NAYA</x:v>
      </x:c>
      <x:c r="C47" s="53" t="str">
        <x:v>Naya</x:v>
      </x:c>
      <x:c r="D47" s="53" t="n">
        <x:v>0.166667</x:v>
      </x:c>
      <x:c r="E47" s="54" t="b">
        <x:v>0</x:v>
      </x:c>
      <x:c r="F47" s="53" t="str"/>
    </x:row>
    <x:row r="48">
      <x:c r="A48" s="53" t="n">
        <x:v>11</x:v>
      </x:c>
      <x:c r="B48" s="53" t="str">
        <x:v>WR</x:v>
      </x:c>
      <x:c r="C48" s="53" t="str">
        <x:v>Boros Legion</x:v>
      </x:c>
      <x:c r="D48" s="53" t="n">
        <x:v>0.166667</x:v>
      </x:c>
      <x:c r="E48" s="54" t="b">
        <x:v>0</x:v>
      </x:c>
      <x:c r="F48" s="53" t="str"/>
    </x:row>
    <x:row r="49">
      <x:c r="A49" s="53" t="n">
        <x:v>12</x:v>
      </x:c>
      <x:c r="B49" s="53" t="str">
        <x:v>GRIXIS</x:v>
      </x:c>
      <x:c r="C49" s="53" t="str">
        <x:v>Grixis</x:v>
      </x:c>
      <x:c r="D49" s="53" t="n">
        <x:v>0.125</x:v>
      </x:c>
      <x:c r="E49" s="54" t="b">
        <x:v>0</x:v>
      </x:c>
      <x:c r="F49" s="53" t="str"/>
    </x:row>
    <x:row r="50">
      <x:c r="A50" s="53" t="n">
        <x:v>13</x:v>
      </x:c>
      <x:c r="B50" s="53" t="str">
        <x:v>UB</x:v>
      </x:c>
      <x:c r="C50" s="53" t="str">
        <x:v>House Dimir</x:v>
      </x:c>
      <x:c r="D50" s="53" t="n">
        <x:v>0.125</x:v>
      </x:c>
      <x:c r="E50" s="54" t="b">
        <x:v>0</x:v>
      </x:c>
      <x:c r="F50" s="53" t="str"/>
    </x:row>
    <x:row r="51">
      <x:c r="A51" s="53" t="n">
        <x:v>14</x:v>
      </x:c>
      <x:c r="B51" s="53" t="str">
        <x:v>SILVERQUILL</x:v>
      </x:c>
      <x:c r="C51" s="53" t="str">
        <x:v>Silverquill College</x:v>
      </x:c>
      <x:c r="D51" s="53" t="n">
        <x:v>0.083333</x:v>
      </x:c>
      <x:c r="E51" s="54" t="b">
        <x:v>0</x:v>
      </x:c>
      <x:c r="F51" s="53" t="str"/>
    </x:row>
    <x:row r="52">
      <x:c r="A52" s="53" t="n">
        <x:v>15</x:v>
      </x:c>
      <x:c r="B52" s="53" t="str">
        <x:v>UR</x:v>
      </x:c>
      <x:c r="C52" s="53" t="str">
        <x:v>Izzet League</x:v>
      </x:c>
      <x:c r="D52" s="53" t="n">
        <x:v>0.083333</x:v>
      </x:c>
      <x:c r="E52" s="54" t="b">
        <x:v>0</x:v>
      </x:c>
      <x:c r="F52" s="53" t="str"/>
    </x:row>
    <x:row r="53">
      <x:c r="A53" s="53" t="n">
        <x:v>16</x:v>
      </x:c>
      <x:c r="B53" s="53" t="str">
        <x:v>W</x:v>
      </x:c>
      <x:c r="C53" s="53" t="str">
        <x:v>White</x:v>
      </x:c>
      <x:c r="D53" s="53" t="n">
        <x:v>0.083333</x:v>
      </x:c>
      <x:c r="E53" s="54" t="b">
        <x:v>0</x:v>
      </x:c>
      <x:c r="F53" s="53" t="str"/>
    </x:row>
    <x:row r="54">
      <x:c r="A54" s="53" t="n">
        <x:v>17</x:v>
      </x:c>
      <x:c r="B54" s="53" t="str">
        <x:v>B</x:v>
      </x:c>
      <x:c r="C54" s="53" t="str">
        <x:v>Black</x:v>
      </x:c>
      <x:c r="D54" s="53" t="n">
        <x:v>0.0625</x:v>
      </x:c>
      <x:c r="E54" s="54" t="b">
        <x:v>0</x:v>
      </x:c>
      <x:c r="F54" s="53" t="str"/>
    </x:row>
    <x:row r="55">
      <x:c r="A55" s="53" t="n">
        <x:v>18</x:v>
      </x:c>
      <x:c r="B55" s="53" t="str">
        <x:v>JESKAI</x:v>
      </x:c>
      <x:c r="C55" s="53" t="str">
        <x:v>Jeskai Way</x:v>
      </x:c>
      <x:c r="D55" s="53" t="n">
        <x:v>0.0625</x:v>
      </x:c>
      <x:c r="E55" s="54" t="b">
        <x:v>0</x:v>
      </x:c>
      <x:c r="F55" s="53" t="str"/>
    </x:row>
    <x:row r="56">
      <x:c r="A56" s="53" t="n">
        <x:v>19</x:v>
      </x:c>
      <x:c r="B56" s="53" t="str">
        <x:v>U</x:v>
      </x:c>
      <x:c r="C56" s="53" t="str">
        <x:v>Blue</x:v>
      </x:c>
      <x:c r="D56" s="53" t="n">
        <x:v>0.0625</x:v>
      </x:c>
      <x:c r="E56" s="54" t="b">
        <x:v>0</x:v>
      </x:c>
      <x:c r="F56" s="53" t="str"/>
    </x:row>
    <x:row r="57">
      <x:c r="A57" s="53" t="n">
        <x:v>20</x:v>
      </x:c>
      <x:c r="B57" s="53" t="str">
        <x:v>ABZAN</x:v>
      </x:c>
      <x:c r="C57" s="53" t="str">
        <x:v>Abzan Houses</x:v>
      </x:c>
      <x:c r="D57" s="53" t="n">
        <x:v>0</x:v>
      </x:c>
      <x:c r="E57" s="54" t="b">
        <x:v>0</x:v>
      </x:c>
      <x:c r="F57" s="53" t="str"/>
    </x:row>
    <x:row r="58">
      <x:c r="A58" s="53" t="n">
        <x:v>21</x:v>
      </x:c>
      <x:c r="B58" s="53" t="str">
        <x:v>BANT</x:v>
      </x:c>
      <x:c r="C58" s="53" t="str">
        <x:v>Bant</x:v>
      </x:c>
      <x:c r="D58" s="53" t="n">
        <x:v>0</x:v>
      </x:c>
      <x:c r="E58" s="54" t="b">
        <x:v>0</x:v>
      </x:c>
      <x:c r="F58" s="53" t="str"/>
    </x:row>
    <x:row r="59">
      <x:c r="A59" s="53" t="n">
        <x:v>22</x:v>
      </x:c>
      <x:c r="B59" s="53" t="str">
        <x:v>BG</x:v>
      </x:c>
      <x:c r="C59" s="53" t="str">
        <x:v>Golgari Swarm</x:v>
      </x:c>
      <x:c r="D59" s="53" t="n">
        <x:v>0</x:v>
      </x:c>
      <x:c r="E59" s="54" t="b">
        <x:v>0</x:v>
      </x:c>
      <x:c r="F59" s="53" t="str"/>
    </x:row>
    <x:row r="60">
      <x:c r="A60" s="53" t="n">
        <x:v>23</x:v>
      </x:c>
      <x:c r="B60" s="53" t="str">
        <x:v>COLORLESS</x:v>
      </x:c>
      <x:c r="C60" s="53" t="str">
        <x:v>Colorless</x:v>
      </x:c>
      <x:c r="D60" s="53" t="n">
        <x:v>0</x:v>
      </x:c>
      <x:c r="E60" s="54" t="b">
        <x:v>0</x:v>
      </x:c>
      <x:c r="F60" s="53" t="str"/>
    </x:row>
    <x:row r="61">
      <x:c r="A61" s="53" t="n">
        <x:v>24</x:v>
      </x:c>
      <x:c r="B61" s="53" t="str">
        <x:v>ESPER</x:v>
      </x:c>
      <x:c r="C61" s="53" t="str">
        <x:v>Esper</x:v>
      </x:c>
      <x:c r="D61" s="53" t="n">
        <x:v>0</x:v>
      </x:c>
      <x:c r="E61" s="54" t="b">
        <x:v>0</x:v>
      </x:c>
      <x:c r="F61" s="53" t="str"/>
    </x:row>
    <x:row r="62">
      <x:c r="A62" s="53" t="n">
        <x:v>25</x:v>
      </x:c>
      <x:c r="B62" s="53" t="str">
        <x:v>G</x:v>
      </x:c>
      <x:c r="C62" s="53" t="str">
        <x:v>Green</x:v>
      </x:c>
      <x:c r="D62" s="53" t="n">
        <x:v>0</x:v>
      </x:c>
      <x:c r="E62" s="54" t="b">
        <x:v>0</x:v>
      </x:c>
      <x:c r="F62" s="53" t="str"/>
    </x:row>
    <x:row r="63">
      <x:c r="A63" s="53" t="n">
        <x:v>26</x:v>
      </x:c>
      <x:c r="B63" s="53" t="str">
        <x:v>INK</x:v>
      </x:c>
      <x:c r="C63" s="53" t="str">
        <x:v>Ink / Altruism</x:v>
      </x:c>
      <x:c r="D63" s="53" t="n">
        <x:v>0</x:v>
      </x:c>
      <x:c r="E63" s="54" t="b">
        <x:v>0</x:v>
      </x:c>
      <x:c r="F63" s="53" t="str"/>
    </x:row>
    <x:row r="64">
      <x:c r="A64" s="53" t="n">
        <x:v>27</x:v>
      </x:c>
      <x:c r="B64" s="53" t="str">
        <x:v>LOREHOLD</x:v>
      </x:c>
      <x:c r="C64" s="53" t="str">
        <x:v>Lorehold College</x:v>
      </x:c>
      <x:c r="D64" s="53" t="n">
        <x:v>0</x:v>
      </x:c>
      <x:c r="E64" s="54" t="b">
        <x:v>0</x:v>
      </x:c>
      <x:c r="F64" s="53" t="str"/>
    </x:row>
    <x:row r="65">
      <x:c r="A65" s="53" t="n">
        <x:v>28</x:v>
      </x:c>
      <x:c r="B65" s="53" t="str">
        <x:v>QUANDRIX</x:v>
      </x:c>
      <x:c r="C65" s="53" t="str">
        <x:v>Quandrix College</x:v>
      </x:c>
      <x:c r="D65" s="53" t="n">
        <x:v>0</x:v>
      </x:c>
      <x:c r="E65" s="54" t="b">
        <x:v>0</x:v>
      </x:c>
      <x:c r="F65" s="53" t="str"/>
    </x:row>
    <x:row r="66">
      <x:c r="A66" s="53" t="n">
        <x:v>29</x:v>
      </x:c>
      <x:c r="B66" s="53" t="str">
        <x:v>SULTAI</x:v>
      </x:c>
      <x:c r="C66" s="53" t="str">
        <x:v>Sultai Brood</x:v>
      </x:c>
      <x:c r="D66" s="53" t="n">
        <x:v>0</x:v>
      </x:c>
      <x:c r="E66" s="54" t="b">
        <x:v>0</x:v>
      </x:c>
      <x:c r="F66" s="53" t="str"/>
    </x:row>
    <x:row r="67">
      <x:c r="A67" s="53" t="n">
        <x:v>30</x:v>
      </x:c>
      <x:c r="B67" s="53" t="str">
        <x:v>UG</x:v>
      </x:c>
      <x:c r="C67" s="53" t="str">
        <x:v>Simic Combine</x:v>
      </x:c>
      <x:c r="D67" s="53" t="n">
        <x:v>0</x:v>
      </x:c>
      <x:c r="E67" s="54" t="b">
        <x:v>0</x:v>
      </x:c>
      <x:c r="F67" s="53" t="str"/>
    </x:row>
    <x:row r="68">
      <x:c r="A68" s="53" t="n">
        <x:v>31</x:v>
      </x:c>
      <x:c r="B68" s="53" t="str">
        <x:v>WB</x:v>
      </x:c>
      <x:c r="C68" s="53" t="str">
        <x:v>Orzhov Syndicate</x:v>
      </x:c>
      <x:c r="D68" s="53" t="n">
        <x:v>0</x:v>
      </x:c>
      <x:c r="E68" s="54" t="b">
        <x:v>0</x:v>
      </x:c>
      <x:c r="F68" s="53" t="str"/>
    </x:row>
    <x:row r="69">
      <x:c r="A69" s="53" t="n">
        <x:v>32</x:v>
      </x:c>
      <x:c r="B69" s="53" t="str">
        <x:v>WG</x:v>
      </x:c>
      <x:c r="C69" s="53" t="str">
        <x:v>Selesnya Conclave</x:v>
      </x:c>
      <x:c r="D69" s="53" t="n">
        <x:v>0</x:v>
      </x:c>
      <x:c r="E69" s="54" t="b">
        <x:v>0</x:v>
      </x:c>
      <x:c r="F69" s="53" t="str"/>
    </x:row>
    <x:row r="70">
      <x:c r="A70" s="53" t="n">
        <x:v>33</x:v>
      </x:c>
      <x:c r="B70" s="53" t="str">
        <x:v>WITCH</x:v>
      </x:c>
      <x:c r="C70" s="53" t="str">
        <x:v>Witch / Growth</x:v>
      </x:c>
      <x:c r="D70" s="53" t="n">
        <x:v>0</x:v>
      </x:c>
      <x:c r="E70" s="54" t="b">
        <x:v>0</x:v>
      </x:c>
      <x:c r="F70" s="53" t="str"/>
    </x:row>
    <x:row r="71">
      <x:c r="A71" s="53" t="n">
        <x:v>34</x:v>
      </x:c>
      <x:c r="B71" s="53" t="str">
        <x:v>WITHERBLOOM</x:v>
      </x:c>
      <x:c r="C71" s="53" t="str">
        <x:v>Witherbloom College</x:v>
      </x:c>
      <x:c r="D71" s="53" t="n">
        <x:v>0</x:v>
      </x:c>
      <x:c r="E71" s="54" t="b">
        <x:v>0</x:v>
      </x:c>
      <x:c r="F71" s="53" t="str"/>
    </x:row>
    <x:row r="72">
      <x:c r="A72" s="53" t="n">
        <x:v>35</x:v>
      </x:c>
      <x:c r="B72" s="53" t="str">
        <x:v>WU</x:v>
      </x:c>
      <x:c r="C72" s="53" t="str">
        <x:v>Azorius Senate</x:v>
      </x:c>
      <x:c r="D72" s="53" t="n">
        <x:v>0</x:v>
      </x:c>
      <x:c r="E72" s="54" t="b">
        <x:v>0</x:v>
      </x:c>
      <x:c r="F72" s="53" t="str"/>
    </x:row>
    <x:row r="73">
      <x:c r="A73" s="53" t="n">
        <x:v>36</x:v>
      </x:c>
      <x:c r="B73" s="53" t="str">
        <x:v>WUBRG</x:v>
      </x:c>
      <x:c r="C73" s="53" t="str">
        <x:v>Five-Color / WUBRG</x:v>
      </x:c>
      <x:c r="D73" s="53" t="n">
        <x:v>0</x:v>
      </x:c>
      <x:c r="E73" s="54" t="b">
        <x:v>0</x:v>
      </x:c>
      <x:c r="F73" s="53" t="str"/>
    </x:row>
    <x:row r="74">
      <x:c r="A74" s="53" t="n">
        <x:v>37</x:v>
      </x:c>
      <x:c r="B74" s="53" t="str">
        <x:v>YORE</x:v>
      </x:c>
      <x:c r="C74" s="53" t="str">
        <x:v>Yore / Artifice</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"BR",
  "faction_name": "Cult of Rakdos",
  "institution_type": "guild",
  "world": "Ravnica",
  "identity": {
    "core_color": "B",
    "secondary_colors": [
      "R"
    ],
    "secondary_color": "R",
    "expression_key": "BR",
    "expression_name": "Cult of Rakdos",
    "expression_kind": "guild",
    "purity": null,
    "routing": {
      "edhrec_slug": "rakdos",
      "mtgdecks_slug": "rakdos",
      "label": "Rakdos"
    }
  },
  "decree": "Cult of Rakdos is the clearest current fit from the approved observations.",
  "confidence": 0.045,
  "confidence_gap": 1,
  "mana_scores": {
    "W": 8,
    "U": 8,
    "B": 9,
    "R": 10,
    "G": 9
  },
  "top_matches": [
    {
      "rank": 1,
      "faction": "BR",
      "faction_name": "Cult of Rakdos",
      "institution_type": "guild",
      "world": "Ravnica",
      "identity": {
        "core_color": "B",
        "secondary_colors": [
          "R"
        ],
        "secondary_color": "R",
        "expression_key": "BR",
        "expression_name": "Cult of Rakdos",
        "expression_kind": "guild",
        "purity": null,
        "routing": {
          "edhrec_slug": "rakdos",
          "mtgdecks_slug": "rakdos",
          "label": "Rakdos"
        }
      },
      "score": 0.729167,
      "confidence": 0.045,
      "reason": "Cult of Rakdos remained plausible through C04, C11; identity mapping remains a hypothesis."
    }
  ],
  "adjacent_matches": [],
  "internal_candidate_order": [
    {
      "identity": "BR",
      "score": 0.729167,
      "positive_dependencies": 2,
      "qualification_dependencies": 2,
      "naming_dependencies": 1,
      "positive_constructs": [
        "C07",
        "C11"
      ],
      "satisfied_naming_rule_ids": [
        "instrument_completion_overlay:b1.hall.pressure.v1.burst:BR"
      ],
      "naming_qualification": {
        "identity": "BR",
        "qualified": true,
        "satisfied_naming_rule_ids": [
          "instrument_completion_overlay:b1.hall.pressure.v1.burst:BR"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"PRISMARI",
      "score": 0.729167,
      "positive_dependencies": 2,
      "qualification_dependencies": 2,
      "naming_dependencies": 0,
      "positive_constructs": [
        "C07",
        "C11"
      ],
      "satisfied_naming_rule_ids": [],
      "naming_qualification": {
        "identity": "PRISMARI",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"R",
      "score": 0.625,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"C11"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"GLINT",
      "score": 0.166667,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"NAYA",
      "score": 0.166667,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x:v>
      </x:c>
    </x:row>
    <x:row r="78">
      <x:c r="A78" s="53" t="str">
        <x:v>Part 2/3</x:v>
      </x:c>
      <x:c r="B78" s="53" t="str">
        <x:v>":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"BR",
    "PRISMARI",
    "R",
    "JUND",
    "RG"
  ],
  "alternatives": [],
  "refinement": {
    "kind": "revisit_prior_answer",
    "can_reduce_ambiguity": true,
    "remaining_candidates": [
      "BR",
      "PRISMARI",
      "R",
      "JUND",
      "RG"
    ],
    "unresolved_boundaries": [
      {
        "pair_id": "BR__JUND",
        "identities": [
          "BR",
          "JUND"
        ],
        "distinction": "BR uses Threat posture evidence; JUND uses Initiative posture evidence. No direct pair claim is made.",
        "question_ids": [
          "b1.hall.threat.v1",
          "b1.gate.initiative.v1",
          "b1.crucible.mono-multi.v1",
          "b1.hall.sacrifice.v1",
          "b1.hall.pressure.v1"
        ],
        "coverage_status": "DIRECT-OR-STRUCTURAL-MAPPING-HYPOTHESIS; bounded player validation required"
      },
      {
        "pair_id": "JUND__PRISMARI",
        "identities": [
          "JUND",
          "PRISMARI"
        ],
        "distinction": "JUND uses Initiative posture evidence; PRISMARI uses Advantage tempo evidence. No direct pair claim is made.",
        "question_ids": [
          "b1.gate.initiative.v1",
          "b1.gate.tempo.v1",
          "b1.crucible.mono-multi.v1",
          "b1.crucible.ur.v1",
          "b1.hall.sacrifice.v1",
          "b1.hall.threat.v1",
          "b1.hall.pressure.v1",
          "b1.crucible.disruption-boundary.v1"
        ],
        "coverage_status": "DIRECT-OR-STRUCTURAL-MAPPING-HYPOTHESIS; bounded player validation required"
      }
    ],
    "missing_constructs": [
      "C10",
      "C12"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true,
    "next_question_id": "b1.hall.sacrifice.v1"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"b1.hall.pressure.v1.burst",
      "stage": "hall",
      "construct": "C07",
      "bounded_observation": "Prefers a concentrated exposed payoff during the opening.",
      "signal": "SIG_C07_VISIBLE_BURST",
      "dependency_group": "DG_C07",
      "evidence_class": "BEHAVIORAL_OBSERVATION",
      "affected_identities": [
        "BR",
        "PRISMARI"
      ],
      "positive_support": [
        "BR",
        "PRISMARI"
      ],
      "contradiction": [],
      "neutral": false,
      "mapping_strength": 1,
      "naming_evidence": true,
      "qualification_eligible": true,
      "qualification_support": [
        "BR",
        "PRISMARI"
      ],
      "naming_support": [
        "BR"
      ],
      "naming_rule_ids_by_identity": {
        "BR": [
          "instrument_completion_overlay:b1.hall.pressure.v1.burst:BR"
        ]
      },
      "mapping_role": "completion_boundary_direction",
      "mapping_status": "REMEDIATION_MAPPING_HYPOTHESIS",
      "mapping_provenance": "docs/plans/vm551-gate-b1-instrument-completion/instrument-change-adjudication.tsv#b1.hall.pressure.v1.burst;docs/audits/vm555-b1-identity-evidence-gap-bridge/identity-evidence-gap-matrix.tsv",
      "evidence_provenance": "E-VM555;E-CERTIFIED;E-CECOS;E-PLAYER-LANGUAGE",
      "limitation": "Combo and efficient decks may also concentrate resources into one turn for unrelated reasons.",
      "behavioral_vs_lens": "behavioral",
      "answer_title": "Make one visible turn count",
      "prompt": "The player ahead uses all their mana and leaves one turn where the table can take control. Which kind of pressure do you want your deck to create?",
      "observation": "Prefers a concentrated exposed payoff during the opening.",
      "deltas": [
        {
          "faction": "BR",
          "delta": 1
        },
        {
          "faction": "PRISMARI",
          "delta": 1
        }
      ]
    },
    {
      "question_id": "b1.hall.threat.v1",
      "answer_id": "b1.hall.threat.v1.embrace",
      "stage": "hall",
      "construct": "C11",
      "bounded_observation": "Accepts visible threat status.",
      "signal": "SIG_C11_EMBRACE",
      "dependency_group": "DG_C11",
      "evidence_class": "BEHAVIORAL_OBSERVATION",
      "affected_identities": [
        "BR",
        "PRISMARI"
      ],
      "positive_support": [
        "BR",
        "PRISMARI"
      ],
      "contradiction": [],
      "neutral": false,
      "mapping_strength": 0.5,
      "naming_evidence": false,
      "qualification_eligible": true,
      "qualification_support": [
        "BR",
        "PRISMARI"
      ],
      "naming_support": [],
      "naming_rule_ids_by_identity": {},
      "mapping_role": "completion_corroboration_direction",
      "mapping_status": "REMEDIATION_MAPPING_HYPOTHESIS",
      "mapping_provenance": "docs/plans/vm551-gate-b1-instrument-completion/instrument-change-adjudication.tsv#b1.hall.threat.v1.embrace;docs/audits/vm555-b1-identity-evidence-gap-bridge/identity-evidence-gap-matrix.tsv",
      "evidence_provenance": "E-PLAYER-THREAT;E-PLAYER-COMMANDER;E-CECOS;E-VOICE",
      "limitation": "Observation wording and identity association require player validation; no weight is authorized.",
      "behavioral_vs_lens": "behavioral",
      "answer_title": "Make them answer it",
      "prompt": "If your board becomes the clearest threat, how do you want the deck to handle that attention?",
      "observation": "Accepts visible threat status.",
      "deltas": [
        {
          "faction": "BR",
          "delta": 0.5
        },
        {
          "faction": "PRISMARI",
          "delta": 0.5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"b1.hall.pressure.v1.burst",
      "stage": "hall",
      "construct": "C07",
      "bounded_observation": "Prefers a concentrated exposed payoff during the opening.",
      "signal": "SIG_C07_VISIBLE_BURST",
      "dependency_group": "DG_C07",
      "evidence_class": "BEHAVIORAL_OBSERVATION",
      "affected_identities": [
        "BR",
        "PRISMARI"
      ],
      "positive_support": [
        "BR",
        "PRISMARI"
      ],
      "contradiction": [],
      "neutral": false,
      "mapping_strength": 1,
      "naming_evidence": true,
      "qualification_eligible": true,
      "qualification_support": [
        "BR",
        "PRISMARI"
      ],
      "naming_support": [
        "BR"
      ],
      "naming_rule_ids_by_identity": {
        "BR": [
          "instrument_completion_overlay:b1.hall.pressure.v1.burst:BR"
        ]
      },
      "mapping_role": "completion_boundary_direction",
      "mapping_status": "REMEDIATION_MAPPING_HYPOTHESIS",
      "mapping_provenance": "docs/plans/vm551-gate-b1-instrument-completion/instrument-change-adjudication.tsv#b1.hall.pressure.v1.burst;docs/audits/vm555-b1-identity-evidence-gap-bridge/identity-evidence-gap-matrix.tsv",
      "evidence_provenance": "E-VM555;E-CERTIFIED;E-CECOS;E-PLAYER-LANGUAGE",
      "limitation": "Combo and efficient decks may also concentrate resources into one turn for unrelated reasons.",
      "behavioral_vs_lens": "behavioral"
    },
    {
      "question_id": "b1.hall.threat.v1",
      "answer_id": "b1.hall.threat.v1.e</x:v>
      </x:c>
    </x:row>
    <x:row r="79">
      <x:c r="A79" s="53" t="str">
        <x:v>Part 3/3</x:v>
      </x:c>
      <x:c r="B79" s="53" t="str">
        <x:v>mbrace",
      "stage": "hall",
      "construct": "C11",
      "bounded_observation": "Accepts visible threat status.",
      "signal": "SIG_C11_EMBRACE",
      "dependency_group": "DG_C11",
      "evidence_class": "BEHAVIORAL_OBSERVATION",
      "affected_identities": [
        "BR",
        "PRISMARI"
      ],
      "positive_support": [
        "BR",
        "PRISMARI"
      ],
      "contradiction": [],
      "neutral": false,
      "mapping_strength": 0.5,
      "naming_evidence": false,
      "qualification_eligible": true,
      "qualification_support": [
        "BR",
        "PRISMARI"
      ],
      "naming_support": [],
      "naming_rule_ids_by_identity": {},
      "mapping_role": "completion_corroboration_direction",
      "mapping_status": "REMEDIATION_MAPPING_HYPOTHESIS",
      "mapping_provenance": "docs/plans/vm551-gate-b1-instrument-completion/instrument-change-adjudication.tsv#b1.hall.threat.v1.embrace;docs/audits/vm555-b1-identity-evidence-gap-bridge/identity-evidence-gap-matrix.tsv",
      "evidence_provenance": "E-PLAYER-THREAT;E-PLAYER-COMMANDER;E-CECOS;E-VOICE",
      "limitation": "Observation wording and identity association require player validation; no weight is authorized.",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"b1.hall.pressure.v1.burst",
      "stage": "hall",
      "evidence_class": "BEHAVIORAL_OBSERVATION"
    },
    {
      "question_id": "b1.hall.threat.v1",
      "answer_id": "b1.hall.threat.v1.embrace",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6:T36"/>
    <x:mergeCell ref="A76:T76"/>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Golgari Swarm — Engine Trace</x:v>
      </x:c>
      <x:c r="B1" s="3"/>
      <x:c r="C1" s="3"/>
      <x:c r="D1" s="3"/>
      <x:c r="E1" s="3"/>
      <x:c r="F1" s="3"/>
      <x:c r="G1" s="3"/>
      <x:c r="H1" s="3"/>
      <x:c r="I1" s="3"/>
      <x:c r="J1" s="3"/>
      <x:c r="K1" s="3"/>
      <x:c r="L1" s="3"/>
      <x:c r="M1" s="3"/>
      <x:c r="N1" s="3"/>
      <x:c r="O1" s="3"/>
      <x:c r="P1" s="3"/>
      <x:c r="Q1" s="3"/>
      <x:c r="R1" s="3"/>
      <x:c r="S1" s="3"/>
      <x:c r="T1" s="3"/>
    </x:row>
    <x:row r="2" ht="30" customHeight="1">
      <x:c r="A2" s="7" t="str">
        <x:v>ENGINE-BG • PASS_MATCH • primary • trace 94040a4971ca889a74d21c47594a140efe9ab02f6b15fa84bb4b1b83a6f4bf4b</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BG</x:v>
      </x:c>
    </x:row>
    <x:row r="6">
      <x:c r="A6" s="53" t="str">
        <x:v>Expected public contract</x:v>
      </x:c>
      <x:c r="B6" s="53" t="str">
        <x:v>NAMED_DOSSIER</x:v>
      </x:c>
    </x:row>
    <x:row r="7">
      <x:c r="A7" s="53" t="str">
        <x:v>Witness status</x:v>
      </x:c>
      <x:c r="B7" s="53" t="str">
        <x:v>CURRENT_COMPATIBLE</x:v>
      </x:c>
    </x:row>
    <x:row r="8">
      <x:c r="A8" s="53" t="str">
        <x:v>Actual result</x:v>
      </x:c>
      <x:c r="B8" s="53" t="str">
        <x:v>BG</x:v>
      </x:c>
    </x:row>
    <x:row r="9">
      <x:c r="A9" s="53" t="str">
        <x:v>Directional result</x:v>
      </x:c>
      <x:c r="B9" s="53" t="str">
        <x:v>BG</x:v>
      </x:c>
    </x:row>
    <x:row r="10">
      <x:c r="A10" s="53" t="str">
        <x:v>Public state</x:v>
      </x:c>
      <x:c r="B10" s="53" t="str">
        <x:v>current-best-fit</x:v>
      </x:c>
    </x:row>
    <x:row r="11">
      <x:c r="A11" s="53" t="str">
        <x:v>Raw numeric leader</x:v>
      </x:c>
      <x:c r="B11" s="53" t="str">
        <x:v>BG</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BG</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outputs/01a02cd6-bce7-7832-9558-3075c52f146a/archscry-current-state-2026-08-22/evidence/engine/traces/bg.json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b1.gate.disruption.v1.limit</x:v>
      </x:c>
      <x:c r="G31" s="53" t="str">
        <x:v>Less exposed in the first place</x:v>
      </x:c>
      <x:c r="H31" s="53" t="str">
        <x:v>C03</x:v>
      </x:c>
      <x:c r="I31" s="53" t="str">
        <x:v>SIG_C03_LIMIT_EXPOSURE</x:v>
      </x:c>
      <x:c r="J31" s="53" t="str">
        <x:v>DG_C03</x:v>
      </x:c>
      <x:c r="K31" s="53" t="str">
        <x:v>BEHAVIORAL_OBSERVATION</x:v>
      </x:c>
      <x:c r="L31" s="53" t="str"/>
      <x:c r="M31" s="53" t="str"/>
      <x:c r="N31" s="53" t="n">
        <x:v>0</x:v>
      </x:c>
      <x:c r="O31" s="54" t="b">
        <x:v>0</x:v>
      </x:c>
      <x:c r="P31" s="53" t="str">
        <x:v>OBSERVATION_ONLY</x:v>
      </x:c>
      <x:c r="Q31" s="53" t="str">
        <x:v>Prefers reduced exposure to broad disruption.</x:v>
      </x:c>
      <x:c r="R31" s="53" t="str">
        <x:v>Observation wording and identity association require player validation; no weight is authorized.</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b1.hall.interaction-window.v1.split</x:v>
      </x:c>
      <x:c r="G33" s="53" t="str">
        <x:v>Advance with one answer ready</x:v>
      </x:c>
      <x:c r="H33" s="53" t="str">
        <x:v>C08</x:v>
      </x:c>
      <x:c r="I33" s="53" t="str">
        <x:v>SIG_C08_SPLIT</x:v>
      </x:c>
      <x:c r="J33" s="53" t="str">
        <x:v>DG_C08</x:v>
      </x:c>
      <x:c r="K33" s="53" t="str">
        <x:v>BEHAVIORAL_OBSERVATION</x:v>
      </x:c>
      <x:c r="L33" s="53" t="str">
        <x:v>JESKAI | UR</x:v>
      </x:c>
      <x:c r="M33" s="53" t="str"/>
      <x:c r="N33" s="53" t="n">
        <x:v>0.5</x:v>
      </x:c>
      <x:c r="O33" s="54" t="b">
        <x:v>0</x:v>
      </x:c>
      <x:c r="P33" s="53" t="str">
        <x:v>REMEDIATION_MAPPING_HYPOTHESIS</x:v>
      </x:c>
      <x:c r="Q33" s="53" t="str">
        <x:v>Prefers split commitment between development and one bounded response.</x:v>
      </x:c>
      <x:c r="R33" s="53" t="str">
        <x:v>Efficient curves can produce this line without a stable interaction preference.</x:v>
      </x:c>
      <x:c r="S33" s="53" t="str">
        <x:v>JESKAI</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b1.hall.engine-shape.v1.overlap</x:v>
      </x:c>
      <x:c r="G34" s="53" t="str">
        <x:v>Let smaller engines overlap</x:v>
      </x:c>
      <x:c r="H34" s="53" t="str">
        <x:v>C06</x:v>
      </x:c>
      <x:c r="I34" s="53" t="str">
        <x:v>SIG_C06_MODULAR</x:v>
      </x:c>
      <x:c r="J34" s="53" t="str">
        <x:v>DG_C06</x:v>
      </x:c>
      <x:c r="K34" s="53" t="str">
        <x:v>BEHAVIORAL_OBSERVATION</x:v>
      </x:c>
      <x:c r="L34" s="53" t="str">
        <x:v>BG | UR | WITHERBLOOM</x:v>
      </x:c>
      <x:c r="M34" s="53" t="str"/>
      <x:c r="N34" s="53" t="n">
        <x:v>0.5</x:v>
      </x:c>
      <x:c r="O34" s="54" t="b">
        <x:v>0</x:v>
      </x:c>
      <x:c r="P34" s="53" t="str">
        <x:v>REMEDIATION_MAPPING_HYPOTHESIS</x:v>
      </x:c>
      <x:c r="Q34" s="53" t="str">
        <x:v>Prefers modular engines whose functions overlap.</x:v>
      </x:c>
      <x:c r="R34" s="53" t="str">
        <x:v>Overlapping packages may be required by singleton deck construction.</x:v>
      </x:c>
      <x:c r="S34" s="53" t="str">
        <x:v>BG</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b1.hall.setup.v1.change</x:v>
      </x:c>
      <x:c r="G35" s="53" t="str">
        <x:v>Change plans for this game</x:v>
      </x:c>
      <x:c r="H35" s="53" t="str">
        <x:v>C14</x:v>
      </x:c>
      <x:c r="I35" s="53" t="str">
        <x:v>SIG_C14_BOARD_RESPONSIVE</x:v>
      </x:c>
      <x:c r="J35" s="53" t="str">
        <x:v>DG_C14</x:v>
      </x:c>
      <x:c r="K35" s="53" t="str">
        <x:v>BEHAVIORAL_OBSERVATION</x:v>
      </x:c>
      <x:c r="L35" s="53" t="str">
        <x:v>GLINT | TEMUR</x:v>
      </x:c>
      <x:c r="M35" s="53" t="str"/>
      <x:c r="N35" s="53" t="n">
        <x:v>0.5</x:v>
      </x:c>
      <x:c r="O35" s="54" t="b">
        <x:v>0</x:v>
      </x:c>
      <x:c r="P35" s="53" t="str">
        <x:v>REMEDIATION_MAPPING_HYPOTHESIS</x:v>
      </x:c>
      <x:c r="Q35" s="53" t="str">
        <x:v>Prefers board-responsive development over preserving a stalled long plan.</x:v>
      </x:c>
      <x:c r="R35" s="53" t="str">
        <x:v>A clearly lost setup can make changing plans tactically mandatory.</x:v>
      </x:c>
      <x:c r="S35" s="53" t="str">
        <x:v>BG</x:v>
      </x:c>
      <x:c r="T35" s="53" t="str">
        <x:v>incomplete / useful_evidence_remains / b1.crucible.bg.v1</x:v>
      </x:c>
    </x:row>
    <x:row r="36">
      <x:c r="A36" s="53" t="n">
        <x:v>8</x:v>
      </x:c>
      <x:c r="B36" s="53" t="str">
        <x:v>main</x:v>
      </x:c>
      <x:c r="C36" s="53" t="str">
        <x:v>crucible</x:v>
      </x:c>
      <x:c r="D36" s="53" t="str">
        <x:v>b1.crucible.bg.v1</x:v>
      </x:c>
      <x:c r="E36" s="53" t="str">
        <x:v>Several cards from your battlefield went to your graveyard. What do you want that loss to enable?</x:v>
      </x:c>
      <x:c r="F36" s="53" t="str">
        <x:v>b1.crucible.bg.v1.reclaim</x:v>
      </x:c>
      <x:c r="G36" s="53" t="str">
        <x:v>Use the same resources again</x:v>
      </x:c>
      <x:c r="H36" s="53" t="str">
        <x:v>C12</x:v>
      </x:c>
      <x:c r="I36" s="53" t="str">
        <x:v>SIG_C12_RECYCLE</x:v>
      </x:c>
      <x:c r="J36" s="53" t="str">
        <x:v>DG_C12</x:v>
      </x:c>
      <x:c r="K36" s="53" t="str">
        <x:v>BEHAVIORAL_OBSERVATION</x:v>
      </x:c>
      <x:c r="L36" s="53" t="str">
        <x:v>BG</x:v>
      </x:c>
      <x:c r="M36" s="53" t="str">
        <x:v>WITHERBLOOM</x:v>
      </x:c>
      <x:c r="N36" s="53" t="n">
        <x:v>1</x:v>
      </x:c>
      <x:c r="O36" s="54" t="b">
        <x:v>1</x:v>
      </x:c>
      <x:c r="P36" s="53" t="str">
        <x:v>MAPPING_HYPOTHESIS</x:v>
      </x:c>
      <x:c r="Q36" s="53" t="str">
        <x:v>Prefers reclamation and reuse.</x:v>
      </x:c>
      <x:c r="R36" s="53" t="str">
        <x:v>Use only after prior independent observations leave the stated competitor boundary plausible; the identity association requires player validation.</x:v>
      </x:c>
      <x:c r="S36" s="53" t="str">
        <x:v>BG</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BG</x:v>
      </x:c>
      <x:c r="C40" s="53" t="str">
        <x:v>Golgari Swarm</x:v>
      </x:c>
      <x:c r="D40" s="53" t="n">
        <x:v>0.8125</x:v>
      </x:c>
      <x:c r="E40" s="54" t="b">
        <x:v>1</x:v>
      </x:c>
      <x:c r="F40" s="53" t="str">
        <x:v>C06 | C12</x:v>
      </x:c>
    </x:row>
    <x:row r="41">
      <x:c r="A41" s="53" t="n">
        <x:v>2</x:v>
      </x:c>
      <x:c r="B41" s="53" t="str">
        <x:v>TEMUR</x:v>
      </x:c>
      <x:c r="C41" s="53" t="str">
        <x:v>Temur Frontier</x:v>
      </x:c>
      <x:c r="D41" s="53" t="n">
        <x:v>0.541667</x:v>
      </x:c>
      <x:c r="E41" s="54" t="b">
        <x:v>0</x:v>
      </x:c>
      <x:c r="F41" s="53" t="str">
        <x:v>C14</x:v>
      </x:c>
    </x:row>
    <x:row r="42">
      <x:c r="A42" s="53" t="n">
        <x:v>3</x:v>
      </x:c>
      <x:c r="B42" s="53" t="str">
        <x:v>JESKAI</x:v>
      </x:c>
      <x:c r="C42" s="53" t="str">
        <x:v>Jeskai Way</x:v>
      </x:c>
      <x:c r="D42" s="53" t="n">
        <x:v>0.5</x:v>
      </x:c>
      <x:c r="E42" s="54" t="b">
        <x:v>0</x:v>
      </x:c>
      <x:c r="F42" s="53" t="str">
        <x:v>C01 | C08</x:v>
      </x:c>
    </x:row>
    <x:row r="43">
      <x:c r="A43" s="53" t="n">
        <x:v>4</x:v>
      </x:c>
      <x:c r="B43" s="53" t="str">
        <x:v>UR</x:v>
      </x:c>
      <x:c r="C43" s="53" t="str">
        <x:v>Izzet League</x:v>
      </x:c>
      <x:c r="D43" s="53" t="n">
        <x:v>0.458333</x:v>
      </x:c>
      <x:c r="E43" s="54" t="b">
        <x:v>0</x:v>
      </x:c>
      <x:c r="F43" s="53" t="str">
        <x:v>C06 | C08</x:v>
      </x:c>
    </x:row>
    <x:row r="44">
      <x:c r="A44" s="53" t="n">
        <x:v>5</x:v>
      </x:c>
      <x:c r="B44" s="53" t="str">
        <x:v>GLINT</x:v>
      </x:c>
      <x:c r="C44" s="53" t="str">
        <x:v>Glint / Chaos</x:v>
      </x:c>
      <x:c r="D44" s="53" t="n">
        <x:v>0.458333</x:v>
      </x:c>
      <x:c r="E44" s="54" t="b">
        <x:v>0</x:v>
      </x:c>
      <x:c r="F44" s="53" t="str">
        <x:v>C14</x:v>
      </x:c>
    </x:row>
    <x:row r="45">
      <x:c r="A45" s="53" t="n">
        <x:v>6</x:v>
      </x:c>
      <x:c r="B45" s="53" t="str">
        <x:v>UG</x:v>
      </x:c>
      <x:c r="C45" s="53" t="str">
        <x:v>Simic Combine</x:v>
      </x:c>
      <x:c r="D45" s="53" t="n">
        <x:v>0.25</x:v>
      </x:c>
      <x:c r="E45" s="54" t="b">
        <x:v>0</x:v>
      </x:c>
      <x:c r="F45" s="53" t="str"/>
    </x:row>
    <x:row r="46">
      <x:c r="A46" s="53" t="n">
        <x:v>7</x:v>
      </x:c>
      <x:c r="B46" s="53" t="str">
        <x:v>SULTAI</x:v>
      </x:c>
      <x:c r="C46" s="53" t="str">
        <x:v>Sultai Brood</x:v>
      </x:c>
      <x:c r="D46" s="53" t="n">
        <x:v>0.25</x:v>
      </x:c>
      <x:c r="E46" s="54" t="b">
        <x:v>0</x:v>
      </x:c>
      <x:c r="F46" s="53" t="str"/>
    </x:row>
    <x:row r="47">
      <x:c r="A47" s="53" t="n">
        <x:v>8</x:v>
      </x:c>
      <x:c r="B47" s="53" t="str">
        <x:v>GRIXIS</x:v>
      </x:c>
      <x:c r="C47" s="53" t="str">
        <x:v>Grixis</x:v>
      </x:c>
      <x:c r="D47" s="53" t="n">
        <x:v>0.1875</x:v>
      </x:c>
      <x:c r="E47" s="54" t="b">
        <x:v>0</x:v>
      </x:c>
      <x:c r="F47" s="53" t="str"/>
    </x:row>
    <x:row r="48">
      <x:c r="A48" s="53" t="n">
        <x:v>9</x:v>
      </x:c>
      <x:c r="B48" s="53" t="str">
        <x:v>U</x:v>
      </x:c>
      <x:c r="C48" s="53" t="str">
        <x:v>Blue</x:v>
      </x:c>
      <x:c r="D48" s="53" t="n">
        <x:v>0.1875</x:v>
      </x:c>
      <x:c r="E48" s="54" t="b">
        <x:v>0</x:v>
      </x:c>
      <x:c r="F48" s="53" t="str"/>
    </x:row>
    <x:row r="49">
      <x:c r="A49" s="53" t="n">
        <x:v>10</x:v>
      </x:c>
      <x:c r="B49" s="53" t="str">
        <x:v>ABZAN</x:v>
      </x:c>
      <x:c r="C49" s="53" t="str">
        <x:v>Abzan Houses</x:v>
      </x:c>
      <x:c r="D49" s="53" t="n">
        <x:v>0.166667</x:v>
      </x:c>
      <x:c r="E49" s="54" t="b">
        <x:v>0</x:v>
      </x:c>
      <x:c r="F49" s="53" t="str"/>
    </x:row>
    <x:row r="50">
      <x:c r="A50" s="53" t="n">
        <x:v>11</x:v>
      </x:c>
      <x:c r="B50" s="53" t="str">
        <x:v>G</x:v>
      </x:c>
      <x:c r="C50" s="53" t="str">
        <x:v>Green</x:v>
      </x:c>
      <x:c r="D50" s="53" t="n">
        <x:v>0.166667</x:v>
      </x:c>
      <x:c r="E50" s="54" t="b">
        <x:v>0</x:v>
      </x:c>
      <x:c r="F50" s="53" t="str"/>
    </x:row>
    <x:row r="51">
      <x:c r="A51" s="53" t="n">
        <x:v>12</x:v>
      </x:c>
      <x:c r="B51" s="53" t="str">
        <x:v>JUND</x:v>
      </x:c>
      <x:c r="C51" s="53" t="str">
        <x:v>Jund</x:v>
      </x:c>
      <x:c r="D51" s="53" t="n">
        <x:v>0.166667</x:v>
      </x:c>
      <x:c r="E51" s="54" t="b">
        <x:v>0</x:v>
      </x:c>
      <x:c r="F51" s="53" t="str"/>
    </x:row>
    <x:row r="52">
      <x:c r="A52" s="53" t="n">
        <x:v>13</x:v>
      </x:c>
      <x:c r="B52" s="53" t="str">
        <x:v>LOREHOLD</x:v>
      </x:c>
      <x:c r="C52" s="53" t="str">
        <x:v>Lorehold College</x:v>
      </x:c>
      <x:c r="D52" s="53" t="n">
        <x:v>0.166667</x:v>
      </x:c>
      <x:c r="E52" s="54" t="b">
        <x:v>0</x:v>
      </x:c>
      <x:c r="F52" s="53" t="str"/>
    </x:row>
    <x:row r="53">
      <x:c r="A53" s="53" t="n">
        <x:v>14</x:v>
      </x:c>
      <x:c r="B53" s="53" t="str">
        <x:v>QUANDRIX</x:v>
      </x:c>
      <x:c r="C53" s="53" t="str">
        <x:v>Quandrix College</x:v>
      </x:c>
      <x:c r="D53" s="53" t="n">
        <x:v>0.166667</x:v>
      </x:c>
      <x:c r="E53" s="54" t="b">
        <x:v>0</x:v>
      </x:c>
      <x:c r="F53" s="53" t="str"/>
    </x:row>
    <x:row r="54">
      <x:c r="A54" s="53" t="n">
        <x:v>15</x:v>
      </x:c>
      <x:c r="B54" s="53" t="str">
        <x:v>WITCH</x:v>
      </x:c>
      <x:c r="C54" s="53" t="str">
        <x:v>Witch / Growth</x:v>
      </x:c>
      <x:c r="D54" s="53" t="n">
        <x:v>0.166667</x:v>
      </x:c>
      <x:c r="E54" s="54" t="b">
        <x:v>0</x:v>
      </x:c>
      <x:c r="F54" s="53" t="str"/>
    </x:row>
    <x:row r="55">
      <x:c r="A55" s="53" t="n">
        <x:v>16</x:v>
      </x:c>
      <x:c r="B55" s="53" t="str">
        <x:v>WR</x:v>
      </x:c>
      <x:c r="C55" s="53" t="str">
        <x:v>Boros Legion</x:v>
      </x:c>
      <x:c r="D55" s="53" t="n">
        <x:v>0.166667</x:v>
      </x:c>
      <x:c r="E55" s="54" t="b">
        <x:v>0</x:v>
      </x:c>
      <x:c r="F55" s="53" t="str"/>
    </x:row>
    <x:row r="56">
      <x:c r="A56" s="53" t="n">
        <x:v>17</x:v>
      </x:c>
      <x:c r="B56" s="53" t="str">
        <x:v>YORE</x:v>
      </x:c>
      <x:c r="C56" s="53" t="str">
        <x:v>Yore / Artifice</x:v>
      </x:c>
      <x:c r="D56" s="53" t="n">
        <x:v>0.166667</x:v>
      </x:c>
      <x:c r="E56" s="54" t="b">
        <x:v>0</x:v>
      </x:c>
      <x:c r="F56" s="53" t="str"/>
    </x:row>
    <x:row r="57">
      <x:c r="A57" s="53" t="n">
        <x:v>18</x:v>
      </x:c>
      <x:c r="B57" s="53" t="str">
        <x:v>WITHERBLOOM</x:v>
      </x:c>
      <x:c r="C57" s="53" t="str">
        <x:v>Witherbloom College</x:v>
      </x:c>
      <x:c r="D57" s="53" t="n">
        <x:v>0.15625</x:v>
      </x:c>
      <x:c r="E57" s="54" t="b">
        <x:v>0</x:v>
      </x:c>
      <x:c r="F57" s="53" t="str">
        <x:v>C06</x:v>
      </x:c>
    </x:row>
    <x:row r="58">
      <x:c r="A58" s="53" t="n">
        <x:v>19</x:v>
      </x:c>
      <x:c r="B58" s="53" t="str">
        <x:v>ESPER</x:v>
      </x:c>
      <x:c r="C58" s="53" t="str">
        <x:v>Esper</x:v>
      </x:c>
      <x:c r="D58" s="53" t="n">
        <x:v>0.125</x:v>
      </x:c>
      <x:c r="E58" s="54" t="b">
        <x:v>0</x:v>
      </x:c>
      <x:c r="F58" s="53" t="str"/>
    </x:row>
    <x:row r="59">
      <x:c r="A59" s="53" t="n">
        <x:v>20</x:v>
      </x:c>
      <x:c r="B59" s="53" t="str">
        <x:v>UB</x:v>
      </x:c>
      <x:c r="C59" s="53" t="str">
        <x:v>House Dimir</x:v>
      </x:c>
      <x:c r="D59" s="53" t="n">
        <x:v>0.125</x:v>
      </x:c>
      <x:c r="E59" s="54" t="b">
        <x:v>0</x:v>
      </x:c>
      <x:c r="F59" s="53" t="str"/>
    </x:row>
    <x:row r="60">
      <x:c r="A60" s="53" t="n">
        <x:v>21</x:v>
      </x:c>
      <x:c r="B60" s="53" t="str">
        <x:v>BANT</x:v>
      </x:c>
      <x:c r="C60" s="53" t="str">
        <x:v>Bant</x:v>
      </x:c>
      <x:c r="D60" s="53" t="n">
        <x:v>0.083333</x:v>
      </x:c>
      <x:c r="E60" s="54" t="b">
        <x:v>0</x:v>
      </x:c>
      <x:c r="F60" s="53" t="str"/>
    </x:row>
    <x:row r="61">
      <x:c r="A61" s="53" t="n">
        <x:v>22</x:v>
      </x:c>
      <x:c r="B61" s="53" t="str">
        <x:v>BR</x:v>
      </x:c>
      <x:c r="C61" s="53" t="str">
        <x:v>Cult of Rakdos</x:v>
      </x:c>
      <x:c r="D61" s="53" t="n">
        <x:v>0.083333</x:v>
      </x:c>
      <x:c r="E61" s="54" t="b">
        <x:v>0</x:v>
      </x:c>
      <x:c r="F61" s="53" t="str"/>
    </x:row>
    <x:row r="62">
      <x:c r="A62" s="53" t="n">
        <x:v>23</x:v>
      </x:c>
      <x:c r="B62" s="53" t="str">
        <x:v>COLORLESS</x:v>
      </x:c>
      <x:c r="C62" s="53" t="str">
        <x:v>Colorless</x:v>
      </x:c>
      <x:c r="D62" s="53" t="n">
        <x:v>0.083333</x:v>
      </x:c>
      <x:c r="E62" s="54" t="b">
        <x:v>0</x:v>
      </x:c>
      <x:c r="F62" s="53" t="str"/>
    </x:row>
    <x:row r="63">
      <x:c r="A63" s="53" t="n">
        <x:v>24</x:v>
      </x:c>
      <x:c r="B63" s="53" t="str">
        <x:v>INK</x:v>
      </x:c>
      <x:c r="C63" s="53" t="str">
        <x:v>Ink / Altruism</x:v>
      </x:c>
      <x:c r="D63" s="53" t="n">
        <x:v>0.083333</x:v>
      </x:c>
      <x:c r="E63" s="54" t="b">
        <x:v>0</x:v>
      </x:c>
      <x:c r="F63" s="53" t="str"/>
    </x:row>
    <x:row r="64">
      <x:c r="A64" s="53" t="n">
        <x:v>25</x:v>
      </x:c>
      <x:c r="B64" s="53" t="str">
        <x:v>MARDU</x:v>
      </x:c>
      <x:c r="C64" s="53" t="str">
        <x:v>Mardu Horde</x:v>
      </x:c>
      <x:c r="D64" s="53" t="n">
        <x:v>0.083333</x:v>
      </x:c>
      <x:c r="E64" s="54" t="b">
        <x:v>0</x:v>
      </x:c>
      <x:c r="F64" s="53" t="str"/>
    </x:row>
    <x:row r="65">
      <x:c r="A65" s="53" t="n">
        <x:v>26</x:v>
      </x:c>
      <x:c r="B65" s="53" t="str">
        <x:v>R</x:v>
      </x:c>
      <x:c r="C65" s="53" t="str">
        <x:v>Red</x:v>
      </x:c>
      <x:c r="D65" s="53" t="n">
        <x:v>0.083333</x:v>
      </x:c>
      <x:c r="E65" s="54" t="b">
        <x:v>0</x:v>
      </x:c>
      <x:c r="F65" s="53" t="str"/>
    </x:row>
    <x:row r="66">
      <x:c r="A66" s="53" t="n">
        <x:v>27</x:v>
      </x:c>
      <x:c r="B66" s="53" t="str">
        <x:v>RG</x:v>
      </x:c>
      <x:c r="C66" s="53" t="str">
        <x:v>Gruul Clans</x:v>
      </x:c>
      <x:c r="D66" s="53" t="n">
        <x:v>0.083333</x:v>
      </x:c>
      <x:c r="E66" s="54" t="b">
        <x:v>0</x:v>
      </x:c>
      <x:c r="F66" s="53" t="str"/>
    </x:row>
    <x:row r="67">
      <x:c r="A67" s="53" t="n">
        <x:v>28</x:v>
      </x:c>
      <x:c r="B67" s="53" t="str">
        <x:v>W</x:v>
      </x:c>
      <x:c r="C67" s="53" t="str">
        <x:v>White</x:v>
      </x:c>
      <x:c r="D67" s="53" t="n">
        <x:v>0.083333</x:v>
      </x:c>
      <x:c r="E67" s="54" t="b">
        <x:v>0</x:v>
      </x:c>
      <x:c r="F67" s="53" t="str"/>
    </x:row>
    <x:row r="68">
      <x:c r="A68" s="53" t="n">
        <x:v>29</x:v>
      </x:c>
      <x:c r="B68" s="53" t="str">
        <x:v>WB</x:v>
      </x:c>
      <x:c r="C68" s="53" t="str">
        <x:v>Orzhov Syndicate</x:v>
      </x:c>
      <x:c r="D68" s="53" t="n">
        <x:v>0.083333</x:v>
      </x:c>
      <x:c r="E68" s="54" t="b">
        <x:v>0</x:v>
      </x:c>
      <x:c r="F68" s="53" t="str"/>
    </x:row>
    <x:row r="69">
      <x:c r="A69" s="53" t="n">
        <x:v>30</x:v>
      </x:c>
      <x:c r="B69" s="53" t="str">
        <x:v>WG</x:v>
      </x:c>
      <x:c r="C69" s="53" t="str">
        <x:v>Selesnya Conclave</x:v>
      </x:c>
      <x:c r="D69" s="53" t="n">
        <x:v>0.083333</x:v>
      </x:c>
      <x:c r="E69" s="54" t="b">
        <x:v>0</x:v>
      </x:c>
      <x:c r="F69" s="53" t="str"/>
    </x:row>
    <x:row r="70">
      <x:c r="A70" s="53" t="n">
        <x:v>31</x:v>
      </x:c>
      <x:c r="B70" s="53" t="str">
        <x:v>B</x:v>
      </x:c>
      <x:c r="C70" s="53" t="str">
        <x:v>Black</x:v>
      </x:c>
      <x:c r="D70" s="53" t="n">
        <x:v>0.0625</x:v>
      </x:c>
      <x:c r="E70" s="54" t="b">
        <x:v>0</x:v>
      </x:c>
      <x:c r="F70" s="53" t="str"/>
    </x:row>
    <x:row r="71">
      <x:c r="A71" s="53" t="n">
        <x:v>32</x:v>
      </x:c>
      <x:c r="B71" s="53" t="str">
        <x:v>WU</x:v>
      </x:c>
      <x:c r="C71" s="53" t="str">
        <x:v>Azorius Senate</x:v>
      </x:c>
      <x:c r="D71" s="53" t="n">
        <x:v>0.0625</x:v>
      </x:c>
      <x:c r="E71" s="54" t="b">
        <x:v>0</x:v>
      </x:c>
      <x:c r="F71" s="53" t="str"/>
    </x:row>
    <x:row r="72">
      <x:c r="A72" s="53" t="n">
        <x:v>33</x:v>
      </x:c>
      <x:c r="B72" s="53" t="str">
        <x:v>DUNE</x:v>
      </x:c>
      <x:c r="C72" s="53" t="str">
        <x:v>Dune / Aggression</x:v>
      </x:c>
      <x:c r="D72" s="53" t="n">
        <x:v>0</x:v>
      </x:c>
      <x:c r="E72" s="54" t="b">
        <x:v>0</x:v>
      </x:c>
      <x:c r="F72" s="53" t="str"/>
    </x:row>
    <x:row r="73">
      <x:c r="A73" s="53" t="n">
        <x:v>34</x:v>
      </x:c>
      <x:c r="B73" s="53" t="str">
        <x:v>NAYA</x:v>
      </x:c>
      <x:c r="C73" s="53" t="str">
        <x:v>Naya</x:v>
      </x:c>
      <x:c r="D73" s="53" t="n">
        <x:v>0</x:v>
      </x:c>
      <x:c r="E73" s="54" t="b">
        <x:v>0</x:v>
      </x:c>
      <x:c r="F73" s="53" t="str"/>
    </x:row>
    <x:row r="74">
      <x:c r="A74" s="53" t="n">
        <x:v>35</x:v>
      </x:c>
      <x:c r="B74" s="53" t="str">
        <x:v>PRISMARI</x:v>
      </x:c>
      <x:c r="C74" s="53" t="str">
        <x:v>Prismari College</x:v>
      </x:c>
      <x:c r="D74" s="53" t="n">
        <x:v>0</x:v>
      </x:c>
      <x:c r="E74" s="54" t="b">
        <x:v>0</x:v>
      </x:c>
      <x:c r="F74" s="53" t="str"/>
    </x:row>
    <x:row r="75">
      <x:c r="A75" s="53" t="n">
        <x:v>36</x:v>
      </x:c>
      <x:c r="B75" s="53" t="str">
        <x:v>SILVERQUILL</x:v>
      </x:c>
      <x:c r="C75" s="53" t="str">
        <x:v>Silverquill College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"BG",
  "faction_name": "Golgari Swarm",
  "institution_type": "guild",
  "world": "Ravnica",
  "identity": {
    "core_color": "B",
    "secondary_colors": [
      "G"
    ],
    "secondary_color": "G",
    "expression_key": "BG",
    "expression_name": "Golgari Swarm",
    "expression_kind": "guild",
    "purity": null,
    "routing": {
      "edhrec_slug": "golgari",
      "mtgdecks_slug": "golgari",
      "label": "Golgari"
    }
  },
  "decree": "Golgari Swarm is the clearest current fit from the approved observations.",
  "confidence": 0.046,
  "confidence_gap": 1,
  "mana_scores": {
    "W": 9,
    "U": 10,
    "B": 10,
    "R": 10,
    "G": 10
  },
  "top_matches": [
    {
      "rank": 1,
      "faction": "BG",
      "faction_name": "Golgari Swarm",
      "institution_type": "guild",
      "world": "Ravnica",
      "identity": {
        "core_color": "B",
        "secondary_colors": [
          "G"
        ],
        "secondary_color": "G",
        "expression_key": "BG",
        "expression_name": "Golgari Swarm",
        "expression_kind": "guild",
        "purity": null,
        "routing": {
          "edhrec_slug": "golgari",
          "mtgdecks_slug": "golgari",
          "label": "Golgari"
        }
      },
      "score": 0.8125,
      "confidence": 0.046,
      "reason": "Golgari Swarm remained plausible through C03, C06, C12; identity mapping remains a hypothesis."
    }
  ],
  "adjacent_matches": [],
  "internal_candidate_order": [
    {
      "identity": "BG",
      "score": 0.8125,
      "positive_dependencies": 2,
      "qualification_dependencies": 2,
      "naming_dependencies": 1,
      "positive_constructs": [
        "C06",
        "C12"
      ],
      "satisfied_naming_rule_ids": [
        "baseline_40:b1.crucible.bg.v1.reclaim:BG"
      ],
      "naming_qualification": {
        "identity": "BG",
        "qualified": true,
        "satisfied_naming_rule_ids": [
          "baseline_40:b1.crucible.bg.v1.reclaim:BG"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"C12"
      ]
    },
    {
      "identity": "TEMUR",
      "score": 0.541667,
      "positive_dependencies": 1,
      "qualification_dependencies": 1,
      "naming_dependencies": 0,
      "positive_constructs": [
        "C14"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"JESKAI",
      "score": 0.5,
      "positive_dependencies": 2,
      "qualification_dependencies": 2,
      "naming_dependencies": 0,
      "positive_constructs": [
        "C01",
        "C08"
      ],
      "satisfied_naming_rule_ids": [],
      "naming_qualification": {
        "identity": "JESKAI",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
    },
    {
      "identity": "UR",
      "score": 0.458333,
      "positive_dependencies": 2,
      "qualification_dependencies": 2,
      "naming_dependencies": 0,
      "positive_constructs": [
        "C06",
        "C08"
      ],
      "satisfied_naming_rule_ids": [],
      "naming_qualification": {
        "identity": "UR",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0.458333,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"UG",
      "score": 0.25,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"C14"
      ]
    },
    {
      "identity": "SULTAI",
      "score": 0.25,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"C14"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"U",
      "score": 0.1875,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
    },
    {
      "identity": "ABZAN",
      "score": 0.166667,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"C12"
      ]
    },
    {
      "identity": "LOREHOLD",
      "score": 0.166667,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"QUANDRIX",
      "score": 0.166667,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"YORE",
      "score": 0.166667,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"WITHERBLOOM",
      "score": 0.15625,
      "positive_dependencies": 1,
      "qualification_dependencies": 1,
      "naming_dependencies": 0,
      "positive_constructs": [
        "C06"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"C06",
        "C12",
        "C14"
      ]
    },
    {
      "identity": "ESPER",
      "score": 0.125,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x:v>
      </x:c>
    </x:row>
    <x:row r="80">
      <x:c r="A80" s="53" t="str">
        <x:v>Part 2/3</x:v>
      </x:c>
      <x:c r="B80" s="53" t="str">
        <x:v>: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"BG",
    "TEMUR"
  ],
  "alternatives": [],
  "refinement": {
    "kind": "no_approved_discriminator",
    "can_reduce_ambiguity": false,
    "remaining_candidates": [
      "BG",
      "TEMUR",
      "JESKAI",
      "UR",
      "GLINT"
    ],
    "unresolved_boundaries": [
      {
        "pair_id": "BG__GLINT",
        "identities": [
          "BG",
          "GLINT"
        ],
        "distinction": "BG uses Resource sacrifice evidence; GLINT uses Repeatability preference evidence. No direct pair claim is made.",
        "question_ids": [
          "b1.hall.sacrifice.v1",
          "b1.hall.repeatability.v1",
          "b1.crucible.mono-multi.v1",
          "b1.crucible.bg.v1",
          "b1.crucible.yore-glint.v1",
          "b1.crucible.glint-dune.v1",
          "b1.hall.engine-shape.v1",
          "b1.hall.setup.v1",
          "b1.crucible.disruption-boundary.v1",
          "b1.hall.interaction-window.v1"
        ],
        "coverage_status": "DIRECT-OR-STRUCTURAL-MAPPING-HYPOTHESIS; bounded player validation required"
      },
      {
        "pair_id": "GLINT__TEMUR",
        "identities": [
          "GLINT",
          "TEMUR"
        ],
        "distinction": "Direct scenario tests one bounded Commander behavior.",
        "question_ids": [
          "b1.crucible.temur.v1",
          "b1.crucible.yore-glint.v1",
          "b1.crucible.glint-dune.v1",
          "b1.hall.interaction-window.v1"
        ],
        "coverage_status": "DIRECT-OR-STRUCTURAL-MAPPING-HYPOTHESIS; bounded player validation required"
      },
      {
        "pair_id": "GLINT__UR",
        "identities": [
          "GLINT",
          "UR"
        ],
        "distinction": "GLINT uses Initiative posture evidence; UR uses Engine concentration evidence. No direct pair claim is made.",
        "question_ids": [
          "b1.gate.initiative.v1",
          "b1.hall.engine-shape.v1",
          "b1.crucible.mono-multi.v1",
          "b1.crucible.ur.v1",
          "b1.crucible.yore-glint.v1",
          "b1.crucible.glint-dune.v1",
          "b1.hall.pressure.v1",
          "b1.hall.interaction-window.v1",
          "b1.hall.setup.v1"
        ],
        "coverage_status": "DIRECT-OR-STRUCTURAL-MAPPING-HYPOTHESIS; bounded player validation required"
      },
      {
        "pair_id": "JESKAI__TEMUR",
        "identities": [
          "JESKAI",
          "TEMUR"
        ],
        "distinction": "JESKAI uses Mana commitment and interaction window evidence; TEMUR uses Pressure channel evidence. No direct pair claim is made.",
        "question_ids": [
          "b1.hall.interaction-window.v1",
          "b1.hall.pressure.v1",
          "b1.crucible.mono-multi.v1",
          "b1.hall.information-to-plan.v1",
          "b1.crucible.temur.v1",
          "b1.crucible.jeskai.v1",
          "b1.hall.setup.v1",
          "b1.gate.initiative.v1"
        ],
        "coverage_status": "DIRECT-OR-STRUCTURAL-MAPPING-HYPOTHESIS; bounded player validation required"
      },
      {
        "pair_id": "JESKAI__UR",
        "identities": [
          "JESKAI",
          "UR"
        ],
        "distinction": "JESKAI uses Mana commitment and interaction window evidence; UR uses Engine concentration evidence. No direct pair claim is made.",
        "question_ids": [
          "b1.hall.interaction-window.v1",
          "b1.hall.engine-shape.v1",
          "b1.crucible.mono-multi.v1",
          "b1.hall.information-to-plan.v1",
          "b1.crucible.ur.v1",
          "b1.crucible.jeskai.v1",
          "b1.hall.pressure.v1",
          "b1.gate.initiative.v1"
        ],
        "coverage_status": "DIRECT-OR-STRUCTURAL-MAPPING-HYPOTHESIS; bounded player validation required"
      }
    ],
    "missing_constructs": [
      "C04",
      "C07",
      "C09"
    ],
    "question_id": null,
    "purpose": "none_for_clean_primary",
    "target_identities": [
      "BG",
      "TEMUR",
      "JESKAI"
    ],
    "target_pair_ids": [
      "BG__GLINT",
      "GLINT__TEMUR",
      "GLINT__UR",
      "JESKAI__TEMUR",
      "JESKAI__UR"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"answer_title": "Less exposed in the first place",
      "prompt": "A board wipe—an effect that removes many cards and tokens from the battlefield—is likely next turn. What would you rather have prepared?",
      "observation": "Prefers reduced exposure to broad disruption.",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"answer_title": "Advance with one answer ready",
      "prompt": "An opponent begins a decisive turn, but you do not yet know which card matters most. When do you want your deck to use the card or mana it kept available?",
      "observation": "Prefers split commitment between development and one bounded response.",
      "deltas": [
        {
          "faction": "JESKAI",
          "delta": 0.5
        },
        {
          "faction": "UR",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"question_id": "b1.crucible.bg.v1",
      "answer_id": "b1.crucible.bg.v1.reclaim",
      "stage": "crucible",
      "construct": "C12",
      "bounded_observation": "Prefers reclamation and reuse.",
      "signal": "SIG_C12_RECYCLE",
      "dependency_group": "DG_C12",
      "evidence_class": "BEHAVIORAL_OBSERVATION",
      "affected_identities": [
        "BG",
        "WITHERBLOOM"
      ],
      "positive_support": [
        "BG"
      ],
      "contradiction": [
        "WITHERBLOOM"
      ],
      "neutral": false,
      "mapping_strength": 1,
      "naming_evidence": true,
      "qualification_eligible": true,
      "qualification_support": [
        "BG"
      ],
      "naming_support": [
        "BG"
      ],
      "naming_rule_ids_by_identity": {
        "BG": [
          "baseline_40:b1.crucible.bg.v1.reclaim:BG"
        ]
      },
      "mapping_role": "exact_pair_direction",
      "mapping_status": "MAPPING_HYPOTHESIS",
      "mapping_provenance": "answer-semantic-adjudication.tsv BG vs WITHERBLOOM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"Use the same resources again",
      "prompt": "Several cards from your battlefield went to your graveyard. What do you want that loss to enable?",
      "observation": "Prefers reclamation and reuse.",
      "deltas": [
        {
          "faction": "BG",
          "delta": 1
        },
        {
          "faction": "WITHERBLOOM",
          "delta": -1
        }
      ]
    }
  ],
  "evidence_l</x:v>
      </x:c>
    </x:row>
    <x:row r="81">
      <x:c r="A81" s="53" t="str">
        <x:v>Part 3/3</x:v>
      </x:c>
      <x:c r="B81" s="53" t="str">
        <x:v>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"question_id": "b1.crucible.bg.v1",
      "answer_id": "b1.crucible.bg.v1.reclaim",
      "stage": "crucible",
      "construct": "C12",
      "bounded_observation": "Prefers reclamation and reuse.",
      "signal": "SIG_C12_RECYCLE",
      "dependency_group": "DG_C12",
      "evidence_class": "BEHAVIORAL_OBSERVATION",
      "affected_identities": [
        "BG",
        "WITHERBLOOM"
      ],
      "positive_support": [
        "BG"
      ],
      "contradiction": [
        "WITHERBLOOM"
      ],
      "neutral": false,
      "mapping_strength": 1,
      "naming_evidence": true,
      "qualification_eligible": true,
      "qualification_support": [
        "BG"
      ],
      "naming_support": [
        "BG"
      ],
      "naming_rule_ids_by_identity": {
        "BG": [
          "baseline_40:b1.crucible.bg.v1.reclaim:BG"
        ]
      },
      "mapping_role": "exact_pair_direction",
      "mapping_status": "MAPPING_HYPOTHESIS",
      "mapping_provenance": "answer-semantic-adjudication.tsv BG vs WITHERBLOOM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"b1.gate.disruption.v1.limit",
      "stage": "gate",
      "evidence_class": "BEHAVIORAL_OBSERVATION"
    },
    {
      "question_id": "b1.gate.tempo.v1",
      "answer_id": "b1.gate.tempo.v1.depends",
      "stage": "gate",
      "evidence_class": "BEHAVIORAL_OBSERVATION"
    },
    {
      "question_id": "b1.hall.interaction-window.v1",
      "answer_id": "b1.hall.interaction-window.v1.split",
      "stage": "hall",
      "evidence_class": "BEHAVIORAL_OBSERVATION"
    },
    {
      "question_id": "b1.hall.engine-shape.v1",
      "answer_id": "b1.hall.engine-shape.v1.overlap",
      "stage": "hall",
      "evidence_class": "BEHAVIORAL_OBSERVATION"
    },
    {
      "question_id": "b1.hall.setup.v1",
      "answer_id": "b1.hall.setup.v1.change",
      "stage": "hall",
      "evidence_class": "BEHAVIORAL_OBSERVATION"
    },
    {
      "question_id": "b1.crucible.bg.v1",
      "answer_id": "b1.crucible.bg.v1.reclaim",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Gruul Clans — Engine Trace</x:v>
      </x:c>
      <x:c r="B1" s="3"/>
      <x:c r="C1" s="3"/>
      <x:c r="D1" s="3"/>
      <x:c r="E1" s="3"/>
      <x:c r="F1" s="3"/>
      <x:c r="G1" s="3"/>
      <x:c r="H1" s="3"/>
      <x:c r="I1" s="3"/>
      <x:c r="J1" s="3"/>
      <x:c r="K1" s="3"/>
      <x:c r="L1" s="3"/>
      <x:c r="M1" s="3"/>
      <x:c r="N1" s="3"/>
      <x:c r="O1" s="3"/>
      <x:c r="P1" s="3"/>
      <x:c r="Q1" s="3"/>
      <x:c r="R1" s="3"/>
      <x:c r="S1" s="3"/>
      <x:c r="T1" s="3"/>
    </x:row>
    <x:row r="2" ht="30" customHeight="1">
      <x:c r="A2" s="7" t="str">
        <x:v>ENGINE-RG • PASS_MATCH • primary • trace 4e9954cb877115e6fee65cb8e4bc8918be157fb5946202aa564fc845698650ec</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RG</x:v>
      </x:c>
    </x:row>
    <x:row r="6">
      <x:c r="A6" s="53" t="str">
        <x:v>Expected public contract</x:v>
      </x:c>
      <x:c r="B6" s="53" t="str">
        <x:v>NAMED_DOSSIER</x:v>
      </x:c>
    </x:row>
    <x:row r="7">
      <x:c r="A7" s="53" t="str">
        <x:v>Witness status</x:v>
      </x:c>
      <x:c r="B7" s="53" t="str">
        <x:v>CURRENT_COMPATIBLE</x:v>
      </x:c>
    </x:row>
    <x:row r="8">
      <x:c r="A8" s="53" t="str">
        <x:v>Actual result</x:v>
      </x:c>
      <x:c r="B8" s="53" t="str">
        <x:v>RG</x:v>
      </x:c>
    </x:row>
    <x:row r="9">
      <x:c r="A9" s="53" t="str">
        <x:v>Directional result</x:v>
      </x:c>
      <x:c r="B9" s="53" t="str">
        <x:v>RG</x:v>
      </x:c>
    </x:row>
    <x:row r="10">
      <x:c r="A10" s="53" t="str">
        <x:v>Public state</x:v>
      </x:c>
      <x:c r="B10" s="53" t="str">
        <x:v>current-best-fit</x:v>
      </x:c>
    </x:row>
    <x:row r="11">
      <x:c r="A11" s="53" t="str">
        <x:v>Raw numeric leader</x:v>
      </x:c>
      <x:c r="B11" s="53" t="str">
        <x:v>JUND</x:v>
      </x:c>
    </x:row>
    <x:row r="12">
      <x:c r="A12" s="53" t="str">
        <x:v>Raw score</x:v>
      </x:c>
      <x:c r="B12" s="53" t="n">
        <x:v>1</x:v>
      </x:c>
    </x:row>
    <x:row r="13">
      <x:c r="A13" s="53" t="str">
        <x:v>Raw leader qualified</x:v>
      </x:c>
      <x:c r="B13" s="54" t="b">
        <x:v>0</x:v>
      </x:c>
    </x:row>
    <x:row r="14">
      <x:c r="A14" s="53" t="str">
        <x:v>Selected qualified</x:v>
      </x:c>
      <x:c r="B14" s="54" t="b">
        <x:v>1</x:v>
      </x:c>
    </x:row>
    <x:row r="15">
      <x:c r="A15" s="53" t="str">
        <x:v>Frontier</x:v>
      </x:c>
      <x:c r="B15" s="53" t="str">
        <x:v>RG</x:v>
      </x:c>
    </x:row>
    <x:row r="16">
      <x:c r="A16" s="53" t="str">
        <x:v>Stop reason</x:v>
      </x:c>
      <x:c r="B16" s="53" t="str">
        <x:v>next_question_cannot_improve_responsible_top_boundary</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outputs/01a02cd6-bce7-7832-9558-3075c52f146a/archscry-current-state-2026-08-22/evidence/engine/traces/rg.json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b1.gate.disruption.v1.recover</x:v>
      </x:c>
      <x:c r="G31" s="53" t="str">
        <x:v>A way to rebuild</x:v>
      </x:c>
      <x:c r="H31" s="53" t="str">
        <x:v>C03</x:v>
      </x:c>
      <x:c r="I31" s="53" t="str">
        <x:v>SIG_C03_RECOVER</x:v>
      </x:c>
      <x:c r="J31" s="53" t="str">
        <x:v>DG_C03</x:v>
      </x:c>
      <x:c r="K31" s="53" t="str">
        <x:v>BEHAVIORAL_OBSERVATION</x:v>
      </x:c>
      <x:c r="L31" s="53" t="str">
        <x:v>G | RG</x:v>
      </x:c>
      <x:c r="M31" s="53" t="str"/>
      <x:c r="N31" s="53" t="n">
        <x:v>0.5</x:v>
      </x:c>
      <x:c r="O31" s="54" t="b">
        <x:v>0</x:v>
      </x:c>
      <x:c r="P31" s="53" t="str">
        <x:v>REMEDIATION_MAPPING_HYPOTHESIS</x:v>
      </x:c>
      <x:c r="Q31" s="53" t="str">
        <x:v>Prefers recovery after broad disruption.</x:v>
      </x:c>
      <x:c r="R31" s="53" t="str">
        <x:v>Observation wording and identity association require player validation; no weight is authorized.</x:v>
      </x:c>
      <x:c r="S31" s="53" t="str">
        <x:v>G</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G</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b1.hall.pressure.v1.combat</x:v>
      </x:c>
      <x:c r="G33" s="53" t="str">
        <x:v>Use the bodies already there</x:v>
      </x:c>
      <x:c r="H33" s="53" t="str">
        <x:v>C07</x:v>
      </x:c>
      <x:c r="I33" s="53" t="str">
        <x:v>SIG_C07_EMBODIED_COMBAT</x:v>
      </x:c>
      <x:c r="J33" s="53" t="str">
        <x:v>DG_C07</x:v>
      </x:c>
      <x:c r="K33" s="53" t="str">
        <x:v>BEHAVIORAL_OBSERVATION</x:v>
      </x:c>
      <x:c r="L33" s="53" t="str">
        <x:v>JUND | R | RG</x:v>
      </x:c>
      <x:c r="M33" s="53" t="str"/>
      <x:c r="N33" s="53" t="n">
        <x:v>1</x:v>
      </x:c>
      <x:c r="O33" s="54" t="b">
        <x:v>1</x:v>
      </x:c>
      <x:c r="P33" s="53" t="str">
        <x:v>REMEDIATION_MAPPING_HYPOTHESIS</x:v>
      </x:c>
      <x:c r="Q33" s="53" t="str">
        <x:v>Prefers immediate embodied combat pressure from the current board.</x:v>
      </x:c>
      <x:c r="R33" s="53" t="str">
        <x:v>Many decks attack when shields are down; independent motive and context remain necessary.</x:v>
      </x:c>
      <x:c r="S33" s="53" t="str">
        <x:v>JUND</x:v>
      </x:c>
      <x:c r="T33" s="53" t="str">
        <x:v>incomplete / minimum_questions / b1.hall.sacrifice.v1</x:v>
      </x:c>
    </x:row>
    <x:row r="34">
      <x:c r="A34" s="53" t="n">
        <x:v>6</x:v>
      </x:c>
      <x:c r="B34" s="53" t="str">
        <x:v>main</x:v>
      </x:c>
      <x:c r="C34" s="53" t="str">
        <x:v>hall</x:v>
      </x:c>
      <x:c r="D34" s="53" t="str">
        <x:v>b1.hall.sacrifice.v1</x:v>
      </x:c>
      <x:c r="E34" s="53" t="str">
        <x:v>You can give up a useful permanent now for cards or another lasting resource. What feels natural?</x:v>
      </x:c>
      <x:c r="F34" s="53" t="str">
        <x:v>b1.hall.sacrifice.v1.preserve</x:v>
      </x:c>
      <x:c r="G34" s="53" t="str">
        <x:v>Keep the useful piece</x:v>
      </x:c>
      <x:c r="H34" s="53" t="str">
        <x:v>C12</x:v>
      </x:c>
      <x:c r="I34" s="53" t="str">
        <x:v>SIG_C12_PRESERVE</x:v>
      </x:c>
      <x:c r="J34" s="53" t="str">
        <x:v>DG_C12</x:v>
      </x:c>
      <x:c r="K34" s="53" t="str">
        <x:v>BEHAVIORAL_OBSERVATION</x:v>
      </x:c>
      <x:c r="L34" s="53" t="str"/>
      <x:c r="M34" s="53" t="str"/>
      <x:c r="N34" s="53" t="n">
        <x:v>0</x:v>
      </x:c>
      <x:c r="O34" s="54" t="b">
        <x:v>0</x:v>
      </x:c>
      <x:c r="P34" s="53" t="str">
        <x:v>OBSERVATION_ONLY</x:v>
      </x:c>
      <x:c r="Q34" s="53" t="str">
        <x:v>Prefers resource preservation.</x:v>
      </x:c>
      <x:c r="R34" s="53" t="str">
        <x:v>Observation wording and identity association require player validation; no weight is authorized.</x:v>
      </x:c>
      <x:c r="S34" s="53" t="str">
        <x:v>JUND</x:v>
      </x:c>
      <x:c r="T34" s="53" t="str">
        <x:v>close / next_question_cannot_improve_responsible_top_boundary / </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JUND</x:v>
      </x:c>
      <x:c r="C38" s="53" t="str">
        <x:v>Jund</x:v>
      </x:c>
      <x:c r="D38" s="53" t="n">
        <x:v>1</x:v>
      </x:c>
      <x:c r="E38" s="54" t="b">
        <x:v>0</x:v>
      </x:c>
      <x:c r="F38" s="53" t="str">
        <x:v>C07</x:v>
      </x:c>
    </x:row>
    <x:row r="39">
      <x:c r="A39" s="53" t="n">
        <x:v>2</x:v>
      </x:c>
      <x:c r="B39" s="53" t="str">
        <x:v>R</x:v>
      </x:c>
      <x:c r="C39" s="53" t="str">
        <x:v>Red</x:v>
      </x:c>
      <x:c r="D39" s="53" t="n">
        <x:v>0.916667</x:v>
      </x:c>
      <x:c r="E39" s="54" t="b">
        <x:v>0</x:v>
      </x:c>
      <x:c r="F39" s="53" t="str">
        <x:v>C07</x:v>
      </x:c>
    </x:row>
    <x:row r="40">
      <x:c r="A40" s="53" t="n">
        <x:v>3</x:v>
      </x:c>
      <x:c r="B40" s="53" t="str">
        <x:v>RG</x:v>
      </x:c>
      <x:c r="C40" s="53" t="str">
        <x:v>Gruul Clans</x:v>
      </x:c>
      <x:c r="D40" s="53" t="n">
        <x:v>0.729167</x:v>
      </x:c>
      <x:c r="E40" s="54" t="b">
        <x:v>1</x:v>
      </x:c>
      <x:c r="F40" s="53" t="str">
        <x:v>C03 | C07</x:v>
      </x:c>
    </x:row>
    <x:row r="41">
      <x:c r="A41" s="53" t="n">
        <x:v>4</x:v>
      </x:c>
      <x:c r="B41" s="53" t="str">
        <x:v>G</x:v>
      </x:c>
      <x:c r="C41" s="53" t="str">
        <x:v>Green</x:v>
      </x:c>
      <x:c r="D41" s="53" t="n">
        <x:v>0.458333</x:v>
      </x:c>
      <x:c r="E41" s="54" t="b">
        <x:v>0</x:v>
      </x:c>
      <x:c r="F41" s="53" t="str">
        <x:v>C03</x:v>
      </x:c>
    </x:row>
    <x:row r="42">
      <x:c r="A42" s="53" t="n">
        <x:v>5</x:v>
      </x:c>
      <x:c r="B42" s="53" t="str">
        <x:v>JESKAI</x:v>
      </x:c>
      <x:c r="C42" s="53" t="str">
        <x:v>Jeskai Way</x:v>
      </x:c>
      <x:c r="D42" s="53" t="n">
        <x:v>0.4375</x:v>
      </x:c>
      <x:c r="E42" s="54" t="b">
        <x:v>0</x:v>
      </x:c>
      <x:c r="F42" s="53" t="str">
        <x:v>C01</x:v>
      </x:c>
    </x:row>
    <x:row r="43">
      <x:c r="A43" s="53" t="n">
        <x:v>6</x:v>
      </x:c>
      <x:c r="B43" s="53" t="str">
        <x:v>WR</x:v>
      </x:c>
      <x:c r="C43" s="53" t="str">
        <x:v>Boros Legion</x:v>
      </x:c>
      <x:c r="D43" s="53" t="n">
        <x:v>0.25</x:v>
      </x:c>
      <x:c r="E43" s="54" t="b">
        <x:v>0</x:v>
      </x:c>
      <x:c r="F43" s="53" t="str"/>
    </x:row>
    <x:row r="44">
      <x:c r="A44" s="53" t="n">
        <x:v>7</x:v>
      </x:c>
      <x:c r="B44" s="53" t="str">
        <x:v>GRIXIS</x:v>
      </x:c>
      <x:c r="C44" s="53" t="str">
        <x:v>Grixis</x:v>
      </x:c>
      <x:c r="D44" s="53" t="n">
        <x:v>0.1875</x:v>
      </x:c>
      <x:c r="E44" s="54" t="b">
        <x:v>0</x:v>
      </x:c>
      <x:c r="F44" s="53" t="str"/>
    </x:row>
    <x:row r="45">
      <x:c r="A45" s="53" t="n">
        <x:v>8</x:v>
      </x:c>
      <x:c r="B45" s="53" t="str">
        <x:v>BG</x:v>
      </x:c>
      <x:c r="C45" s="53" t="str">
        <x:v>Golgari Swarm</x:v>
      </x:c>
      <x:c r="D45" s="53" t="n">
        <x:v>0.166667</x:v>
      </x:c>
      <x:c r="E45" s="54" t="b">
        <x:v>0</x:v>
      </x:c>
      <x:c r="F45" s="53" t="str"/>
    </x:row>
    <x:row r="46">
      <x:c r="A46" s="53" t="n">
        <x:v>9</x:v>
      </x:c>
      <x:c r="B46" s="53" t="str">
        <x:v>BR</x:v>
      </x:c>
      <x:c r="C46" s="53" t="str">
        <x:v>Cult of Rakdos</x:v>
      </x:c>
      <x:c r="D46" s="53" t="n">
        <x:v>0.166667</x:v>
      </x:c>
      <x:c r="E46" s="54" t="b">
        <x:v>0</x:v>
      </x:c>
      <x:c r="F46" s="53" t="str"/>
    </x:row>
    <x:row r="47">
      <x:c r="A47" s="53" t="n">
        <x:v>10</x:v>
      </x:c>
      <x:c r="B47" s="53" t="str">
        <x:v>MARDU</x:v>
      </x:c>
      <x:c r="C47" s="53" t="str">
        <x:v>Mardu Horde</x:v>
      </x:c>
      <x:c r="D47" s="53" t="n">
        <x:v>0.166667</x:v>
      </x:c>
      <x:c r="E47" s="54" t="b">
        <x:v>0</x:v>
      </x:c>
      <x:c r="F47" s="53" t="str"/>
    </x:row>
    <x:row r="48">
      <x:c r="A48" s="53" t="n">
        <x:v>11</x:v>
      </x:c>
      <x:c r="B48" s="53" t="str">
        <x:v>TEMUR</x:v>
      </x:c>
      <x:c r="C48" s="53" t="str">
        <x:v>Temur Frontier</x:v>
      </x:c>
      <x:c r="D48" s="53" t="n">
        <x:v>0.166667</x:v>
      </x:c>
      <x:c r="E48" s="54" t="b">
        <x:v>0</x:v>
      </x:c>
      <x:c r="F48" s="53" t="str"/>
    </x:row>
    <x:row r="49">
      <x:c r="A49" s="53" t="n">
        <x:v>12</x:v>
      </x:c>
      <x:c r="B49" s="53" t="str">
        <x:v>W</x:v>
      </x:c>
      <x:c r="C49" s="53" t="str">
        <x:v>White</x:v>
      </x:c>
      <x:c r="D49" s="53" t="n">
        <x:v>0.166667</x:v>
      </x:c>
      <x:c r="E49" s="54" t="b">
        <x:v>0</x:v>
      </x:c>
      <x:c r="F49" s="53" t="str"/>
    </x:row>
    <x:row r="50">
      <x:c r="A50" s="53" t="n">
        <x:v>13</x:v>
      </x:c>
      <x:c r="B50" s="53" t="str">
        <x:v>LOREHOLD</x:v>
      </x:c>
      <x:c r="C50" s="53" t="str">
        <x:v>Lorehold College</x:v>
      </x:c>
      <x:c r="D50" s="53" t="n">
        <x:v>0.083333</x:v>
      </x:c>
      <x:c r="E50" s="54" t="b">
        <x:v>0</x:v>
      </x:c>
      <x:c r="F50" s="53" t="str"/>
    </x:row>
    <x:row r="51">
      <x:c r="A51" s="53" t="n">
        <x:v>14</x:v>
      </x:c>
      <x:c r="B51" s="53" t="str">
        <x:v>PRISMARI</x:v>
      </x:c>
      <x:c r="C51" s="53" t="str">
        <x:v>Prismari College</x:v>
      </x:c>
      <x:c r="D51" s="53" t="n">
        <x:v>0.083333</x:v>
      </x:c>
      <x:c r="E51" s="54" t="b">
        <x:v>0</x:v>
      </x:c>
      <x:c r="F51" s="53" t="str"/>
    </x:row>
    <x:row r="52">
      <x:c r="A52" s="53" t="n">
        <x:v>15</x:v>
      </x:c>
      <x:c r="B52" s="53" t="str">
        <x:v>ABZAN</x:v>
      </x:c>
      <x:c r="C52" s="53" t="str">
        <x:v>Abzan Houses</x:v>
      </x:c>
      <x:c r="D52" s="53" t="n">
        <x:v>0.083333</x:v>
      </x:c>
      <x:c r="E52" s="54" t="b">
        <x:v>0</x:v>
      </x:c>
      <x:c r="F52" s="53" t="str"/>
    </x:row>
    <x:row r="53">
      <x:c r="A53" s="53" t="n">
        <x:v>16</x:v>
      </x:c>
      <x:c r="B53" s="53" t="str">
        <x:v>BANT</x:v>
      </x:c>
      <x:c r="C53" s="53" t="str">
        <x:v>Bant</x:v>
      </x:c>
      <x:c r="D53" s="53" t="n">
        <x:v>0.083333</x:v>
      </x:c>
      <x:c r="E53" s="54" t="b">
        <x:v>0</x:v>
      </x:c>
      <x:c r="F53" s="53" t="str"/>
    </x:row>
    <x:row r="54">
      <x:c r="A54" s="53" t="n">
        <x:v>17</x:v>
      </x:c>
      <x:c r="B54" s="53" t="str">
        <x:v>DUNE</x:v>
      </x:c>
      <x:c r="C54" s="53" t="str">
        <x:v>Dune / Aggression</x:v>
      </x:c>
      <x:c r="D54" s="53" t="n">
        <x:v>0.083333</x:v>
      </x:c>
      <x:c r="E54" s="54" t="b">
        <x:v>0</x:v>
      </x:c>
      <x:c r="F54" s="53" t="str"/>
    </x:row>
    <x:row r="55">
      <x:c r="A55" s="53" t="n">
        <x:v>18</x:v>
      </x:c>
      <x:c r="B55" s="53" t="str">
        <x:v>GLINT</x:v>
      </x:c>
      <x:c r="C55" s="53" t="str">
        <x:v>Glint / Chaos</x:v>
      </x:c>
      <x:c r="D55" s="53" t="n">
        <x:v>0.083333</x:v>
      </x:c>
      <x:c r="E55" s="54" t="b">
        <x:v>0</x:v>
      </x:c>
      <x:c r="F55" s="53" t="str"/>
    </x:row>
    <x:row r="56">
      <x:c r="A56" s="53" t="n">
        <x:v>19</x:v>
      </x:c>
      <x:c r="B56" s="53" t="str">
        <x:v>INK</x:v>
      </x:c>
      <x:c r="C56" s="53" t="str">
        <x:v>Ink / Altruism</x:v>
      </x:c>
      <x:c r="D56" s="53" t="n">
        <x:v>0.083333</x:v>
      </x:c>
      <x:c r="E56" s="54" t="b">
        <x:v>0</x:v>
      </x:c>
      <x:c r="F56" s="53" t="str"/>
    </x:row>
    <x:row r="57">
      <x:c r="A57" s="53" t="n">
        <x:v>20</x:v>
      </x:c>
      <x:c r="B57" s="53" t="str">
        <x:v>NAYA</x:v>
      </x:c>
      <x:c r="C57" s="53" t="str">
        <x:v>Naya</x:v>
      </x:c>
      <x:c r="D57" s="53" t="n">
        <x:v>0.083333</x:v>
      </x:c>
      <x:c r="E57" s="54" t="b">
        <x:v>0</x:v>
      </x:c>
      <x:c r="F57" s="53" t="str"/>
    </x:row>
    <x:row r="58">
      <x:c r="A58" s="53" t="n">
        <x:v>21</x:v>
      </x:c>
      <x:c r="B58" s="53" t="str">
        <x:v>SULTAI</x:v>
      </x:c>
      <x:c r="C58" s="53" t="str">
        <x:v>Sultai Brood</x:v>
      </x:c>
      <x:c r="D58" s="53" t="n">
        <x:v>0.083333</x:v>
      </x:c>
      <x:c r="E58" s="54" t="b">
        <x:v>0</x:v>
      </x:c>
      <x:c r="F58" s="53" t="str"/>
    </x:row>
    <x:row r="59">
      <x:c r="A59" s="53" t="n">
        <x:v>22</x:v>
      </x:c>
      <x:c r="B59" s="53" t="str">
        <x:v>UG</x:v>
      </x:c>
      <x:c r="C59" s="53" t="str">
        <x:v>Simic Combine</x:v>
      </x:c>
      <x:c r="D59" s="53" t="n">
        <x:v>0.083333</x:v>
      </x:c>
      <x:c r="E59" s="54" t="b">
        <x:v>0</x:v>
      </x:c>
      <x:c r="F59" s="53" t="str"/>
    </x:row>
    <x:row r="60">
      <x:c r="A60" s="53" t="n">
        <x:v>23</x:v>
      </x:c>
      <x:c r="B60" s="53" t="str">
        <x:v>UR</x:v>
      </x:c>
      <x:c r="C60" s="53" t="str">
        <x:v>Izzet League</x:v>
      </x:c>
      <x:c r="D60" s="53" t="n">
        <x:v>0.083333</x:v>
      </x:c>
      <x:c r="E60" s="54" t="b">
        <x:v>0</x:v>
      </x:c>
      <x:c r="F60" s="53" t="str"/>
    </x:row>
    <x:row r="61">
      <x:c r="A61" s="53" t="n">
        <x:v>24</x:v>
      </x:c>
      <x:c r="B61" s="53" t="str">
        <x:v>WB</x:v>
      </x:c>
      <x:c r="C61" s="53" t="str">
        <x:v>Orzhov Syndicate</x:v>
      </x:c>
      <x:c r="D61" s="53" t="n">
        <x:v>0.083333</x:v>
      </x:c>
      <x:c r="E61" s="54" t="b">
        <x:v>0</x:v>
      </x:c>
      <x:c r="F61" s="53" t="str"/>
    </x:row>
    <x:row r="62">
      <x:c r="A62" s="53" t="n">
        <x:v>25</x:v>
      </x:c>
      <x:c r="B62" s="53" t="str">
        <x:v>WG</x:v>
      </x:c>
      <x:c r="C62" s="53" t="str">
        <x:v>Selesnya Conclave</x:v>
      </x:c>
      <x:c r="D62" s="53" t="n">
        <x:v>0.083333</x:v>
      </x:c>
      <x:c r="E62" s="54" t="b">
        <x:v>0</x:v>
      </x:c>
      <x:c r="F62" s="53" t="str"/>
    </x:row>
    <x:row r="63">
      <x:c r="A63" s="53" t="n">
        <x:v>26</x:v>
      </x:c>
      <x:c r="B63" s="53" t="str">
        <x:v>WITHERBLOOM</x:v>
      </x:c>
      <x:c r="C63" s="53" t="str">
        <x:v>Witherbloom College</x:v>
      </x:c>
      <x:c r="D63" s="53" t="n">
        <x:v>0.083333</x:v>
      </x:c>
      <x:c r="E63" s="54" t="b">
        <x:v>0</x:v>
      </x:c>
      <x:c r="F63" s="53" t="str"/>
    </x:row>
    <x:row r="64">
      <x:c r="A64" s="53" t="n">
        <x:v>27</x:v>
      </x:c>
      <x:c r="B64" s="53" t="str">
        <x:v>YORE</x:v>
      </x:c>
      <x:c r="C64" s="53" t="str">
        <x:v>Yore / Artifice</x:v>
      </x:c>
      <x:c r="D64" s="53" t="n">
        <x:v>0.083333</x:v>
      </x:c>
      <x:c r="E64" s="54" t="b">
        <x:v>0</x:v>
      </x:c>
      <x:c r="F64" s="53" t="str"/>
    </x:row>
    <x:row r="65">
      <x:c r="A65" s="53" t="n">
        <x:v>28</x:v>
      </x:c>
      <x:c r="B65" s="53" t="str">
        <x:v>B</x:v>
      </x:c>
      <x:c r="C65" s="53" t="str">
        <x:v>Black</x:v>
      </x:c>
      <x:c r="D65" s="53" t="n">
        <x:v>0.0625</x:v>
      </x:c>
      <x:c r="E65" s="54" t="b">
        <x:v>0</x:v>
      </x:c>
      <x:c r="F65" s="53" t="str"/>
    </x:row>
    <x:row r="66">
      <x:c r="A66" s="53" t="n">
        <x:v>29</x:v>
      </x:c>
      <x:c r="B66" s="53" t="str">
        <x:v>U</x:v>
      </x:c>
      <x:c r="C66" s="53" t="str">
        <x:v>Blue</x:v>
      </x:c>
      <x:c r="D66" s="53" t="n">
        <x:v>0.0625</x:v>
      </x:c>
      <x:c r="E66" s="54" t="b">
        <x:v>0</x:v>
      </x:c>
      <x:c r="F66" s="53" t="str"/>
    </x:row>
    <x:row r="67">
      <x:c r="A67" s="53" t="n">
        <x:v>30</x:v>
      </x:c>
      <x:c r="B67" s="53" t="str">
        <x:v>UB</x:v>
      </x:c>
      <x:c r="C67" s="53" t="str">
        <x:v>House Dimir</x:v>
      </x:c>
      <x:c r="D67" s="53" t="n">
        <x:v>0.0625</x:v>
      </x:c>
      <x:c r="E67" s="54" t="b">
        <x:v>0</x:v>
      </x:c>
      <x:c r="F67" s="53" t="str"/>
    </x:row>
    <x:row r="68">
      <x:c r="A68" s="53" t="n">
        <x:v>31</x:v>
      </x:c>
      <x:c r="B68" s="53" t="str">
        <x:v>COLORLESS</x:v>
      </x:c>
      <x:c r="C68" s="53" t="str">
        <x:v>Colorless</x:v>
      </x:c>
      <x:c r="D68" s="53" t="n">
        <x:v>0</x:v>
      </x:c>
      <x:c r="E68" s="54" t="b">
        <x:v>0</x:v>
      </x:c>
      <x:c r="F68" s="53" t="str"/>
    </x:row>
    <x:row r="69">
      <x:c r="A69" s="53" t="n">
        <x:v>32</x:v>
      </x:c>
      <x:c r="B69" s="53" t="str">
        <x:v>ESPER</x:v>
      </x:c>
      <x:c r="C69" s="53" t="str">
        <x:v>Esper</x:v>
      </x:c>
      <x:c r="D69" s="53" t="n">
        <x:v>0</x:v>
      </x:c>
      <x:c r="E69" s="54" t="b">
        <x:v>0</x:v>
      </x:c>
      <x:c r="F69" s="53" t="str"/>
    </x:row>
    <x:row r="70">
      <x:c r="A70" s="53" t="n">
        <x:v>33</x:v>
      </x:c>
      <x:c r="B70" s="53" t="str">
        <x:v>QUANDRIX</x:v>
      </x:c>
      <x:c r="C70" s="53" t="str">
        <x:v>Quandrix College</x:v>
      </x:c>
      <x:c r="D70" s="53" t="n">
        <x:v>0</x:v>
      </x:c>
      <x:c r="E70" s="54" t="b">
        <x:v>0</x:v>
      </x:c>
      <x:c r="F70" s="53" t="str"/>
    </x:row>
    <x:row r="71">
      <x:c r="A71" s="53" t="n">
        <x:v>34</x:v>
      </x:c>
      <x:c r="B71" s="53" t="str">
        <x:v>SILVERQUILL</x:v>
      </x:c>
      <x:c r="C71" s="53" t="str">
        <x:v>Silverquill College</x:v>
      </x:c>
      <x:c r="D71" s="53" t="n">
        <x:v>0</x:v>
      </x:c>
      <x:c r="E71" s="54" t="b">
        <x:v>0</x:v>
      </x:c>
      <x:c r="F71" s="53" t="str"/>
    </x:row>
    <x:row r="72">
      <x:c r="A72" s="53" t="n">
        <x:v>35</x:v>
      </x:c>
      <x:c r="B72" s="53" t="str">
        <x:v>WITCH</x:v>
      </x:c>
      <x:c r="C72" s="53" t="str">
        <x:v>Witch / Growth</x:v>
      </x:c>
      <x:c r="D72" s="53" t="n">
        <x:v>0</x:v>
      </x:c>
      <x:c r="E72" s="54" t="b">
        <x:v>0</x:v>
      </x:c>
      <x:c r="F72" s="53" t="str"/>
    </x:row>
    <x:row r="73">
      <x:c r="A73" s="53" t="n">
        <x:v>36</x:v>
      </x:c>
      <x:c r="B73" s="53" t="str">
        <x:v>WU</x:v>
      </x:c>
      <x:c r="C73" s="53" t="str">
        <x:v>Azorius Senate</x:v>
      </x:c>
      <x:c r="D73" s="53" t="n">
        <x:v>0</x:v>
      </x:c>
      <x:c r="E73" s="54" t="b">
        <x:v>0</x:v>
      </x:c>
      <x:c r="F73" s="53" t="str"/>
    </x:row>
    <x:row r="74">
      <x:c r="A74" s="53" t="n">
        <x:v>37</x:v>
      </x:c>
      <x:c r="B74" s="53" t="str">
        <x:v>WUBRG</x:v>
      </x:c>
      <x:c r="C74" s="53" t="str">
        <x:v>Five-Color / WUBRG</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"RG",
  "faction_name": "Gruul Clans",
  "institution_type": "guild",
  "world": "Ravnica",
  "identity": {
    "core_color": "R",
    "secondary_colors": [
      "G"
    ],
    "secondary_color": "G",
    "expression_key": "RG",
    "expression_name": "Gruul Clans",
    "expression_kind": "guild",
    "purity": null,
    "routing": {
      "edhrec_slug": "gruul",
      "mtgdecks_slug": "gruul",
      "label": "Gruul"
    }
  },
  "decree": "This is the identity your recorded answers favored most in this reading.",
  "confidence": 0.044,
  "confidence_gap": 1,
  "mana_scores": {
    "W": 8,
    "U": 8,
    "B": 9,
    "R": 10,
    "G": 9
  },
  "top_matches": [
    {
      "rank": 1,
      "faction": "RG",
      "faction_name": "Gruul Clans",
      "institution_type": "guild",
      "world": "Ravnica",
      "identity": {
        "core_color": "R",
        "secondary_colors": [
          "G"
        ],
        "secondary_color": "G",
        "expression_key": "RG",
        "expression_name": "Gruul Clans",
        "expression_kind": "guild",
        "purity": null,
        "routing": {
          "edhrec_slug": "gruul",
          "mtgdecks_slug": "gruul",
          "label": "Gruul"
        }
      },
      "score": 0.729167,
      "confidence": 0.044,
      "reason": "Gruul Clans remained plausible through C01, C07; identity mapping remains a hypothesis."
    }
  ],
  "adjacent_matches": [],
  "internal_candidate_order": [
    {
      "identity": "JUND",
      "score": 1,
      "positive_dependencies": 1,
      "qualification_dependencies": 1,
      "naming_dependencies": 1,
      "positive_constructs": [
        "C07"
      ],
      "satisfied_naming_rule_ids": [
        "instrument_completion_overlay:b1.hall.pressure.v1.combat:JUND"
      ],
      "naming_qualification": {
        "identity": "JUND",
        "qualified": false,
        "satisfied_naming_rule_ids": [
          "instrument_completion_overlay:b1.hall.pressure.v1.combat:JUND"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"R",
      "score": 0.916667,
      "positive_dependencies": 1,
      "qualification_dependencies": 1,
      "naming_dependencies": 1,
      "positive_constructs": [
        "C07"
      ],
      "satisfied_naming_rule_ids": [
        "instrument_completion_overlay:b1.hall.pressure.v1.combat:R"
      ],
      "naming_qualification": {
        "identity": "R",
        "qualified": false,
        "satisfied_naming_rule_ids": [
          "instrument_completion_overlay:b1.hall.pressure.v1.combat:R"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0.729167,
      "positive_dependencies": 2,
      "qualification_dependencies": 2,
      "naming_dependencies": 1,
      "positive_constructs": [
        "C03",
        "C07"
      ],
      "satisfied_naming_rule_ids": [
        "instrument_completion_overlay:b1.hall.pressure.v1.combat:RG"
      ],
      "naming_qualification": {
        "identity": "RG",
        "qualified": true,
        "satisfied_naming_rule_ids": [
          "instrument_completion_overlay:b1.hall.pressure.v1.combat:RG"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
      "score": 0.458333,
      "positive_dependencies": 1,
      "qualification_dependencies": 1,
      "naming_dependencies": 0,
      "positive_constructs": [
        "C03"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"BG",
      "score": 0.166667,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"C12"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"C12"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"YORE",
      "score": 0.083333,
      "positive_dependencies": 0,
      "qualification_dependencies": 0,
      "naming_dependencies": 0,
      "positive_constructs": [],
      "satisfied_naming_rule_ids": [],
      "naming_quali</x:v>
      </x:c>
    </x:row>
    <x:row r="78">
      <x:c r="A78" s="53" t="str">
        <x:v>Part 2/3</x:v>
      </x:c>
      <x:c r="B78" s="53" t="str">
        <x:v>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"JUND",
    "R",
    "RG"
  ],
  "alternatives": [],
  "refinement": {
    "kind": "no_approved_discriminator",
    "can_reduce_ambiguity": false,
    "remaining_candidates": [
      "RG"
    ],
    "unresolved_boundaries": [],
    "missing_constructs": [],
    "question_id": null,
    "purpose": "no_approved_discriminator",
    "target_identities": [
      "RG"
    ],
    "target_pair_ids": [],
    "distinction": "",
    "revisit": null,
    "limitation": "The approved instrument cannot responsibly distinguish the remaining candidates with another available observation."
  },
  "stopping": {
    "stop": true,
    "state": "close",
    "reason": "next_question_cannot_improve_responsible_top_boundary",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rebuild",
      "prompt": "A board wipe—an effect that removes many cards and tokens from the battlefield—is likely next turn. What would you rather have prepared?",
      "observation": "Prefers recovery after broad disruption.",
      "deltas": [
        {
          "faction": "G",
          "delta": 0.5
        },
        {
          "faction": "RG",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"b1.hall.pressure.v1.combat",
      "stage": "hall",
      "construct": "C07",
      "bounded_observation": "Prefers immediate embodied combat pressure from the current board.",
      "signal": "SIG_C07_EMBODIED_COMBAT",
      "dependency_group": "DG_C07",
      "evidence_class": "BEHAVIORAL_OBSERVATION",
      "affected_identities": [
        "JUND",
        "R",
        "RG"
      ],
      "positive_support": [
        "JUND",
        "R",
        "RG"
      ],
      "contradiction": [],
      "neutral": false,
      "mapping_strength": 1,
      "naming_evidence": true,
      "qualification_eligible": true,
      "qualification_support": [
        "JUND",
        "R",
        "RG"
      ],
      "naming_support": [
        "JUND",
        "R",
        "RG"
      ],
      "naming_rule_ids_by_identity": {
        "R": [
          "instrument_completion_overlay:b1.hall.pressure.v1.combat:R"
        ],
        "RG": [
          "instrument_completion_overlay:b1.hall.pressure.v1.combat:RG"
        ],
        "JUND": [
          "instrument_completion_overlay:b1.hall.pressure.v1.combat:JUND"
        ]
      },
      "mapping_role": "completion_boundary_direction",
      "mapping_status": "REMEDIATION_MAPPING_HYPOTHESIS",
      "mapping_provenance": "docs/plans/vm551-gate-b1-instrument-completion/instrument-change-adjudication.tsv#b1.hall.pressure.v1.combat;docs/audits/vm555-b1-identity-evidence-gap-bridge/identity-evidence-gap-matrix.tsv",
      "evidence_provenance": "E-VM555;E-CERTIFIED;E-CECOS;E-PLAYER-LANGUAGE",
      "limitation": "Many decks attack when shields are down; independent motive and context remain necessary.",
      "behavioral_vs_lens": "behavioral",
      "answer_title": "Use the bodies already there",
      "prompt": "The player ahead uses all their mana and leaves one turn where the table can take control. Which kind of pressure do you want your deck to create?",
      "observation": "Prefers immediate embodied combat pressure from the current board.",
      "deltas": [
        {
          "faction": "JUND",
          "delta": 1
        },
        {
          "faction": "R",
          "delta": 1
        },
        {
          "faction": "RG",
          "delta": 1
        }
      ]
    },
    {
      "question_id": "b1.hall.sacrifice.v1",
      "answer_id": "b1.hall.sacrifice.v1.preserve",
      "stage": "hall",
      "construct": "C12",
      "bounded_observation": "Prefers resource preservation.",
      "signal": "SIG_C12_PRESERVE",
      "dependency_group": "DG_C12",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"Keep the useful piece",
      "prompt": "You can give up a useful permanent now for cards or another lasting resource. What feels natural?",
      "observation": "Prefers resource preservation.",
      "deltas":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"b1.hall.pressure.v1.combat",
      "stage": "hall",
      "construct": "C07",
      "bounded_observation": "Prefers immediate embodied combat pressure from the current board.",
      "signal": "SIG_C07_EMBODIED_COMBAT",
      "dependency_group": "DG_C07",
      "evidence_class": "BEHAVIORAL_OBSERVATION",
      "affected_identities": [
        "JUND",
        "R",
        "RG"
      ],
      "positive_support": [
        "JUND",
        "R",
        "RG"
      ],
      "contradiction": [],
      "neutral": false,
      "mapping_strength": 1,
      "naming_evidence": true,
      "qualification_eligible": true,
      "qualification_support": [
        "JUND",
        "R",
        "RG"
      ],
      "naming_support": [
        "JUND",
        "R",
        "RG"
      ],
      "naming_rule_ids_by_identity": {
        "R": [
          "instrument_completion_overlay:b1.hall.pressure.v1.combat:R"
        ],
        "RG": [
          "instrument_completion_overlay:b1.hall.pressure.v1.combat:RG"
        ],
        "JUND": [
          "instrument_completion_overlay:b1.hall.pressure.v1.combat:JUND"
        ]
      },
      "mapping_role": "completion_boundary_direction",
      "mapping_status": "REMEDIATION_MAPPING_HYPOTHESIS",
      "mapping_provenance": "docs/plans/vm551-gate-b1-instrument-completion/instrument-change-adjudication.tsv#b1.hall.pressure.v1.combat;docs/audits/vm555-b1-identity-evidence-gap-bridge/identity-evidence-gap-matrix.tsv",
      "evidence_provenance": "E-VM555;E-CERTIFIED;E-CECOS;E-PLAYER-LANGUAGE",
      "limitation": "Many decks attack when shields are down; independent motive and context remain necessary.",
      "behavioral_vs_lens": "behavioral"
    },
    {
      "question_id": "b1.hall.sacrifice.v1",
      "answer_id": "b1.hall.sacrifice.v1.preserve",
      "stage": "hall",
      "construct": "C12",
      "bounded_observation": "Prefers resource preservation.",
      "signal": "SIG_C12_PRESERVE",
      "dependency_group": "DG_C12",
      "evidence_class": "BEHAVIORAL_OBSERVATION",
      "affected_identities": [],
      "positive_support": [],
      "contradic</x:v>
      </x:c>
    </x:row>
    <x:row r="79">
      <x:c r="A79" s="53" t="str">
        <x:v>Part 3/3</x:v>
      </x:c>
      <x:c r="B79" s="53" t="str">
        <x:v>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"b1.gate.disruption.v1.recover",
      "stage": "gate",
      "evidence_class": "BEHAVIORAL_OBSERVATION"
    },
    {
      "question_id": "b1.gate.tempo.v1",
      "answer_id": "b1.gate.tempo.v1.burst",
      "stage": "gate",
      "evidence_class": "BEHAVIORAL_OBSERVATION"
    },
    {
      "question_id": "b1.hall.pressure.v1",
      "answer_id": "b1.hall.pressure.v1.combat",
      "stage": "hall",
      "evidence_class": "BEHAVIORAL_OBSERVATION"
    },
    {
      "question_id": "b1.hall.sacrifice.v1",
      "answer_id": "b1.hall.sacrifice.v1.preserve",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6:T36"/>
    <x:mergeCell ref="A76:T76"/>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House Dimir — Engine Trace</x:v>
      </x:c>
      <x:c r="B1" s="3"/>
      <x:c r="C1" s="3"/>
      <x:c r="D1" s="3"/>
      <x:c r="E1" s="3"/>
      <x:c r="F1" s="3"/>
      <x:c r="G1" s="3"/>
      <x:c r="H1" s="3"/>
      <x:c r="I1" s="3"/>
      <x:c r="J1" s="3"/>
      <x:c r="K1" s="3"/>
      <x:c r="L1" s="3"/>
      <x:c r="M1" s="3"/>
      <x:c r="N1" s="3"/>
      <x:c r="O1" s="3"/>
      <x:c r="P1" s="3"/>
      <x:c r="Q1" s="3"/>
      <x:c r="R1" s="3"/>
      <x:c r="S1" s="3"/>
      <x:c r="T1" s="3"/>
    </x:row>
    <x:row r="2" ht="30" customHeight="1">
      <x:c r="A2" s="7" t="str">
        <x:v>ENGINE-UB • PASS_MATCH • primary • trace 65c3e9fbb24eb3b5a73859193a2ccea1a6c5e3ae232ecbe91c8b4aeb385542ac</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UB</x:v>
      </x:c>
    </x:row>
    <x:row r="6">
      <x:c r="A6" s="53" t="str">
        <x:v>Expected public contract</x:v>
      </x:c>
      <x:c r="B6" s="53" t="str">
        <x:v>NAMED_DOSSIER</x:v>
      </x:c>
    </x:row>
    <x:row r="7">
      <x:c r="A7" s="53" t="str">
        <x:v>Witness status</x:v>
      </x:c>
      <x:c r="B7" s="53" t="str">
        <x:v>CURRENT_COMPATIBLE</x:v>
      </x:c>
    </x:row>
    <x:row r="8">
      <x:c r="A8" s="53" t="str">
        <x:v>Actual result</x:v>
      </x:c>
      <x:c r="B8" s="53" t="str">
        <x:v>UB</x:v>
      </x:c>
    </x:row>
    <x:row r="9">
      <x:c r="A9" s="53" t="str">
        <x:v>Directional result</x:v>
      </x:c>
      <x:c r="B9" s="53" t="str">
        <x:v>UB</x:v>
      </x:c>
    </x:row>
    <x:row r="10">
      <x:c r="A10" s="53" t="str">
        <x:v>Public state</x:v>
      </x:c>
      <x:c r="B10" s="53" t="str">
        <x:v>current-best-fit</x:v>
      </x:c>
    </x:row>
    <x:row r="11">
      <x:c r="A11" s="53" t="str">
        <x:v>Raw numeric leader</x:v>
      </x:c>
      <x:c r="B11" s="53" t="str">
        <x:v>UB</x:v>
      </x:c>
    </x:row>
    <x:row r="12">
      <x:c r="A12" s="53" t="str">
        <x:v>Raw score</x:v>
      </x:c>
      <x:c r="B12" s="53" t="n">
        <x:v>0.75</x:v>
      </x:c>
    </x:row>
    <x:row r="13">
      <x:c r="A13" s="53" t="str">
        <x:v>Raw leader qualified</x:v>
      </x:c>
      <x:c r="B13" s="54" t="b">
        <x:v>1</x:v>
      </x:c>
    </x:row>
    <x:row r="14">
      <x:c r="A14" s="53" t="str">
        <x:v>Selected qualified</x:v>
      </x:c>
      <x:c r="B14" s="54" t="b">
        <x:v>1</x:v>
      </x:c>
    </x:row>
    <x:row r="15">
      <x:c r="A15" s="53" t="str">
        <x:v>Frontier</x:v>
      </x:c>
      <x:c r="B15" s="53" t="str">
        <x:v>UB</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outputs/01a02cd6-bce7-7832-9558-3075c52f146a/archscry-current-state-2026-08-22/evidence/engine/traces/ub.json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b1.gate.initiative.v1.unsure</x:v>
      </x:c>
      <x:c r="G29" s="53" t="str">
        <x:v>I do not know yet</x:v>
      </x:c>
      <x:c r="H29" s="53" t="str">
        <x:v>C01</x:v>
      </x:c>
      <x:c r="I29" s="53" t="str">
        <x:v>SIG_C01_UNKNOWN</x:v>
      </x:c>
      <x:c r="J29" s="53" t="str">
        <x:v>DG_C01</x:v>
      </x:c>
      <x:c r="K29" s="53" t="str">
        <x:v>BEHAVIORAL_OBSERVATION</x:v>
      </x:c>
      <x:c r="L29" s="53" t="str"/>
      <x:c r="M29" s="53" t="str"/>
      <x:c r="N29" s="53" t="n">
        <x:v>0</x:v>
      </x:c>
      <x:c r="O29" s="54" t="b">
        <x:v>0</x:v>
      </x:c>
      <x:c r="P29" s="53" t="str">
        <x:v>OBSERVATION_ONLY</x:v>
      </x:c>
      <x:c r="Q29" s="53" t="str">
        <x:v>Reports insufficient experience for this construct.</x:v>
      </x:c>
      <x:c r="R29" s="53" t="str">
        <x:v>Evidence-bearing but non-directional; may justify another Hall item or a close, mixed, contradictory, or insufficient result and must not be averaged into support.</x:v>
      </x:c>
      <x:c r="S29" s="53" t="str">
        <x:v>ABZAN</x:v>
      </x:c>
      <x:c r="T29" s="53" t="str">
        <x:v>incomplete / minimum_questions / b1.hall.commitment.v1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GRIXIS</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GRIXIS</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b1.hall.interaction-window.v1.pressure</x:v>
      </x:c>
      <x:c r="G33" s="53" t="str">
        <x:v>As they commit</x:v>
      </x:c>
      <x:c r="H33" s="53" t="str">
        <x:v>C08</x:v>
      </x:c>
      <x:c r="I33" s="53" t="str">
        <x:v>SIG_C08_COMMIT_WINDOW</x:v>
      </x:c>
      <x:c r="J33" s="53" t="str">
        <x:v>DG_C08</x:v>
      </x:c>
      <x:c r="K33" s="53" t="str">
        <x:v>BEHAVIORAL_OBSERVATION</x:v>
      </x:c>
      <x:c r="L33" s="53" t="str">
        <x:v>GLINT | GRIXIS | UB</x:v>
      </x:c>
      <x:c r="M33" s="53" t="str"/>
      <x:c r="N33" s="53" t="n">
        <x:v>1</x:v>
      </x:c>
      <x:c r="O33" s="54" t="b">
        <x:v>1</x:v>
      </x:c>
      <x:c r="P33" s="53" t="str">
        <x:v>REMEDIATION_MAPPING_HYPOTHESIS</x:v>
      </x:c>
      <x:c r="Q33" s="53" t="str">
        <x:v>Prefers the commitment window where opposing resources are exposed.</x:v>
      </x:c>
      <x:c r="R33" s="53" t="str">
        <x:v>The window may be dictated by rules timing rather than behavioral preference.</x:v>
      </x:c>
      <x:c r="S33" s="53" t="str">
        <x:v>UB</x:v>
      </x:c>
      <x:c r="T33" s="53" t="str">
        <x:v>incomplete / minimum_questions / b1.hall.information-to-plan.v1</x:v>
      </x:c>
    </x:row>
    <x:row r="34">
      <x:c r="A34" s="53" t="n">
        <x:v>6</x:v>
      </x:c>
      <x:c r="B34" s="53" t="str">
        <x:v>main</x:v>
      </x:c>
      <x:c r="C34" s="53" t="str">
        <x:v>hall</x:v>
      </x:c>
      <x:c r="D34" s="53" t="str">
        <x:v>b1.hall.information-to-plan.v1</x:v>
      </x:c>
      <x:c r="E34" s="53" t="str">
        <x:v>A dangerous opposing play has been stopped, and you now have enough cards to choose among several workable plans. What do you most want to do next?</x:v>
      </x:c>
      <x:c r="F34" s="53" t="str">
        <x:v>b1.hall.information-to-plan.v1.exploit</x:v>
      </x:c>
      <x:c r="G34" s="53" t="str">
        <x:v>Use the opening now</x:v>
      </x:c>
      <x:c r="H34" s="53" t="str">
        <x:v>C16</x:v>
      </x:c>
      <x:c r="I34" s="53" t="str">
        <x:v>SIG_C16_EXPLOIT</x:v>
      </x:c>
      <x:c r="J34" s="53" t="str">
        <x:v>DG_C16</x:v>
      </x:c>
      <x:c r="K34" s="53" t="str">
        <x:v>BEHAVIORAL_OBSERVATION</x:v>
      </x:c>
      <x:c r="L34" s="53" t="str">
        <x:v>B | GRIXIS | JESKAI</x:v>
      </x:c>
      <x:c r="M34" s="53" t="str"/>
      <x:c r="N34" s="53" t="n">
        <x:v>0.5</x:v>
      </x:c>
      <x:c r="O34" s="54" t="b">
        <x:v>0</x:v>
      </x:c>
      <x:c r="P34" s="53" t="str">
        <x:v>MAPPING_HYPOTHESIS</x:v>
      </x:c>
      <x:c r="Q34" s="53" t="str">
        <x:v>Prefers to exploit the current opening after gaining information.</x:v>
      </x:c>
      <x:c r="R34" s="53" t="str">
        <x:v>Observation wording and identity association require player validation; no weight is authorized.</x:v>
      </x:c>
      <x:c r="S34" s="53" t="str">
        <x:v>UB</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b1.hall.engine-shape.v1.purpose</x:v>
      </x:c>
      <x:c r="G35" s="53" t="str">
        <x:v>Keep the goal, change the tool</x:v>
      </x:c>
      <x:c r="H35" s="53" t="str">
        <x:v>C06</x:v>
      </x:c>
      <x:c r="I35" s="53" t="str">
        <x:v>SIG_C06_FLEXIBLE_ROUTE</x:v>
      </x:c>
      <x:c r="J35" s="53" t="str">
        <x:v>DG_C06</x:v>
      </x:c>
      <x:c r="K35" s="53" t="str">
        <x:v>BEHAVIORAL_OBSERVATION</x:v>
      </x:c>
      <x:c r="L35" s="53" t="str">
        <x:v>SULTAI | UB | WUBRG</x:v>
      </x:c>
      <x:c r="M35" s="53" t="str"/>
      <x:c r="N35" s="53" t="n">
        <x:v>0.5</x:v>
      </x:c>
      <x:c r="O35" s="54" t="b">
        <x:v>0</x:v>
      </x:c>
      <x:c r="P35" s="53" t="str">
        <x:v>REMEDIATION_MAPPING_HYPOTHESIS</x:v>
      </x:c>
      <x:c r="Q35" s="53" t="str">
        <x:v>Prefers a stable purpose with flexible implementation routes.</x:v>
      </x:c>
      <x:c r="R35" s="53" t="str">
        <x:v>Flexible tools can be a response to a varied metagame rather than a stable preference.</x:v>
      </x:c>
      <x:c r="S35" s="53" t="str">
        <x:v>UB</x:v>
      </x:c>
      <x:c r="T35" s="53" t="str">
        <x:v>primary / clear_separation / b1.crucible.yore-glint.v1</x:v>
      </x:c>
    </x:row>
    <x:row r="37" ht="28" customHeight="1">
      <x:c r="A37" s="45" t="str">
        <x:v>FINAL CANDIDATE INVENTORY</x:v>
      </x:c>
      <x:c r="B37" s="45"/>
      <x:c r="C37" s="45"/>
      <x:c r="D37" s="45"/>
      <x:c r="E37" s="45"/>
      <x:c r="F37" s="45"/>
      <x:c r="G37" s="45"/>
      <x:c r="H37" s="45"/>
      <x:c r="I37" s="45"/>
      <x:c r="J37" s="45"/>
      <x:c r="K37" s="45"/>
      <x:c r="L37" s="45"/>
      <x:c r="M37" s="45"/>
      <x:c r="N37" s="45"/>
      <x:c r="O37" s="45"/>
      <x:c r="P37" s="45"/>
      <x:c r="Q37" s="45"/>
      <x:c r="R37" s="45"/>
      <x:c r="S37" s="45"/>
      <x:c r="T37" s="45"/>
    </x:row>
    <x:row r="38" ht="28" customHeight="1">
      <x:c r="A38" s="45" t="str">
        <x:v>Rank</x:v>
      </x:c>
      <x:c r="B38" s="45" t="str">
        <x:v>Identity</x:v>
      </x:c>
      <x:c r="C38" s="45" t="str">
        <x:v>Name</x:v>
      </x:c>
      <x:c r="D38" s="45" t="str">
        <x:v>Score</x:v>
      </x:c>
      <x:c r="E38" s="45" t="str">
        <x:v>Qualified</x:v>
      </x:c>
      <x:c r="F38" s="45" t="str">
        <x:v>Positive Constructs</x:v>
      </x:c>
    </x:row>
    <x:row r="39">
      <x:c r="A39" s="53" t="n">
        <x:v>1</x:v>
      </x:c>
      <x:c r="B39" s="53" t="str">
        <x:v>UB</x:v>
      </x:c>
      <x:c r="C39" s="53" t="str">
        <x:v>House Dimir</x:v>
      </x:c>
      <x:c r="D39" s="53" t="n">
        <x:v>0.75</x:v>
      </x:c>
      <x:c r="E39" s="54" t="b">
        <x:v>1</x:v>
      </x:c>
      <x:c r="F39" s="53" t="str">
        <x:v>C06 | C08</x:v>
      </x:c>
    </x:row>
    <x:row r="40">
      <x:c r="A40" s="53" t="n">
        <x:v>2</x:v>
      </x:c>
      <x:c r="B40" s="53" t="str">
        <x:v>GLINT</x:v>
      </x:c>
      <x:c r="C40" s="53" t="str">
        <x:v>Glint / Chaos</x:v>
      </x:c>
      <x:c r="D40" s="53" t="n">
        <x:v>0.75</x:v>
      </x:c>
      <x:c r="E40" s="54" t="b">
        <x:v>0</x:v>
      </x:c>
      <x:c r="F40" s="53" t="str">
        <x:v>C08</x:v>
      </x:c>
    </x:row>
    <x:row r="41">
      <x:c r="A41" s="53" t="n">
        <x:v>3</x:v>
      </x:c>
      <x:c r="B41" s="53" t="str">
        <x:v>GRIXIS</x:v>
      </x:c>
      <x:c r="C41" s="53" t="str">
        <x:v>Grixis</x:v>
      </x:c>
      <x:c r="D41" s="53" t="n">
        <x:v>0.6875</x:v>
      </x:c>
      <x:c r="E41" s="54" t="b">
        <x:v>0</x:v>
      </x:c>
      <x:c r="F41" s="53" t="str">
        <x:v>C08 | C16</x:v>
      </x:c>
    </x:row>
    <x:row r="42">
      <x:c r="A42" s="53" t="n">
        <x:v>4</x:v>
      </x:c>
      <x:c r="B42" s="53" t="str">
        <x:v>JESKAI</x:v>
      </x:c>
      <x:c r="C42" s="53" t="str">
        <x:v>Jeskai Way</x:v>
      </x:c>
      <x:c r="D42" s="53" t="n">
        <x:v>0.5</x:v>
      </x:c>
      <x:c r="E42" s="54" t="b">
        <x:v>0</x:v>
      </x:c>
      <x:c r="F42" s="53" t="str">
        <x:v>C16</x:v>
      </x:c>
    </x:row>
    <x:row r="43">
      <x:c r="A43" s="53" t="n">
        <x:v>5</x:v>
      </x:c>
      <x:c r="B43" s="53" t="str">
        <x:v>SULTAI</x:v>
      </x:c>
      <x:c r="C43" s="53" t="str">
        <x:v>Sultai Brood</x:v>
      </x:c>
      <x:c r="D43" s="53" t="n">
        <x:v>0.458333</x:v>
      </x:c>
      <x:c r="E43" s="54" t="b">
        <x:v>0</x:v>
      </x:c>
      <x:c r="F43" s="53" t="str">
        <x:v>C06</x:v>
      </x:c>
    </x:row>
    <x:row r="44">
      <x:c r="A44" s="53" t="n">
        <x:v>6</x:v>
      </x:c>
      <x:c r="B44" s="53" t="str">
        <x:v>B</x:v>
      </x:c>
      <x:c r="C44" s="53" t="str">
        <x:v>Black</x:v>
      </x:c>
      <x:c r="D44" s="53" t="n">
        <x:v>0.4375</x:v>
      </x:c>
      <x:c r="E44" s="54" t="b">
        <x:v>0</x:v>
      </x:c>
      <x:c r="F44" s="53" t="str">
        <x:v>C16</x:v>
      </x:c>
    </x:row>
    <x:row r="45">
      <x:c r="A45" s="53" t="n">
        <x:v>7</x:v>
      </x:c>
      <x:c r="B45" s="53" t="str">
        <x:v>WUBRG</x:v>
      </x:c>
      <x:c r="C45" s="53" t="str">
        <x:v>Five-Color / WUBRG</x:v>
      </x:c>
      <x:c r="D45" s="53" t="n">
        <x:v>0.375</x:v>
      </x:c>
      <x:c r="E45" s="54" t="b">
        <x:v>0</x:v>
      </x:c>
      <x:c r="F45" s="53" t="str">
        <x:v>C06</x:v>
      </x:c>
    </x:row>
    <x:row r="46">
      <x:c r="A46" s="53" t="n">
        <x:v>8</x:v>
      </x:c>
      <x:c r="B46" s="53" t="str">
        <x:v>ESPER</x:v>
      </x:c>
      <x:c r="C46" s="53" t="str">
        <x:v>Esper</x:v>
      </x:c>
      <x:c r="D46" s="53" t="n">
        <x:v>0.1875</x:v>
      </x:c>
      <x:c r="E46" s="54" t="b">
        <x:v>0</x:v>
      </x:c>
      <x:c r="F46" s="53" t="str"/>
    </x:row>
    <x:row r="47">
      <x:c r="A47" s="53" t="n">
        <x:v>9</x:v>
      </x:c>
      <x:c r="B47" s="53" t="str">
        <x:v>U</x:v>
      </x:c>
      <x:c r="C47" s="53" t="str">
        <x:v>Blue</x:v>
      </x:c>
      <x:c r="D47" s="53" t="n">
        <x:v>0.1875</x:v>
      </x:c>
      <x:c r="E47" s="54" t="b">
        <x:v>0</x:v>
      </x:c>
      <x:c r="F47" s="53" t="str"/>
    </x:row>
    <x:row r="48">
      <x:c r="A48" s="53" t="n">
        <x:v>10</x:v>
      </x:c>
      <x:c r="B48" s="53" t="str">
        <x:v>WU</x:v>
      </x:c>
      <x:c r="C48" s="53" t="str">
        <x:v>Azorius Senate</x:v>
      </x:c>
      <x:c r="D48" s="53" t="n">
        <x:v>0.125</x:v>
      </x:c>
      <x:c r="E48" s="54" t="b">
        <x:v>0</x:v>
      </x:c>
      <x:c r="F48" s="53" t="str"/>
    </x:row>
    <x:row r="49">
      <x:c r="A49" s="53" t="n">
        <x:v>11</x:v>
      </x:c>
      <x:c r="B49" s="53" t="str">
        <x:v>BG</x:v>
      </x:c>
      <x:c r="C49" s="53" t="str">
        <x:v>Golgari Swarm</x:v>
      </x:c>
      <x:c r="D49" s="53" t="n">
        <x:v>0.083333</x:v>
      </x:c>
      <x:c r="E49" s="54" t="b">
        <x:v>0</x:v>
      </x:c>
      <x:c r="F49" s="53" t="str"/>
    </x:row>
    <x:row r="50">
      <x:c r="A50" s="53" t="n">
        <x:v>12</x:v>
      </x:c>
      <x:c r="B50" s="53" t="str">
        <x:v>COLORLESS</x:v>
      </x:c>
      <x:c r="C50" s="53" t="str">
        <x:v>Colorless</x:v>
      </x:c>
      <x:c r="D50" s="53" t="n">
        <x:v>0.083333</x:v>
      </x:c>
      <x:c r="E50" s="54" t="b">
        <x:v>0</x:v>
      </x:c>
      <x:c r="F50" s="53" t="str"/>
    </x:row>
    <x:row r="51">
      <x:c r="A51" s="53" t="n">
        <x:v>13</x:v>
      </x:c>
      <x:c r="B51" s="53" t="str">
        <x:v>LOREHOLD</x:v>
      </x:c>
      <x:c r="C51" s="53" t="str">
        <x:v>Lorehold College</x:v>
      </x:c>
      <x:c r="D51" s="53" t="n">
        <x:v>0.083333</x:v>
      </x:c>
      <x:c r="E51" s="54" t="b">
        <x:v>0</x:v>
      </x:c>
      <x:c r="F51" s="53" t="str"/>
    </x:row>
    <x:row r="52">
      <x:c r="A52" s="53" t="n">
        <x:v>14</x:v>
      </x:c>
      <x:c r="B52" s="53" t="str">
        <x:v>QUANDRIX</x:v>
      </x:c>
      <x:c r="C52" s="53" t="str">
        <x:v>Quandrix College</x:v>
      </x:c>
      <x:c r="D52" s="53" t="n">
        <x:v>0.083333</x:v>
      </x:c>
      <x:c r="E52" s="54" t="b">
        <x:v>0</x:v>
      </x:c>
      <x:c r="F52" s="53" t="str"/>
    </x:row>
    <x:row r="53">
      <x:c r="A53" s="53" t="n">
        <x:v>15</x:v>
      </x:c>
      <x:c r="B53" s="53" t="str">
        <x:v>UG</x:v>
      </x:c>
      <x:c r="C53" s="53" t="str">
        <x:v>Simic Combine</x:v>
      </x:c>
      <x:c r="D53" s="53" t="n">
        <x:v>0.083333</x:v>
      </x:c>
      <x:c r="E53" s="54" t="b">
        <x:v>0</x:v>
      </x:c>
      <x:c r="F53" s="53" t="str"/>
    </x:row>
    <x:row r="54">
      <x:c r="A54" s="53" t="n">
        <x:v>16</x:v>
      </x:c>
      <x:c r="B54" s="53" t="str">
        <x:v>UR</x:v>
      </x:c>
      <x:c r="C54" s="53" t="str">
        <x:v>Izzet League</x:v>
      </x:c>
      <x:c r="D54" s="53" t="n">
        <x:v>0.083333</x:v>
      </x:c>
      <x:c r="E54" s="54" t="b">
        <x:v>0</x:v>
      </x:c>
      <x:c r="F54" s="53" t="str"/>
    </x:row>
    <x:row r="55">
      <x:c r="A55" s="53" t="n">
        <x:v>17</x:v>
      </x:c>
      <x:c r="B55" s="53" t="str">
        <x:v>WITCH</x:v>
      </x:c>
      <x:c r="C55" s="53" t="str">
        <x:v>Witch / Growth</x:v>
      </x:c>
      <x:c r="D55" s="53" t="n">
        <x:v>0.083333</x:v>
      </x:c>
      <x:c r="E55" s="54" t="b">
        <x:v>0</x:v>
      </x:c>
      <x:c r="F55" s="53" t="str"/>
    </x:row>
    <x:row r="56">
      <x:c r="A56" s="53" t="n">
        <x:v>18</x:v>
      </x:c>
      <x:c r="B56" s="53" t="str">
        <x:v>WITHERBLOOM</x:v>
      </x:c>
      <x:c r="C56" s="53" t="str">
        <x:v>Witherbloom College</x:v>
      </x:c>
      <x:c r="D56" s="53" t="n">
        <x:v>0.083333</x:v>
      </x:c>
      <x:c r="E56" s="54" t="b">
        <x:v>0</x:v>
      </x:c>
      <x:c r="F56" s="53" t="str"/>
    </x:row>
    <x:row r="57">
      <x:c r="A57" s="53" t="n">
        <x:v>19</x:v>
      </x:c>
      <x:c r="B57" s="53" t="str">
        <x:v>YORE</x:v>
      </x:c>
      <x:c r="C57" s="53" t="str">
        <x:v>Yore / Artifice</x:v>
      </x:c>
      <x:c r="D57" s="53" t="n">
        <x:v>0.083333</x:v>
      </x:c>
      <x:c r="E57" s="54" t="b">
        <x:v>0</x:v>
      </x:c>
      <x:c r="F57" s="53" t="str"/>
    </x:row>
    <x:row r="58">
      <x:c r="A58" s="53" t="n">
        <x:v>20</x:v>
      </x:c>
      <x:c r="B58" s="53" t="str">
        <x:v>ABZAN</x:v>
      </x:c>
      <x:c r="C58" s="53" t="str">
        <x:v>Abzan Houses</x:v>
      </x:c>
      <x:c r="D58" s="53" t="n">
        <x:v>0</x:v>
      </x:c>
      <x:c r="E58" s="54" t="b">
        <x:v>0</x:v>
      </x:c>
      <x:c r="F58" s="53" t="str"/>
    </x:row>
    <x:row r="59">
      <x:c r="A59" s="53" t="n">
        <x:v>21</x:v>
      </x:c>
      <x:c r="B59" s="53" t="str">
        <x:v>BANT</x:v>
      </x:c>
      <x:c r="C59" s="53" t="str">
        <x:v>Bant</x:v>
      </x:c>
      <x:c r="D59" s="53" t="n">
        <x:v>0</x:v>
      </x:c>
      <x:c r="E59" s="54" t="b">
        <x:v>0</x:v>
      </x:c>
      <x:c r="F59" s="53" t="str"/>
    </x:row>
    <x:row r="60">
      <x:c r="A60" s="53" t="n">
        <x:v>22</x:v>
      </x:c>
      <x:c r="B60" s="53" t="str">
        <x:v>BR</x:v>
      </x:c>
      <x:c r="C60" s="53" t="str">
        <x:v>Cult of Rakdos</x:v>
      </x:c>
      <x:c r="D60" s="53" t="n">
        <x:v>0</x:v>
      </x:c>
      <x:c r="E60" s="54" t="b">
        <x:v>0</x:v>
      </x:c>
      <x:c r="F60" s="53" t="str"/>
    </x:row>
    <x:row r="61">
      <x:c r="A61" s="53" t="n">
        <x:v>23</x:v>
      </x:c>
      <x:c r="B61" s="53" t="str">
        <x:v>DUNE</x:v>
      </x:c>
      <x:c r="C61" s="53" t="str">
        <x:v>Dune / Aggression</x:v>
      </x:c>
      <x:c r="D61" s="53" t="n">
        <x:v>0</x:v>
      </x:c>
      <x:c r="E61" s="54" t="b">
        <x:v>0</x:v>
      </x:c>
      <x:c r="F61" s="53" t="str"/>
    </x:row>
    <x:row r="62">
      <x:c r="A62" s="53" t="n">
        <x:v>24</x:v>
      </x:c>
      <x:c r="B62" s="53" t="str">
        <x:v>G</x:v>
      </x:c>
      <x:c r="C62" s="53" t="str">
        <x:v>Green</x:v>
      </x:c>
      <x:c r="D62" s="53" t="n">
        <x:v>0</x:v>
      </x:c>
      <x:c r="E62" s="54" t="b">
        <x:v>0</x:v>
      </x:c>
      <x:c r="F62" s="53" t="str"/>
    </x:row>
    <x:row r="63">
      <x:c r="A63" s="53" t="n">
        <x:v>25</x:v>
      </x:c>
      <x:c r="B63" s="53" t="str">
        <x:v>INK</x:v>
      </x:c>
      <x:c r="C63" s="53" t="str">
        <x:v>Ink / Altruism</x:v>
      </x:c>
      <x:c r="D63" s="53" t="n">
        <x:v>0</x:v>
      </x:c>
      <x:c r="E63" s="54" t="b">
        <x:v>0</x:v>
      </x:c>
      <x:c r="F63" s="53" t="str"/>
    </x:row>
    <x:row r="64">
      <x:c r="A64" s="53" t="n">
        <x:v>26</x:v>
      </x:c>
      <x:c r="B64" s="53" t="str">
        <x:v>JUND</x:v>
      </x:c>
      <x:c r="C64" s="53" t="str">
        <x:v>Jund</x:v>
      </x:c>
      <x:c r="D64" s="53" t="n">
        <x:v>0</x:v>
      </x:c>
      <x:c r="E64" s="54" t="b">
        <x:v>0</x:v>
      </x:c>
      <x:c r="F64" s="53" t="str"/>
    </x:row>
    <x:row r="65">
      <x:c r="A65" s="53" t="n">
        <x:v>27</x:v>
      </x:c>
      <x:c r="B65" s="53" t="str">
        <x:v>MARDU</x:v>
      </x:c>
      <x:c r="C65" s="53" t="str">
        <x:v>Mardu Horde</x:v>
      </x:c>
      <x:c r="D65" s="53" t="n">
        <x:v>0</x:v>
      </x:c>
      <x:c r="E65" s="54" t="b">
        <x:v>0</x:v>
      </x:c>
      <x:c r="F65" s="53" t="str"/>
    </x:row>
    <x:row r="66">
      <x:c r="A66" s="53" t="n">
        <x:v>28</x:v>
      </x:c>
      <x:c r="B66" s="53" t="str">
        <x:v>NAYA</x:v>
      </x:c>
      <x:c r="C66" s="53" t="str">
        <x:v>Naya</x:v>
      </x:c>
      <x:c r="D66" s="53" t="n">
        <x:v>0</x:v>
      </x:c>
      <x:c r="E66" s="54" t="b">
        <x:v>0</x:v>
      </x:c>
      <x:c r="F66" s="53" t="str"/>
    </x:row>
    <x:row r="67">
      <x:c r="A67" s="53" t="n">
        <x:v>29</x:v>
      </x:c>
      <x:c r="B67" s="53" t="str">
        <x:v>PRISMARI</x:v>
      </x:c>
      <x:c r="C67" s="53" t="str">
        <x:v>Prismari College</x:v>
      </x:c>
      <x:c r="D67" s="53" t="n">
        <x:v>0</x:v>
      </x:c>
      <x:c r="E67" s="54" t="b">
        <x:v>0</x:v>
      </x:c>
      <x:c r="F67" s="53" t="str"/>
    </x:row>
    <x:row r="68">
      <x:c r="A68" s="53" t="n">
        <x:v>30</x:v>
      </x:c>
      <x:c r="B68" s="53" t="str">
        <x:v>R</x:v>
      </x:c>
      <x:c r="C68" s="53" t="str">
        <x:v>Red</x:v>
      </x:c>
      <x:c r="D68" s="53" t="n">
        <x:v>0</x:v>
      </x:c>
      <x:c r="E68" s="54" t="b">
        <x:v>0</x:v>
      </x:c>
      <x:c r="F68" s="53" t="str"/>
    </x:row>
    <x:row r="69">
      <x:c r="A69" s="53" t="n">
        <x:v>31</x:v>
      </x:c>
      <x:c r="B69" s="53" t="str">
        <x:v>RG</x:v>
      </x:c>
      <x:c r="C69" s="53" t="str">
        <x:v>Gruul Clans</x:v>
      </x:c>
      <x:c r="D69" s="53" t="n">
        <x:v>0</x:v>
      </x:c>
      <x:c r="E69" s="54" t="b">
        <x:v>0</x:v>
      </x:c>
      <x:c r="F69" s="53" t="str"/>
    </x:row>
    <x:row r="70">
      <x:c r="A70" s="53" t="n">
        <x:v>32</x:v>
      </x:c>
      <x:c r="B70" s="53" t="str">
        <x:v>SILVERQUILL</x:v>
      </x:c>
      <x:c r="C70" s="53" t="str">
        <x:v>Silverquill College</x:v>
      </x:c>
      <x:c r="D70" s="53" t="n">
        <x:v>0</x:v>
      </x:c>
      <x:c r="E70" s="54" t="b">
        <x:v>0</x:v>
      </x:c>
      <x:c r="F70" s="53" t="str"/>
    </x:row>
    <x:row r="71">
      <x:c r="A71" s="53" t="n">
        <x:v>33</x:v>
      </x:c>
      <x:c r="B71" s="53" t="str">
        <x:v>TEMUR</x:v>
      </x:c>
      <x:c r="C71" s="53" t="str">
        <x:v>Temur Frontier</x:v>
      </x:c>
      <x:c r="D71" s="53" t="n">
        <x:v>0</x:v>
      </x:c>
      <x:c r="E71" s="54" t="b">
        <x:v>0</x:v>
      </x:c>
      <x:c r="F71" s="53" t="str"/>
    </x:row>
    <x:row r="72">
      <x:c r="A72" s="53" t="n">
        <x:v>34</x:v>
      </x:c>
      <x:c r="B72" s="53" t="str">
        <x:v>W</x:v>
      </x:c>
      <x:c r="C72" s="53" t="str">
        <x:v>White</x:v>
      </x:c>
      <x:c r="D72" s="53" t="n">
        <x:v>0</x:v>
      </x:c>
      <x:c r="E72" s="54" t="b">
        <x:v>0</x:v>
      </x:c>
      <x:c r="F72" s="53" t="str"/>
    </x:row>
    <x:row r="73">
      <x:c r="A73" s="53" t="n">
        <x:v>35</x:v>
      </x:c>
      <x:c r="B73" s="53" t="str">
        <x:v>WB</x:v>
      </x:c>
      <x:c r="C73" s="53" t="str">
        <x:v>Orzhov Syndicate</x:v>
      </x:c>
      <x:c r="D73" s="53" t="n">
        <x:v>0</x:v>
      </x:c>
      <x:c r="E73" s="54" t="b">
        <x:v>0</x:v>
      </x:c>
      <x:c r="F73" s="53" t="str"/>
    </x:row>
    <x:row r="74">
      <x:c r="A74" s="53" t="n">
        <x:v>36</x:v>
      </x:c>
      <x:c r="B74" s="53" t="str">
        <x:v>WG</x:v>
      </x:c>
      <x:c r="C74" s="53" t="str">
        <x:v>Selesnya Conclave</x:v>
      </x:c>
      <x:c r="D74" s="53" t="n">
        <x:v>0</x:v>
      </x:c>
      <x:c r="E74" s="54" t="b">
        <x:v>0</x:v>
      </x:c>
      <x:c r="F74" s="53" t="str"/>
    </x:row>
    <x:row r="75">
      <x:c r="A75" s="53" t="n">
        <x:v>37</x:v>
      </x:c>
      <x:c r="B75" s="53" t="str">
        <x:v>WR</x:v>
      </x:c>
      <x:c r="C75" s="53" t="str">
        <x:v>Boros Legion</x:v>
      </x:c>
      <x:c r="D75" s="53" t="n">
        <x:v>0</x:v>
      </x:c>
      <x:c r="E75" s="54" t="b">
        <x:v>0</x:v>
      </x:c>
      <x:c r="F75" s="53" t="str"/>
    </x:row>
    <x:row r="77" ht="28" customHeight="1">
      <x:c r="A77" s="45" t="str">
        <x:v>FINAL RESULT JSON — CHUNKED ONLY FOR XLSX CELL LIMIT</x:v>
      </x:c>
      <x:c r="B77" s="45"/>
      <x:c r="C77" s="45"/>
      <x:c r="D77" s="45"/>
      <x:c r="E77" s="45"/>
      <x:c r="F77" s="45"/>
      <x:c r="G77" s="45"/>
      <x:c r="H77" s="45"/>
      <x:c r="I77" s="45"/>
      <x:c r="J77" s="45"/>
      <x:c r="K77" s="45"/>
      <x:c r="L77" s="45"/>
      <x:c r="M77" s="45"/>
      <x:c r="N77" s="45"/>
      <x:c r="O77" s="45"/>
      <x:c r="P77" s="45"/>
      <x:c r="Q77" s="45"/>
      <x:c r="R77" s="45"/>
      <x:c r="S77" s="45"/>
      <x:c r="T77" s="45"/>
    </x:row>
    <x:row r="78">
      <x:c r="A78" s="53" t="str">
        <x:v>Part 1/3</x:v>
      </x:c>
      <x:c r="B78" s="53" t="str">
        <x:v>{
  "version": "2026-08-09-gate-b1-v1",
  "model_version": "vm551-gate-b1-placement-engine-v1",
  "instrument_version": "vm551-gate-b1-instrument-v2",
  "mapping_version": "vm551-gate-b1-mapping-v2-instrument-completion",
  "source_mode": "quick",
  "faction": "UB",
  "faction_name": "House Dimir",
  "institution_type": "guild",
  "world": "Ravnica",
  "identity": {
    "core_color": "U",
    "secondary_colors": [
      "B"
    ],
    "secondary_color": "B",
    "expression_key": "UB",
    "expression_name": "House Dimir",
    "expression_kind": "guild",
    "purity": null,
    "routing": {
      "edhrec_slug": "dimir",
      "mtgdecks_slug": "dimir",
      "label": "Dimir"
    }
  },
  "decree": "House Dimir is the clearest current fit from the approved observations.",
  "confidence": 0.046,
  "confidence_gap": 1,
  "mana_scores": {
    "W": 8,
    "U": 10,
    "B": 10,
    "R": 9,
    "G": 9
  },
  "top_matches": [
    {
      "rank": 1,
      "faction": "UB",
      "faction_name": "House Dimir",
      "institution_type": "guild",
      "world": "Ravnica",
      "identity": {
        "core_color": "U",
        "secondary_colors": [
          "B"
        ],
        "secondary_color": "B",
        "expression_key": "UB",
        "expression_name": "House Dimir",
        "expression_kind": "guild",
        "purity": null,
        "routing": {
          "edhrec_slug": "dimir",
          "mtgdecks_slug": "dimir",
          "label": "Dimir"
        }
      },
      "score": 0.75,
      "confidence": 0.046,
      "reason": "House Dimir remained plausible through C02, C08, C16; identity mapping remains a hypothesis."
    }
  ],
  "adjacent_matches": [],
  "internal_candidate_order": [
    {
      "identity": "UB",
      "score": 0.75,
      "positive_dependencies": 2,
      "qualification_dependencies": 2,
      "naming_dependencies": 1,
      "positive_constructs": [
        "C06",
        "C08"
      ],
      "satisfied_naming_rule_ids": [
        "instrument_completion_overlay:b1.hall.interaction-window.v1.pressure:UB"
      ],
      "naming_qualification": {
        "identity": "UB",
        "qualified": true,
        "satisfied_naming_rule_ids": [
          "instrument_completion_overlay:b1.hall.interaction-window.v1.pressure:UB"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"GLINT",
      "score": 0.75,
      "positive_dependencies": 1,
      "qualification_dependencies": 1,
      "naming_dependencies": 0,
      "positive_constructs": [
        "C08"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"GRIXIS",
      "score": 0.6875,
      "positive_dependencies": 2,
      "qualification_dependencies": 2,
      "naming_dependencies": 0,
      "positive_constructs": [
        "C08",
        "C16"
      ],
      "satisfied_naming_rule_ids": [],
      "naming_qualification": {
        "identity": "GRIXIS",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"C16"
      ]
    },
    {
      "identity": "JESKAI",
      "score": 0.5,
      "positive_dependencies": 1,
      "qualification_dependencies": 1,
      "naming_dependencies": 0,
      "positive_constructs": [
        "C16"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"SULTAI",
      "score": 0.458333,
      "positive_dependencies": 1,
      "qualification_dependencies": 1,
      "naming_dependencies": 0,
      "positive_constructs": [
        "C06"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0.4375,
      "positive_dependencies": 1,
      "qualification_dependencies": 1,
      "naming_dependencies": 0,
      "positive_constructs": [
        "C16"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"WUBRG",
      "score": 0.375,
      "positive_dependencies": 1,
      "qualification_dependencies": 1,
      "naming_dependencies": 0,
      "positive_constructs": [
        "C06"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0.1875,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"U",
      "score": 0.1875,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"WU",
      "score": 0.125,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"JUND",
      "score": 0,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"MARDU",
      "score": 0,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x:v>
      </x:c>
    </x:row>
    <x:row r="79">
      <x:c r="A79" s="53" t="str">
        <x:v>Part 2/3</x:v>
      </x:c>
      <x:c r="B79" s="53" t="str">
        <x:v>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"R",
      "score": 0,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"RG",
      "score": 0,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"TEMUR",
      "score": 0,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
      "score": 0,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"WR",
      "score": 0,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"UB",
    "GLINT",
    "GRIXIS",
    "JESKAI",
    "SULTAI"
  ],
  "alternatives": [],
  "refinement": {
    "kind": "revisit_prior_answer",
    "can_reduce_ambiguity": true,
    "remaining_candidates": [
      "UB",
      "GLINT",
      "GRIXIS",
      "JESKAI",
      "SULTAI",
      "B",
      "WUBRG"
    ],
    "unresolved_boundaries": [
      {
        "pair_id": "B__GLINT",
        "identities": [
          "B",
          "GLINT"
        ],
        "distinction": "B uses Resource sacrifice evidence; GLINT uses Initiative posture evidence. No direct pair claim is made.",
        "question_ids": [
          "b1.hall.sacrifice.v1",
          "b1.gate.initiative.v1",
          "b1.crucible.mono-multi.v1",
          "b1.hall.information-to-plan.v1",
          "b1.crucible.yore-glint.v1",
          "b1.crucible.glint-dune.v1",
          "b1.hall.setup.v1",
          "b1.crucible.disruption-boundary.v1",
          "b1.hall.interaction-window.v1"
        ],
        "coverage_status": "DIRECT-OR-STRUCTURAL-MAPPING-HYPOTHESIS; bounded player validation required"
      },
      {
        "pair_id": "B__SULTAI",
        "identities": [
          "B",
          "SULTAI"
        ],
        "distinction": "Direct scenario tests one bounded Commander behavior.",
        "question_ids": [
          "b1.crucible.sultai.v1",
          "b1.hall.information-to-plan.v1",
          "b1.crucible.mono-multi.v1",
          "b1.hall.sacrifice.v1",
          "b1.hall.engine-shape.v1",
          "b1.crucible.disruption-boundary.v1"
        ],
        "coverage_status": "DIRECT-OR-STRUCTURAL-MAPPING-HYPOTHESIS; bounded player validation required"
      },
      {
        "pair_id": "B__UB",
        "identities": [
          "B",
          "UB"
        ],
        "distinction": "B uses Resource sacrifice evidence; UB uses Resource visibility evidence. No direct pair claim is made.",
        "question_ids": [
          "b1.hall.sacrifice.v1",
          "b1.gate.visibility.v1",
          "b1.crucible.mono-multi.v1",
          "b1.hall.information-to-plan.v1",
          "b1.hall.engine-shape.v1",
          "b1.hall.interaction-window.v1",
          "b1.crucible.disruption-boundary.v1"
        ],
        "coverage_status": "DIRECT-OR-STRUCTURAL-MAPPING-HYPOTHESIS; bounded player validation required"
      },
      {
        "pair_id": "GLINT__GRIXIS",
        "identities": [
          "GLINT",
          "GRIXIS"
        ],
        "distinction": "Direct scenario tests one bounded Commander behavior.",
        "question_ids": [
          "b1.crucible.grixis.v1",
          "b1.hall.information-to-plan.v1",
          "b1.crucible.yore-glint.v1",
          "b1.crucible.glint-dune.v1",
          "b1.hall.setup.v1",
          "b1.crucible.disruption-boundary.v1"
        ],
        "coverage_status": "DIRECT-OR-STRUCTURAL-MAPPING-HYPOTHESIS; bounded player validation required"
      },
      {
        "pair_id": "GLINT__SULTAI",
        "identities": [
          "GLINT",
          "SULTAI"
        ],
        "distinction": "GLINT uses Repeatability preference evidence; SULTAI uses Resource sacrifice evidence. No direct pair claim is made.",
        "question_ids": [
          "b1.hall.repeatability.v1",
          "b1.hall.sacrifice.v1",
          "b1.crucible.mono-multi.v1",
          "b1.crucible.sultai.v1",
          "b1.crucible.yore-glint.v1",
          "b1.crucible.glint-dune.v1",
          "b1.hall.engine-shape.v1",
          "b1.hall.setup.v1",
          "b1.hall.interaction-window.v1"
        ],
        "coverage_status": "DIRECT-OR-STRUCTURAL-MAPPING-HYPOTHESIS; bounded player validation required"
      },
      {
        "pair_id": "GLINT__UB",
        "identities": [
          "GLINT",
          "UB"
        ],
        "distinction": "GLINT uses Repeatability preference evidence; UB uses Resource visibility evidence. No direct pair claim is made.",
        "question_ids": [
          "b1.hall.repeatability.v1",
          "b1.gate.visibility.v1",
          "b1.crucible.mono-multi.v1",
          "b1.hall.information-to-plan.v1",
          "b1.crucible.yore-glint.v1",
          "b1.crucible.glint-dune.v1",
          "b1.hall.engine-shape.v1",
          "b1.hall.interaction-window.v1",
          "b1.hall.setup.v1"
        ],
        "coverage_status": "DIRECT-OR-STRUCTURAL-MAPPING-HYPOTHESIS; bounded player validation required"
      },
      {
        "pair_id": "GRIXIS__JESKAI",
        "identities": [
          "GRIXIS",
          "JESKAI"
        ],
        "distinction": "GRIXIS uses Resource sacrifice evidence; JESKAI uses Mana commitment and interaction window evidence. No direct pair claim is made.",
        "question_ids": [
          "b1.hall.sacrifice.v1",
          "b1.hall.interaction-window.v1",
          "b1.crucible.mono-multi.v1",
          "b1.crucible.grixis.v1",
          "b1.crucible.jeskai.v1",
          "b1.crucible.disruption-boundary.v1",
          "b1.gate.initiative.v1"
        ],
        "coverage_status": "DIRECT-OR-STRUCTURAL-MAPPING-HYPOTHESIS; bounded player validation required"
      },
      {
        "pair_id": "GRIXIS__SULTAI",
        "identities": [
          "GRIXIS",
          "SULTAI"
        ],
        "distinction": "GRIXIS uses Initiative posture evidence; SULTAI uses Engine concentration evidence. No direct pair claim is made.",
        "question_ids": [
          "b1.gate.initiative.v1",
          "b1.hall.engine-shape.v1",
          "b1.crucible.mono-multi.v1",
          "b1.hall.information-to-plan.v1",
          "b1.crucible.grixis.v1",
          "b1.crucible.sultai.v1",
          "b1.crucible.disruption-boundary.v1",
          "b1.hall.interaction-window.v1"
        ],
        "coverage_status": "DIRECT-OR-STRUCTURAL-MAPPING-HYPOTHESIS; bounded player validation required"
      },
      {
        "pair_id": "GRIXIS__WUBRG",
        "identities": [
          "GRIXIS",
          "WUBRG"
        ],
        "distinction": "GRIXIS uses Initiative posture evidence; WUBRG uses Deck breadth and constraint evidence. No direct pair claim is made.",
        "question_ids": [
          "b1.gate.initiative.v1",
          "b1.hall.breadth.v1",
          "b1.crucible.mono-multi.v1",
          "b1.hall.information-to-plan.v1",
          "b1.crucible.grixis.v1",
          "b1.crucible.colorless-wubrg.v1",
          "b1.hall.commitment.v1",
          "b1.hall.engine-shape.v1",
          "b1.crucible.disruption-boundary.v1",
          "b1.hall.interaction-window.v1"
        ],
        "coverage_status": "DIRECT-OR-STRUCTURAL-MAPPING-HYPOTHESIS; bounded player validation required"
      },
      {
        "pair_id": "SULTAI__UB",
        "identities": [
          "SULTAI",
          "UB"
        ],
        "distinction": "SULTAI uses Resource sacrifice evidence; UB uses Resource visibility evidence. No direct pair claim is made.",
        "question_ids": [
          "b1.hall.sacrifice.v1",
          "b1.gate.visibility.v1",
          "b1.crucible.mono-multi.v1",
          "b1.hall.information-to-plan.v1",
          "b1.crucible.sultai.v1",
          "b1.hall.interaction-window.v1"
        ],
        "coverage_status": "DIRECT-OR-STRUCTURAL-MAPPING-HYPOTHESIS; bounded player validation required"
      },
      {
        "pair_id": "SULTAI__WUBRG",
        "identities": [
          "SULTAI",
          "WUBRG"
        ],
        "distinction": "SULTAI uses Resource sacrifice evidence; WUBRG uses Deck breadth and constraint evidence. No direct pair claim is made.",
        "question_ids": [
          "b1.hall.sacrifice.v1",
          "b1.hall.breadth.v1",
          "b1.crucible.mono-multi.v1",
          "b1.crucible.sultai.v1",
          "b1.crucible.colorless-wubrg.v1",
          "b1.hall.commitment.v1"
        ],
        "coverage_status": "DIRECT-OR-STRUCTURAL-MAPPING-HYPOTHESIS; bounded player validation required"
      },
      {
        "pair_id": "UB__WUBRG",
        "identities": [
          "UB",
          "WUBRG"
        ],
        "distinction": "UB uses Resource visibility evidence; WUBRG uses Deck breadth and constraint evidence. No direct pair claim is made.",
        "question_ids": [
          "b1.gate.visibility.v1",
          "b1.hall.breadth.v1",
          "b1.crucible.mono-multi.v1",
          "b1.hall.information-to-plan.v1",
          "b1.crucible.colorless-wubrg.v1",
          "b1.hall.commitment.v1",
          "b1.hall.interaction-window.v1"
        ],
        "coverage_status": "DIRECT-OR-STRUCTURAL-MAPPING-HYPOTHESIS; bounded player validation required"
      }
    ],
    "missing_constructs": [
      "C01",
      "C09",
      "C11",
      "C12",
      "C15"
    ],
    "question_id": null,
    "revisit": {
      "question_id": "b1.gate.initiative.v1",
      "answer_id": "b1.gate.initiative.v1.unsure",
      "reason": "A conditional or unknown response withheld directional evidence for the unresolved candidates."
    },
    "limitation": "Revisit only if the earlier uncertainty no longer reflects the player's preference."
  },
  "stopping": {
    "stop": true,
    "state": "primary",
    "reason": "clear_separation",
    "can_improve": true,
    "next_question_id": "b1.crucible.yore-glint.v1"
  },
  "starter_profile": {
    "format_interest": "commander",
    "budget_band": "mid",
    "experience_level": "returning"
  },
  "evidence_trail":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"I do not know yet",
      "prompt": "Your turn begins, no urgent threat needs an answer, and you have enough mana to act. What feels best?",
      "observation": "Reports insufficient experience for this construct.",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"answer_title": "As they commit",
      "prompt": "An opponent begins a decisive turn, but you do not yet know which card matters most. When do you want your deck to use the card or mana it kept available?",
      "observation": "Prefers the commitment window where opposing resources are exposed.",
      "deltas": [
        {
          "faction": "GLINT",
          "delta": 1
        },
        {
          "faction": "GRIXIS",
          "delta": 1
        },
        {
          "faction": "UB",
          "delta": 1
        }
      ]
    },
    {
      "question_id": "b1.hall.information-to-plan.v1",
      "answer_id": "b1.hall.information-to-plan.v1.exploit",
      "stage": "hall",
      "construct": "C16",
      "bounded_observation": "Prefers to exploit the current opening after gaining information.",
      "signal": "SIG_C16_EXPLOIT",
      "dependency_group": "DG_C16",
      "evidence_class": "BEHAVIORAL_OBSERVATION",
      "affected_identities": [
        "B",
        "GRIXIS",
        "JESKAI"
      ],
      "positive_support": [
        "B",
        "GRIXIS",
        "JESKAI"
      ],
      "contradiction": [],
      "neutral": false,
      "mapping_strength": 0.5,
      "naming_evidence": false,
      "qualification_eligible": true,
      "qualification_support": [
        "B",
        "GRIXIS",
        "JESKAI"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x:v>
      </x:c>
    </x:row>
    <x:row r="80">
      <x:c r="A80" s="53" t="str">
        <x:v>Part 3/3</x:v>
      </x:c>
      <x:c r="B80" s="53" t="str">
        <x:v>      "answer_title": "Use the opening now",
      "prompt": "A dangerous opposing play has been stopped, and you now have enough cards to choose among several workable plans. What do you most want to do next?",
      "observation": "Prefers to exploit the current opening after gaining information.",
      "deltas": [
        {
          "faction": "B",
          "delta": 0.5
        },
        {
          "faction": "GRIXIS",
          "delta": 0.5
        },
        {
          "faction": "JESKAI",
          "delta": 0.5
        }
      ]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"answer_title": "Keep the goal, change the tool",
      "prompt": "Opponents have learned how to stop your main engine. When you revise the deck, what structure do you want next?",
      "observation": "Prefers a stable purpose with flexible implementation routes.",
      "deltas": [
        {
          "faction": "SULTAI",
          "delta": 0.5
        },
        {
          "faction": "UB",
          "delta": 0.5
        },
        {
          "faction": "WUBRG",
          "delta": 0.5
        }
      ]
    }
  ],
  "evidence_ledger":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
    {
      "question_id": "b1.hall.information-to-plan.v1",
      "answer_id": "b1.hall.information-to-plan.v1.exploit",
      "stage": "hall",
      "construct": "C16",
      "bounded_observation": "Prefers to exploit the current opening after gaining information.",
      "signal": "SIG_C16_EXPLOIT",
      "dependency_group": "DG_C16",
      "evidence_class": "BEHAVIORAL_OBSERVATION",
      "affected_identities": [
        "B",
        "GRIXIS",
        "JESKAI"
      ],
      "positive_support": [
        "B",
        "GRIXIS",
        "JESKAI"
      ],
      "contradiction": [],
      "neutral": false,
      "mapping_strength": 0.5,
      "naming_evidence": false,
      "qualification_eligible": true,
      "qualification_support": [
        "B",
        "GRIXIS",
        "JESKAI"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
  ],
  "lens_ledger": [],
  "stage_history": [
    {
      "question_id": "b1.gate.initiative.v1",
      "answer_id": "b1.gate.initiative.v1.unsure",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"b1.hall.interaction-window.v1.pressure",
      "stage": "hall",
      "evidence_class": "BEHAVIORAL_OBSERVATION"
    },
    {
      "question_id": "b1.hall.information-to-plan.v1",
      "answer_id": "b1.hall.information-to-plan.v1.exploit",
      "stage": "hall",
      "evidence_class": "BEHAVIORAL_OBSERVATION"
    },
    {
      "question_id": "b1.hall.engine-shape.v1",
      "answer_id": "b1.hall.engine-shape.v1.purpose",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7:T37"/>
    <x:mergeCell ref="A77:T77"/>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Izzet League — Engine Trace</x:v>
      </x:c>
      <x:c r="B1" s="3"/>
      <x:c r="C1" s="3"/>
      <x:c r="D1" s="3"/>
      <x:c r="E1" s="3"/>
      <x:c r="F1" s="3"/>
      <x:c r="G1" s="3"/>
      <x:c r="H1" s="3"/>
      <x:c r="I1" s="3"/>
      <x:c r="J1" s="3"/>
      <x:c r="K1" s="3"/>
      <x:c r="L1" s="3"/>
      <x:c r="M1" s="3"/>
      <x:c r="N1" s="3"/>
      <x:c r="O1" s="3"/>
      <x:c r="P1" s="3"/>
      <x:c r="Q1" s="3"/>
      <x:c r="R1" s="3"/>
      <x:c r="S1" s="3"/>
      <x:c r="T1" s="3"/>
    </x:row>
    <x:row r="2" ht="30" customHeight="1">
      <x:c r="A2" s="7" t="str">
        <x:v>ENGINE-UR • PASS_MATCH • primary • trace d727ae2222d86a1b8e573ae28a9aa99d3b31cfc681a9fe8b224f2b385c895987</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UR</x:v>
      </x:c>
    </x:row>
    <x:row r="6">
      <x:c r="A6" s="53" t="str">
        <x:v>Expected public contract</x:v>
      </x:c>
      <x:c r="B6" s="53" t="str">
        <x:v>NAMED_DOSSIER</x:v>
      </x:c>
    </x:row>
    <x:row r="7">
      <x:c r="A7" s="53" t="str">
        <x:v>Witness status</x:v>
      </x:c>
      <x:c r="B7" s="53" t="str">
        <x:v>CURRENT_COMPATIBLE</x:v>
      </x:c>
    </x:row>
    <x:row r="8">
      <x:c r="A8" s="53" t="str">
        <x:v>Actual result</x:v>
      </x:c>
      <x:c r="B8" s="53" t="str">
        <x:v>UR</x:v>
      </x:c>
    </x:row>
    <x:row r="9">
      <x:c r="A9" s="53" t="str">
        <x:v>Directional result</x:v>
      </x:c>
      <x:c r="B9" s="53" t="str">
        <x:v>UR</x:v>
      </x:c>
    </x:row>
    <x:row r="10">
      <x:c r="A10" s="53" t="str">
        <x:v>Public state</x:v>
      </x:c>
      <x:c r="B10" s="53" t="str">
        <x:v>current-best-fit</x:v>
      </x:c>
    </x:row>
    <x:row r="11">
      <x:c r="A11" s="53" t="str">
        <x:v>Raw numeric leader</x:v>
      </x:c>
      <x:c r="B11" s="53" t="str">
        <x:v>UR</x:v>
      </x:c>
    </x:row>
    <x:row r="12">
      <x:c r="A12" s="53" t="str">
        <x:v>Raw score</x:v>
      </x:c>
      <x:c r="B12" s="53" t="n">
        <x:v>0.666667</x:v>
      </x:c>
    </x:row>
    <x:row r="13">
      <x:c r="A13" s="53" t="str">
        <x:v>Raw leader qualified</x:v>
      </x:c>
      <x:c r="B13" s="54" t="b">
        <x:v>1</x:v>
      </x:c>
    </x:row>
    <x:row r="14">
      <x:c r="A14" s="53" t="str">
        <x:v>Selected qualified</x:v>
      </x:c>
      <x:c r="B14" s="54" t="b">
        <x:v>1</x:v>
      </x:c>
    </x:row>
    <x:row r="15">
      <x:c r="A15" s="53" t="str">
        <x:v>Frontier</x:v>
      </x:c>
      <x:c r="B15" s="53" t="str">
        <x:v>UR</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outputs/01a02cd6-bce7-7832-9558-3075c52f146a/archscry-current-state-2026-08-22/evidence/engine/traces/ur.json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b1.gate.disruption.v1.recover</x:v>
      </x:c>
      <x:c r="G31" s="53" t="str">
        <x:v>A way to rebuild</x:v>
      </x:c>
      <x:c r="H31" s="53" t="str">
        <x:v>C03</x:v>
      </x:c>
      <x:c r="I31" s="53" t="str">
        <x:v>SIG_C03_RECOVER</x:v>
      </x:c>
      <x:c r="J31" s="53" t="str">
        <x:v>DG_C03</x:v>
      </x:c>
      <x:c r="K31" s="53" t="str">
        <x:v>BEHAVIORAL_OBSERVATION</x:v>
      </x:c>
      <x:c r="L31" s="53" t="str">
        <x:v>G | RG</x:v>
      </x:c>
      <x:c r="M31" s="53" t="str"/>
      <x:c r="N31" s="53" t="n">
        <x:v>0.5</x:v>
      </x:c>
      <x:c r="O31" s="54" t="b">
        <x:v>0</x:v>
      </x:c>
      <x:c r="P31" s="53" t="str">
        <x:v>REMEDIATION_MAPPING_HYPOTHESIS</x:v>
      </x:c>
      <x:c r="Q31" s="53" t="str">
        <x:v>Prefers recovery after broad disruption.</x:v>
      </x:c>
      <x:c r="R31" s="53" t="str">
        <x:v>Observation wording and identity association require player validation; no weight is authorized.</x:v>
      </x:c>
      <x:c r="S31" s="53" t="str">
        <x:v>RG</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b1.gate.tempo.v1.small</x:v>
      </x:c>
      <x:c r="G32" s="53" t="str">
        <x:v>A little every turn</x:v>
      </x:c>
      <x:c r="H32" s="53" t="str">
        <x:v>C04</x:v>
      </x:c>
      <x:c r="I32" s="53" t="str">
        <x:v>SIG_C04_INCREMENTAL</x:v>
      </x:c>
      <x:c r="J32" s="53" t="str">
        <x:v>DG_C04</x:v>
      </x:c>
      <x:c r="K32" s="53" t="str">
        <x:v>BEHAVIORAL_OBSERVATION</x:v>
      </x:c>
      <x:c r="L32" s="53" t="str"/>
      <x:c r="M32" s="53" t="str"/>
      <x:c r="N32" s="53" t="n">
        <x:v>0</x:v>
      </x:c>
      <x:c r="O32" s="54" t="b">
        <x:v>0</x:v>
      </x:c>
      <x:c r="P32" s="53" t="str">
        <x:v>OBSERVATION_ONLY</x:v>
      </x:c>
      <x:c r="Q32" s="53" t="str">
        <x:v>Prefers incremental advantage.</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RG</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b1.hall.engine-shape.v1.overlap</x:v>
      </x:c>
      <x:c r="G34" s="53" t="str">
        <x:v>Let smaller engines overlap</x:v>
      </x:c>
      <x:c r="H34" s="53" t="str">
        <x:v>C06</x:v>
      </x:c>
      <x:c r="I34" s="53" t="str">
        <x:v>SIG_C06_MODULAR</x:v>
      </x:c>
      <x:c r="J34" s="53" t="str">
        <x:v>DG_C06</x:v>
      </x:c>
      <x:c r="K34" s="53" t="str">
        <x:v>BEHAVIORAL_OBSERVATION</x:v>
      </x:c>
      <x:c r="L34" s="53" t="str">
        <x:v>BG | UR | WITHERBLOOM</x:v>
      </x:c>
      <x:c r="M34" s="53" t="str"/>
      <x:c r="N34" s="53" t="n">
        <x:v>0.5</x:v>
      </x:c>
      <x:c r="O34" s="54" t="b">
        <x:v>0</x:v>
      </x:c>
      <x:c r="P34" s="53" t="str">
        <x:v>REMEDIATION_MAPPING_HYPOTHESIS</x:v>
      </x:c>
      <x:c r="Q34" s="53" t="str">
        <x:v>Prefers modular engines whose functions overlap.</x:v>
      </x:c>
      <x:c r="R34" s="53" t="str">
        <x:v>Overlapping packages may be required by singleton deck construction.</x:v>
      </x:c>
      <x:c r="S34" s="53" t="str">
        <x:v>UR</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b1.hall.setup.v1.early</x:v>
      </x:c>
      <x:c r="G35" s="53" t="str">
        <x:v>Contribute right away</x:v>
      </x:c>
      <x:c r="H35" s="53" t="str">
        <x:v>C14</x:v>
      </x:c>
      <x:c r="I35" s="53" t="str">
        <x:v>SIG_C14_EARLY_IMPACT</x:v>
      </x:c>
      <x:c r="J35" s="53" t="str">
        <x:v>DG_C14</x:v>
      </x:c>
      <x:c r="K35" s="53" t="str">
        <x:v>BEHAVIORAL_OBSERVATION</x:v>
      </x:c>
      <x:c r="L35" s="53" t="str">
        <x:v>BANT | INK | WG</x:v>
      </x:c>
      <x:c r="M35" s="53" t="str"/>
      <x:c r="N35" s="53" t="n">
        <x:v>0.5</x:v>
      </x:c>
      <x:c r="O35" s="54" t="b">
        <x:v>0</x:v>
      </x:c>
      <x:c r="P35" s="53" t="str">
        <x:v>REMEDIATION_MAPPING_HYPOTHESIS</x:v>
      </x:c>
      <x:c r="Q35" s="53" t="str">
        <x:v>Requires useful early participation while a longer plan develops.</x:v>
      </x:c>
      <x:c r="R35" s="53" t="str">
        <x:v>Early utility may be incidental to efficient cards rather than a community preference.</x:v>
      </x:c>
      <x:c r="S35" s="53" t="str">
        <x:v>UR</x:v>
      </x:c>
      <x:c r="T35" s="53" t="str">
        <x:v>incomplete / useful_evidence_remains / b1.crucible.ur.v1</x:v>
      </x:c>
    </x:row>
    <x:row r="36">
      <x:c r="A36" s="53" t="n">
        <x:v>8</x:v>
      </x:c>
      <x:c r="B36" s="53" t="str">
        <x:v>main</x:v>
      </x:c>
      <x:c r="C36" s="53" t="str">
        <x:v>crucible</x:v>
      </x:c>
      <x:c r="D36" s="53" t="str">
        <x:v>b1.crucible.ur.v1</x:v>
      </x:c>
      <x:c r="E36" s="53" t="str">
        <x:v>Your spell-heavy deck has mana for a major turn. Which payoff sounds more like the plan?</x:v>
      </x:c>
      <x:c r="F36" s="53" t="str">
        <x:v>b1.crucible.ur.v1.workshop</x:v>
      </x:c>
      <x:c r="G36" s="53" t="str">
        <x:v>Improve the working engine</x:v>
      </x:c>
      <x:c r="H36" s="53" t="str">
        <x:v>C04</x:v>
      </x:c>
      <x:c r="I36" s="53" t="str">
        <x:v>SIG_C04_INCREMENTAL</x:v>
      </x:c>
      <x:c r="J36" s="53" t="str">
        <x:v>DG_C04</x:v>
      </x:c>
      <x:c r="K36" s="53" t="str">
        <x:v>BEHAVIORAL_OBSERVATION</x:v>
      </x:c>
      <x:c r="L36" s="53" t="str">
        <x:v>UR</x:v>
      </x:c>
      <x:c r="M36" s="53" t="str">
        <x:v>PRISMARI</x:v>
      </x:c>
      <x:c r="N36" s="53" t="n">
        <x:v>1</x:v>
      </x:c>
      <x:c r="O36" s="54" t="b">
        <x:v>1</x:v>
      </x:c>
      <x:c r="P36" s="53" t="str">
        <x:v>MAPPING_HYPOTHESIS</x:v>
      </x:c>
      <x:c r="Q36" s="53" t="str">
        <x:v>Prefers iterative spell-engine payoff.</x:v>
      </x:c>
      <x:c r="R36" s="53" t="str">
        <x:v>Use only after prior independent observations leave the stated competitor boundary plausible; the identity association requires player validation.</x:v>
      </x:c>
      <x:c r="S36" s="53" t="str">
        <x:v>UR</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UR</x:v>
      </x:c>
      <x:c r="C40" s="53" t="str">
        <x:v>Izzet League</x:v>
      </x:c>
      <x:c r="D40" s="53" t="n">
        <x:v>0.666667</x:v>
      </x:c>
      <x:c r="E40" s="54" t="b">
        <x:v>1</x:v>
      </x:c>
      <x:c r="F40" s="53" t="str">
        <x:v>C04 | C06 | C07</x:v>
      </x:c>
    </x:row>
    <x:row r="41">
      <x:c r="A41" s="53" t="n">
        <x:v>2</x:v>
      </x:c>
      <x:c r="B41" s="53" t="str">
        <x:v>RG</x:v>
      </x:c>
      <x:c r="C41" s="53" t="str">
        <x:v>Gruul Clans</x:v>
      </x:c>
      <x:c r="D41" s="53" t="n">
        <x:v>0.541667</x:v>
      </x:c>
      <x:c r="E41" s="54" t="b">
        <x:v>0</x:v>
      </x:c>
      <x:c r="F41" s="53" t="str">
        <x:v>C01 | C03</x:v>
      </x:c>
    </x:row>
    <x:row r="42">
      <x:c r="A42" s="53" t="n">
        <x:v>3</x:v>
      </x:c>
      <x:c r="B42" s="53" t="str">
        <x:v>BG</x:v>
      </x:c>
      <x:c r="C42" s="53" t="str">
        <x:v>Golgari Swarm</x:v>
      </x:c>
      <x:c r="D42" s="53" t="n">
        <x:v>0.541667</x:v>
      </x:c>
      <x:c r="E42" s="54" t="b">
        <x:v>0</x:v>
      </x:c>
      <x:c r="F42" s="53" t="str">
        <x:v>C06</x:v>
      </x:c>
    </x:row>
    <x:row r="43">
      <x:c r="A43" s="53" t="n">
        <x:v>4</x:v>
      </x:c>
      <x:c r="B43" s="53" t="str">
        <x:v>G</x:v>
      </x:c>
      <x:c r="C43" s="53" t="str">
        <x:v>Green</x:v>
      </x:c>
      <x:c r="D43" s="53" t="n">
        <x:v>0.541667</x:v>
      </x:c>
      <x:c r="E43" s="54" t="b">
        <x:v>0</x:v>
      </x:c>
      <x:c r="F43" s="53" t="str">
        <x:v>C03</x:v>
      </x:c>
    </x:row>
    <x:row r="44">
      <x:c r="A44" s="53" t="n">
        <x:v>5</x:v>
      </x:c>
      <x:c r="B44" s="53" t="str">
        <x:v>JUND</x:v>
      </x:c>
      <x:c r="C44" s="53" t="str">
        <x:v>Jund</x:v>
      </x:c>
      <x:c r="D44" s="53" t="n">
        <x:v>0.541667</x:v>
      </x:c>
      <x:c r="E44" s="54" t="b">
        <x:v>0</x:v>
      </x:c>
      <x:c r="F44" s="53" t="str">
        <x:v>C01</x:v>
      </x:c>
    </x:row>
    <x:row r="45">
      <x:c r="A45" s="53" t="n">
        <x:v>6</x:v>
      </x:c>
      <x:c r="B45" s="53" t="str">
        <x:v>R</x:v>
      </x:c>
      <x:c r="C45" s="53" t="str">
        <x:v>Red</x:v>
      </x:c>
      <x:c r="D45" s="53" t="n">
        <x:v>0.541667</x:v>
      </x:c>
      <x:c r="E45" s="54" t="b">
        <x:v>0</x:v>
      </x:c>
      <x:c r="F45" s="53" t="str">
        <x:v>C01</x:v>
      </x:c>
    </x:row>
    <x:row r="46">
      <x:c r="A46" s="53" t="n">
        <x:v>7</x:v>
      </x:c>
      <x:c r="B46" s="53" t="str">
        <x:v>WITHERBLOOM</x:v>
      </x:c>
      <x:c r="C46" s="53" t="str">
        <x:v>Witherbloom College</x:v>
      </x:c>
      <x:c r="D46" s="53" t="n">
        <x:v>0.541667</x:v>
      </x:c>
      <x:c r="E46" s="54" t="b">
        <x:v>0</x:v>
      </x:c>
      <x:c r="F46" s="53" t="str">
        <x:v>C06</x:v>
      </x:c>
    </x:row>
    <x:row r="47">
      <x:c r="A47" s="53" t="n">
        <x:v>8</x:v>
      </x:c>
      <x:c r="B47" s="53" t="str">
        <x:v>BANT</x:v>
      </x:c>
      <x:c r="C47" s="53" t="str">
        <x:v>Bant</x:v>
      </x:c>
      <x:c r="D47" s="53" t="n">
        <x:v>0.458333</x:v>
      </x:c>
      <x:c r="E47" s="54" t="b">
        <x:v>0</x:v>
      </x:c>
      <x:c r="F47" s="53" t="str">
        <x:v>C14</x:v>
      </x:c>
    </x:row>
    <x:row r="48">
      <x:c r="A48" s="53" t="n">
        <x:v>9</x:v>
      </x:c>
      <x:c r="B48" s="53" t="str">
        <x:v>COLORLESS</x:v>
      </x:c>
      <x:c r="C48" s="53" t="str">
        <x:v>Colorless</x:v>
      </x:c>
      <x:c r="D48" s="53" t="n">
        <x:v>0.458333</x:v>
      </x:c>
      <x:c r="E48" s="54" t="b">
        <x:v>0</x:v>
      </x:c>
      <x:c r="F48" s="53" t="str">
        <x:v>C07</x:v>
      </x:c>
    </x:row>
    <x:row r="49">
      <x:c r="A49" s="53" t="n">
        <x:v>10</x:v>
      </x:c>
      <x:c r="B49" s="53" t="str">
        <x:v>INK</x:v>
      </x:c>
      <x:c r="C49" s="53" t="str">
        <x:v>Ink / Altruism</x:v>
      </x:c>
      <x:c r="D49" s="53" t="n">
        <x:v>0.458333</x:v>
      </x:c>
      <x:c r="E49" s="54" t="b">
        <x:v>0</x:v>
      </x:c>
      <x:c r="F49" s="53" t="str">
        <x:v>C14</x:v>
      </x:c>
    </x:row>
    <x:row r="50">
      <x:c r="A50" s="53" t="n">
        <x:v>11</x:v>
      </x:c>
      <x:c r="B50" s="53" t="str">
        <x:v>WG</x:v>
      </x:c>
      <x:c r="C50" s="53" t="str">
        <x:v>Selesnya Conclave</x:v>
      </x:c>
      <x:c r="D50" s="53" t="n">
        <x:v>0.458333</x:v>
      </x:c>
      <x:c r="E50" s="54" t="b">
        <x:v>0</x:v>
      </x:c>
      <x:c r="F50" s="53" t="str">
        <x:v>C14</x:v>
      </x:c>
    </x:row>
    <x:row r="51">
      <x:c r="A51" s="53" t="n">
        <x:v>12</x:v>
      </x:c>
      <x:c r="B51" s="53" t="str">
        <x:v>TEMUR</x:v>
      </x:c>
      <x:c r="C51" s="53" t="str">
        <x:v>Temur Frontier</x:v>
      </x:c>
      <x:c r="D51" s="53" t="n">
        <x:v>0.25</x:v>
      </x:c>
      <x:c r="E51" s="54" t="b">
        <x:v>0</x:v>
      </x:c>
      <x:c r="F51" s="53" t="str"/>
    </x:row>
    <x:row r="52">
      <x:c r="A52" s="53" t="n">
        <x:v>13</x:v>
      </x:c>
      <x:c r="B52" s="53" t="str">
        <x:v>UG</x:v>
      </x:c>
      <x:c r="C52" s="53" t="str">
        <x:v>Simic Combine</x:v>
      </x:c>
      <x:c r="D52" s="53" t="n">
        <x:v>0.25</x:v>
      </x:c>
      <x:c r="E52" s="54" t="b">
        <x:v>0</x:v>
      </x:c>
      <x:c r="F52" s="53" t="str"/>
    </x:row>
    <x:row r="53">
      <x:c r="A53" s="53" t="n">
        <x:v>14</x:v>
      </x:c>
      <x:c r="B53" s="53" t="str">
        <x:v>WR</x:v>
      </x:c>
      <x:c r="C53" s="53" t="str">
        <x:v>Boros Legion</x:v>
      </x:c>
      <x:c r="D53" s="53" t="n">
        <x:v>0.25</x:v>
      </x:c>
      <x:c r="E53" s="54" t="b">
        <x:v>0</x:v>
      </x:c>
      <x:c r="F53" s="53" t="str"/>
    </x:row>
    <x:row r="54">
      <x:c r="A54" s="53" t="n">
        <x:v>15</x:v>
      </x:c>
      <x:c r="B54" s="53" t="str">
        <x:v>LOREHOLD</x:v>
      </x:c>
      <x:c r="C54" s="53" t="str">
        <x:v>Lorehold College</x:v>
      </x:c>
      <x:c r="D54" s="53" t="n">
        <x:v>0.166667</x:v>
      </x:c>
      <x:c r="E54" s="54" t="b">
        <x:v>0</x:v>
      </x:c>
      <x:c r="F54" s="53" t="str"/>
    </x:row>
    <x:row r="55">
      <x:c r="A55" s="53" t="n">
        <x:v>16</x:v>
      </x:c>
      <x:c r="B55" s="53" t="str">
        <x:v>ABZAN</x:v>
      </x:c>
      <x:c r="C55" s="53" t="str">
        <x:v>Abzan Houses</x:v>
      </x:c>
      <x:c r="D55" s="53" t="n">
        <x:v>0.166667</x:v>
      </x:c>
      <x:c r="E55" s="54" t="b">
        <x:v>0</x:v>
      </x:c>
      <x:c r="F55" s="53" t="str"/>
    </x:row>
    <x:row r="56">
      <x:c r="A56" s="53" t="n">
        <x:v>17</x:v>
      </x:c>
      <x:c r="B56" s="53" t="str">
        <x:v>MARDU</x:v>
      </x:c>
      <x:c r="C56" s="53" t="str">
        <x:v>Mardu Horde</x:v>
      </x:c>
      <x:c r="D56" s="53" t="n">
        <x:v>0.166667</x:v>
      </x:c>
      <x:c r="E56" s="54" t="b">
        <x:v>0</x:v>
      </x:c>
      <x:c r="F56" s="53" t="str"/>
    </x:row>
    <x:row r="57">
      <x:c r="A57" s="53" t="n">
        <x:v>18</x:v>
      </x:c>
      <x:c r="B57" s="53" t="str">
        <x:v>QUANDRIX</x:v>
      </x:c>
      <x:c r="C57" s="53" t="str">
        <x:v>Quandrix College</x:v>
      </x:c>
      <x:c r="D57" s="53" t="n">
        <x:v>0.166667</x:v>
      </x:c>
      <x:c r="E57" s="54" t="b">
        <x:v>0</x:v>
      </x:c>
      <x:c r="F57" s="53" t="str"/>
    </x:row>
    <x:row r="58">
      <x:c r="A58" s="53" t="n">
        <x:v>19</x:v>
      </x:c>
      <x:c r="B58" s="53" t="str">
        <x:v>SULTAI</x:v>
      </x:c>
      <x:c r="C58" s="53" t="str">
        <x:v>Sultai Brood</x:v>
      </x:c>
      <x:c r="D58" s="53" t="n">
        <x:v>0.166667</x:v>
      </x:c>
      <x:c r="E58" s="54" t="b">
        <x:v>0</x:v>
      </x:c>
      <x:c r="F58" s="53" t="str"/>
    </x:row>
    <x:row r="59">
      <x:c r="A59" s="53" t="n">
        <x:v>20</x:v>
      </x:c>
      <x:c r="B59" s="53" t="str">
        <x:v>W</x:v>
      </x:c>
      <x:c r="C59" s="53" t="str">
        <x:v>White</x:v>
      </x:c>
      <x:c r="D59" s="53" t="n">
        <x:v>0.166667</x:v>
      </x:c>
      <x:c r="E59" s="54" t="b">
        <x:v>0</x:v>
      </x:c>
      <x:c r="F59" s="53" t="str"/>
    </x:row>
    <x:row r="60">
      <x:c r="A60" s="53" t="n">
        <x:v>21</x:v>
      </x:c>
      <x:c r="B60" s="53" t="str">
        <x:v>WITCH</x:v>
      </x:c>
      <x:c r="C60" s="53" t="str">
        <x:v>Witch / Growth</x:v>
      </x:c>
      <x:c r="D60" s="53" t="n">
        <x:v>0.166667</x:v>
      </x:c>
      <x:c r="E60" s="54" t="b">
        <x:v>0</x:v>
      </x:c>
      <x:c r="F60" s="53" t="str"/>
    </x:row>
    <x:row r="61">
      <x:c r="A61" s="53" t="n">
        <x:v>22</x:v>
      </x:c>
      <x:c r="B61" s="53" t="str">
        <x:v>GRIXIS</x:v>
      </x:c>
      <x:c r="C61" s="53" t="str">
        <x:v>Grixis</x:v>
      </x:c>
      <x:c r="D61" s="53" t="n">
        <x:v>0.125</x:v>
      </x:c>
      <x:c r="E61" s="54" t="b">
        <x:v>0</x:v>
      </x:c>
      <x:c r="F61" s="53" t="str"/>
    </x:row>
    <x:row r="62">
      <x:c r="A62" s="53" t="n">
        <x:v>23</x:v>
      </x:c>
      <x:c r="B62" s="53" t="str">
        <x:v>U</x:v>
      </x:c>
      <x:c r="C62" s="53" t="str">
        <x:v>Blue</x:v>
      </x:c>
      <x:c r="D62" s="53" t="n">
        <x:v>0.125</x:v>
      </x:c>
      <x:c r="E62" s="54" t="b">
        <x:v>0</x:v>
      </x:c>
      <x:c r="F62" s="53" t="str"/>
    </x:row>
    <x:row r="63">
      <x:c r="A63" s="53" t="n">
        <x:v>24</x:v>
      </x:c>
      <x:c r="B63" s="53" t="str">
        <x:v>BR</x:v>
      </x:c>
      <x:c r="C63" s="53" t="str">
        <x:v>Cult of Rakdos</x:v>
      </x:c>
      <x:c r="D63" s="53" t="n">
        <x:v>0.083333</x:v>
      </x:c>
      <x:c r="E63" s="54" t="b">
        <x:v>0</x:v>
      </x:c>
      <x:c r="F63" s="53" t="str"/>
    </x:row>
    <x:row r="64">
      <x:c r="A64" s="53" t="n">
        <x:v>25</x:v>
      </x:c>
      <x:c r="B64" s="53" t="str">
        <x:v>DUNE</x:v>
      </x:c>
      <x:c r="C64" s="53" t="str">
        <x:v>Dune / Aggression</x:v>
      </x:c>
      <x:c r="D64" s="53" t="n">
        <x:v>0.083333</x:v>
      </x:c>
      <x:c r="E64" s="54" t="b">
        <x:v>0</x:v>
      </x:c>
      <x:c r="F64" s="53" t="str"/>
    </x:row>
    <x:row r="65">
      <x:c r="A65" s="53" t="n">
        <x:v>26</x:v>
      </x:c>
      <x:c r="B65" s="53" t="str">
        <x:v>GLINT</x:v>
      </x:c>
      <x:c r="C65" s="53" t="str">
        <x:v>Glint / Chaos</x:v>
      </x:c>
      <x:c r="D65" s="53" t="n">
        <x:v>0.083333</x:v>
      </x:c>
      <x:c r="E65" s="54" t="b">
        <x:v>0</x:v>
      </x:c>
      <x:c r="F65" s="53" t="str"/>
    </x:row>
    <x:row r="66">
      <x:c r="A66" s="53" t="n">
        <x:v>27</x:v>
      </x:c>
      <x:c r="B66" s="53" t="str">
        <x:v>NAYA</x:v>
      </x:c>
      <x:c r="C66" s="53" t="str">
        <x:v>Naya</x:v>
      </x:c>
      <x:c r="D66" s="53" t="n">
        <x:v>0.083333</x:v>
      </x:c>
      <x:c r="E66" s="54" t="b">
        <x:v>0</x:v>
      </x:c>
      <x:c r="F66" s="53" t="str"/>
    </x:row>
    <x:row r="67">
      <x:c r="A67" s="53" t="n">
        <x:v>28</x:v>
      </x:c>
      <x:c r="B67" s="53" t="str">
        <x:v>YORE</x:v>
      </x:c>
      <x:c r="C67" s="53" t="str">
        <x:v>Yore / Artifice</x:v>
      </x:c>
      <x:c r="D67" s="53" t="n">
        <x:v>0.083333</x:v>
      </x:c>
      <x:c r="E67" s="54" t="b">
        <x:v>0</x:v>
      </x:c>
      <x:c r="F67" s="53" t="str"/>
    </x:row>
    <x:row r="68">
      <x:c r="A68" s="53" t="n">
        <x:v>29</x:v>
      </x:c>
      <x:c r="B68" s="53" t="str">
        <x:v>ESPER</x:v>
      </x:c>
      <x:c r="C68" s="53" t="str">
        <x:v>Esper</x:v>
      </x:c>
      <x:c r="D68" s="53" t="n">
        <x:v>0.0625</x:v>
      </x:c>
      <x:c r="E68" s="54" t="b">
        <x:v>0</x:v>
      </x:c>
      <x:c r="F68" s="53" t="str"/>
    </x:row>
    <x:row r="69">
      <x:c r="A69" s="53" t="n">
        <x:v>30</x:v>
      </x:c>
      <x:c r="B69" s="53" t="str">
        <x:v>JESKAI</x:v>
      </x:c>
      <x:c r="C69" s="53" t="str">
        <x:v>Jeskai Way</x:v>
      </x:c>
      <x:c r="D69" s="53" t="n">
        <x:v>0.0625</x:v>
      </x:c>
      <x:c r="E69" s="54" t="b">
        <x:v>0</x:v>
      </x:c>
      <x:c r="F69" s="53" t="str"/>
    </x:row>
    <x:row r="70">
      <x:c r="A70" s="53" t="n">
        <x:v>31</x:v>
      </x:c>
      <x:c r="B70" s="53" t="str">
        <x:v>UB</x:v>
      </x:c>
      <x:c r="C70" s="53" t="str">
        <x:v>House Dimir</x:v>
      </x:c>
      <x:c r="D70" s="53" t="n">
        <x:v>0.0625</x:v>
      </x:c>
      <x:c r="E70" s="54" t="b">
        <x:v>0</x:v>
      </x:c>
      <x:c r="F70" s="53" t="str"/>
    </x:row>
    <x:row r="71">
      <x:c r="A71" s="53" t="n">
        <x:v>32</x:v>
      </x:c>
      <x:c r="B71" s="53" t="str">
        <x:v>B</x:v>
      </x:c>
      <x:c r="C71" s="53" t="str">
        <x:v>Black</x:v>
      </x:c>
      <x:c r="D71" s="53" t="n">
        <x:v>0</x:v>
      </x:c>
      <x:c r="E71" s="54" t="b">
        <x:v>0</x:v>
      </x:c>
      <x:c r="F71" s="53" t="str"/>
    </x:row>
    <x:row r="72">
      <x:c r="A72" s="53" t="n">
        <x:v>33</x:v>
      </x:c>
      <x:c r="B72" s="53" t="str">
        <x:v>SILVERQUILL</x:v>
      </x:c>
      <x:c r="C72" s="53" t="str">
        <x:v>Silverquill College</x:v>
      </x:c>
      <x:c r="D72" s="53" t="n">
        <x:v>0</x:v>
      </x:c>
      <x:c r="E72" s="54" t="b">
        <x:v>0</x:v>
      </x:c>
      <x:c r="F72" s="53" t="str"/>
    </x:row>
    <x:row r="73">
      <x:c r="A73" s="53" t="n">
        <x:v>34</x:v>
      </x:c>
      <x:c r="B73" s="53" t="str">
        <x:v>WB</x:v>
      </x:c>
      <x:c r="C73" s="53" t="str">
        <x:v>Orzhov Syndicate</x:v>
      </x:c>
      <x:c r="D73" s="53" t="n">
        <x:v>0</x:v>
      </x:c>
      <x:c r="E73" s="54" t="b">
        <x:v>0</x:v>
      </x:c>
      <x:c r="F73" s="53" t="str"/>
    </x:row>
    <x:row r="74">
      <x:c r="A74" s="53" t="n">
        <x:v>35</x:v>
      </x:c>
      <x:c r="B74" s="53" t="str">
        <x:v>WU</x:v>
      </x:c>
      <x:c r="C74" s="53" t="str">
        <x:v>Azorius Senate</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PRISMARI</x:v>
      </x:c>
      <x:c r="C76" s="53" t="str">
        <x:v>Prismari College</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"UR",
  "faction_name": "Izzet League",
  "institution_type": "guild",
  "world": "Ravnica",
  "identity": {
    "core_color": "U",
    "secondary_colors": [
      "R"
    ],
    "secondary_color": "R",
    "expression_key": "UR",
    "expression_name": "Izzet League",
    "expression_kind": "guild",
    "purity": null,
    "routing": {
      "edhrec_slug": "izzet",
      "mtgdecks_slug": "izzet",
      "label": "Izzet"
    }
  },
  "decree": "Izzet League is the clearest current fit from the approved observations.",
  "confidence": 0.04,
  "confidence_gap": 1,
  "mana_scores": {
    "W": 9,
    "U": 9,
    "B": 9,
    "R": 9,
    "G": 10
  },
  "top_matches": [
    {
      "rank": 1,
      "faction": "UR",
      "faction_name": "Izzet League",
      "institution_type": "guild",
      "world": "Ravnica",
      "identity": {
        "core_color": "U",
        "secondary_colors": [
          "R"
        ],
        "secondary_color": "R",
        "expression_key": "UR",
        "expression_name": "Izzet League",
        "expression_kind": "guild",
        "purity": null,
        "routing": {
          "edhrec_slug": "izzet",
          "mtgdecks_slug": "izzet",
          "label": "Izzet"
        }
      },
      "score": 0.666667,
      "confidence": 0.04,
      "reason": "Izzet League remained plausible through C04, C06; identity mapping remains a hypothesis."
    }
  ],
  "adjacent_matches": [],
  "internal_candidate_order": [
    {
      "identity": "UR",
      "score": 0.666667,
      "positive_dependencies": 3,
      "qualification_dependencies": 3,
      "naming_dependencies": 1,
      "positive_constructs": [
        "C04",
        "C06",
        "C07"
      ],
      "satisfied_naming_rule_ids": [
        "baseline_40:b1.crucible.ur.v1.workshop:UR"
      ],
      "naming_qualification": {
        "identity": "UR",
        "qualified": true,
        "satisfied_naming_rule_ids": [
          "baseline_40:b1.crucible.ur.v1.workshop:UR"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"C06"
      ]
    },
    {
      "identity": "RG",
      "score": 0.541667,
      "positive_dependencies": 2,
      "qualification_dependencies": 2,
      "naming_dependencies": 0,
      "positive_constructs": [
        "C01",
        "C03"
      ],
      "satisfied_naming_rule_ids": [],
      "naming_qualification": {
        "identity": "RG",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"BG",
      "score": 0.541667,
      "positive_dependencies": 1,
      "qualification_dependencies": 1,
      "naming_dependencies": 0,
      "positive_constructs": [
        "C06"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"G",
      "score": 0.541667,
      "positive_dependencies": 1,
      "qualification_dependencies": 1,
      "naming_dependencies": 0,
      "positive_constructs": [
        "C03"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"WITHERBLOOM",
      "score": 0.541667,
      "positive_dependencies": 1,
      "qualification_dependencies": 1,
      "naming_dependencies": 0,
      "positive_constructs": [
        "C06"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"BANT",
      "score": 0.458333,
      "positive_dependencies": 1,
      "qualification_dependencies": 1,
      "naming_dependencies": 0,
      "positive_constructs": [
        "C14"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"COLORLESS",
      "score": 0.458333,
      "positive_dependencies": 1,
      "qualification_dependencies": 1,
      "naming_dependencies": 0,
      "positive_constructs": [
        "C07"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"INK",
      "score": 0.458333,
      "positive_dependencies": 1,
      "qualification_dependencies": 1,
      "naming_dependencies": 0,
      "positive_constructs": [
        "C14"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"WG",
      "score": 0.458333,
      "positive_dependencies": 1,
      "qualification_dependencies": 1,
      "naming_dependencies": 0,
      "positive_constructs": [
        "C14"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"TEMUR",
      "score": 0.25,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"UG",
      "score": 0.25,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"C14"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"LOREHOLD",
      "score": 0.166667,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"ABZAN",
      "score": 0.166667,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"QUANDRIX",
      "score": 0.166667,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"NAYA",
      "score": 0.083333,
      "positive_dependencies": 0,
      "qualification_dependencies": 0,
      "naming_dependencies": 0,
      "positive_constructs": [],
      "satisfied_naming_rule_ids": [],
      "naming_qualification": {
        "identity": "NAYA",
        "qualifi</x:v>
      </x:c>
    </x:row>
    <x:row r="80">
      <x:c r="A80" s="53" t="str">
        <x:v>Part 2/3</x:v>
      </x:c>
      <x:c r="B80" s="53" t="str">
        <x:v>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-0.479167,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"C04"
      ]
    }
  ],
  "candidate_set": [
    "UR",
    "RG",
    "BG",
    "G",
    "JUND",
    "R",
    "WITHERBLOOM",
    "BANT"
  ],
  "alternatives": [],
  "refinement": {
    "kind": "no_approved_discriminator",
    "can_reduce_ambiguity": false,
    "remaining_candidates": [
      "UR",
      "RG",
      "BG",
      "G",
      "JUND",
      "R",
      "WITHERBLOOM",
      "BANT"
    ],
    "unresolved_boundaries": [
      {
        "pair_id": "BANT__JUND",
        "identities": [
          "BANT",
          "JUND"
        ],
        "distinction": "BANT uses Commander reliance evidence; JUND uses Initiative posture evidence. No direct pair claim is made.",
        "question_ids": [
          "b1.hall.commander-role.v1",
          "b1.gate.initiative.v1",
          "b1.crucible.mono-multi.v1",
          "b1.crucible.bant.v1",
          "b1.hall.sacrifice.v1",
          "b1.hall.commitment.v1",
          "b1.hall.pressure.v1",
          "b1.hall.setup.v1",
          "b1.crucible.disruption-boundary.v1"
        ],
        "coverage_status": "DIRECT-OR-STRUCTURAL-MAPPING-HYPOTHESIS; bounded player validation required"
      },
      {
        "pair_id": "BG__WITHERBLOOM",
        "identities": [
          "BG",
          "WITHERBLOOM"
        ],
        "distinction": "Direct scenario tests one bounded Commander behavior.",
        "question_ids": [
          "b1.crucible.bg.v1",
          "b1.crucible.disruption-boundary.v1"
        ],
        "coverage_status": "DIRECT-OR-STRUCTURAL-MAPPING-HYPOTHESIS; bounded player validation required"
      },
      {
        "pair_id": "G__R",
        "identities": [
          "G",
          "R"
        ],
        "distinction": "G uses Disruption response evidence; R uses Initiative posture evidence. No direct pair claim is made.",
        "question_ids": [
          "b1.gate.disruption.v1",
          "b1.gate.initiative.v1",
          "b1.crucible.mono-multi.v1",
          "b1.hall.pressure.v1",
          "b1.hall.setup.v1",
          "b1.crucible.disruption-boundary.v1"
        ],
        "coverage_status": "DIRECT-OR-STRUCTURAL-MAPPING-HYPOTHESIS; bounded player validation required"
      }
    ],
    "missing_constructs": [
      "C05",
      "C12"
    ],
    "question_id": null,
    "purpose": "none_for_clean_primary",
    "target_identities": [
      "UR",
      "RG",
      "BG"
    ],
    "target_pair_ids": [
      "BANT__JUND",
      "BG__WITHERBLOOM",
      "G__R"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rebuild",
      "prompt": "A board wipe—an effect that removes many cards and tokens from the battlefield—is likely next turn. What would you rather have prepared?",
      "observation": "Prefers recovery after broad disruption.",
      "deltas": [
        {
          "faction": "G",
          "delta": 0.5
        },
        {
          "faction": "RG",
          "delta": 0.5
        }
      ]
    },
    {
      "question_id": "b1.gate.tempo.v1",
      "answer_id": "b1.gate.tempo.v1.small",
      "stage": "gate",
      "construct": "C04",
      "bounded_observation": "Prefers incremental advantage.",
      "signal": "SIG_C04_INCREMENTAL",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"A little every turn",
      "prompt": "When your Commander deck is doing what you built it to do, how do you want the advantage to arrive?",
      "observation": "Prefers incremental advantage.",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
      ]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"answer_title": "Contribute right away",
      "prompt": "Your deck becomes much stronger after several setup turns, but the table is already developing threats. What must the setup do along the way?",
      "observation": "Requires useful early participation while a longer plan develops.",
      "deltas": [
        {
          "faction": "BANT",
          "delta": 0.5
        },
        {
          "faction": "INK",
          "delta": 0.5
        },
        {
          "faction": "WG",
          "delta": 0.5
        }
      ]
    },
    {
      "question_id": "b1.crucible.ur.v1",
      "answer_id": "b1.crucible.ur.v1.workshop",
      "stage": "crucible",
      "construct": "C04",
      "bounded_observation": "Prefers iterative spell-engine payoff.",
      "signal": "SIG_C04_INCREMENTAL",
      "dependency_group": "DG_C04",
      "evidence_class": "BEHAVIORAL_OBSERVATION",
      "affected_identities": [
        "PRISMARI",
        "UR"
      ],
      "positive_support": [
        "UR"
      ],
      "contradiction": [
        "PRISMARI"
      ],
      "neutral": false,
      "mapping_strength": 1,
      "naming_evidence": true,
      "qualification_eligible": true,
      "qualification_support": [
        "UR"
      ],
      "naming_support": [
        "UR"
      ],
      "naming_rule_ids_by_identity": {
        "UR": [
          "baseline_40:b1.crucible.ur.v1.workshop:UR"
        ]
      },
      "mapping_role": "exact_pair_direction",
      "mapping_status": "MAPPING_HYPOTHESIS",
      "mapping_provenance": "answer-semantic-adjudication.tsv UR vs PRISMARI evidence-required hypothesis",
      "evidence_provenance": "E-CERTIFIED;E-PLAYER-THEME;E-PLAYER-PACE;E-AUDIT;E-CECOS;E-VOICE",
      "limitation": "Use only after prior independent observations leave the stated competitor boundary plausible; the identity association requires player validation.",
      "behavioral_vs_lens": "behavioral",
      "answer_title": "Improve the working engine",
      "prompt": "Your spell-heavy deck has mana for a major turn. Which payoff sounds more like the plan?",
      "observation": "Prefers iterative spell-engine payoff.",
      "deltas": [
        {
          "faction": "UR",
          "delta": 1
        },
        {
          "faction": "PRISMARI",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x:v>
      </x:c>
    </x:row>
    <x:row r="81">
      <x:c r="A81" s="53" t="str">
        <x:v>Part 3/3</x:v>
      </x:c>
      <x:c r="B81" s="53" t="str">
        <x:v>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"b1.gate.tempo.v1.small",
      "stage": "gate",
      "construct": "C04",
      "bounded_observation": "Prefers incremental advantage.",
      "signal": "SIG_C04_INCREMENTAL",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
    {
      "question_id": "b1.crucible.ur.v1",
      "answer_id": "b1.crucible.ur.v1.workshop",
      "stage": "crucible",
      "construct": "C04",
      "bounded_observation": "Prefers iterative spell-engine payoff.",
      "signal": "SIG_C04_INCREMENTAL",
      "dependency_group": "DG_C04",
      "evidence_class": "BEHAVIORAL_OBSERVATION",
      "affected_identities": [
        "PRISMARI",
        "UR"
      ],
      "positive_support": [
        "UR"
      ],
      "contradiction": [
        "PRISMARI"
      ],
      "neutral": false,
      "mapping_strength": 1,
      "naming_evidence": true,
      "qualification_eligible": true,
      "qualification_support": [
        "UR"
      ],
      "naming_support": [
        "UR"
      ],
      "naming_rule_ids_by_identity": {
        "UR": [
          "baseline_40:b1.crucible.ur.v1.workshop:UR"
        ]
      },
      "mapping_role": "exact_pair_direction",
      "mapping_status": "MAPPING_HYPOTHESIS",
      "mapping_provenance": "answer-semantic-adjudication.tsv UR vs PRISMARI evidence-required hypothesis",
      "evidence_provenance": "E-CERTIFIED;E-PLAYER-THEME;E-PLAYER-PACE;E-AUDIT;E-CECOS;E-VOICE",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"b1.gate.disruption.v1.recover",
      "stage": "gate",
      "evidence_class": "BEHAVIORAL_OBSERVATION"
    },
    {
      "question_id": "b1.gate.tempo.v1",
      "answer_id": "b1.gate.tempo.v1.small",
      "stage": "gate",
      "evidence_class": "BEHAVIORAL_OBSERVATION"
    },
    {
      "question_id": "b1.hall.pressure.v1",
      "answer_id": "b1.hall.pressure.v1.engine",
      "stage": "hall",
      "evidence_class": "BEHAVIORAL_OBSERVATION"
    },
    {
      "question_id": "b1.hall.engine-shape.v1",
      "answer_id": "b1.hall.engine-shape.v1.overlap",
      "stage": "hall",
      "evidence_class": "BEHAVIORAL_OBSERVATION"
    },
    {
      "question_id": "b1.hall.setup.v1",
      "answer_id": "b1.hall.setup.v1.early",
      "stage": "hall",
      "evidence_class": "BEHAVIORAL_OBSERVATION"
    },
    {
      "question_id": "b1.crucible.ur.v1",
      "answer_id": "b1.crucible.ur.v1.workshop",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Orzhov Syndicate — Engine Trace</x:v>
      </x:c>
      <x:c r="B1" s="3"/>
      <x:c r="C1" s="3"/>
      <x:c r="D1" s="3"/>
      <x:c r="E1" s="3"/>
      <x:c r="F1" s="3"/>
      <x:c r="G1" s="3"/>
      <x:c r="H1" s="3"/>
      <x:c r="I1" s="3"/>
      <x:c r="J1" s="3"/>
      <x:c r="K1" s="3"/>
      <x:c r="L1" s="3"/>
      <x:c r="M1" s="3"/>
      <x:c r="N1" s="3"/>
      <x:c r="O1" s="3"/>
      <x:c r="P1" s="3"/>
      <x:c r="Q1" s="3"/>
      <x:c r="R1" s="3"/>
      <x:c r="S1" s="3"/>
      <x:c r="T1" s="3"/>
    </x:row>
    <x:row r="2" ht="30" customHeight="1">
      <x:c r="A2" s="7" t="str">
        <x:v>ENGINE-WB • PASS_MATCH • primary • trace 970223eccac2835ea7f668d0b80c8927d07344462b005fa805048500acb01cb9</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WB</x:v>
      </x:c>
    </x:row>
    <x:row r="6">
      <x:c r="A6" s="53" t="str">
        <x:v>Expected public contract</x:v>
      </x:c>
      <x:c r="B6" s="53" t="str">
        <x:v>NAMED_DOSSIER</x:v>
      </x:c>
    </x:row>
    <x:row r="7">
      <x:c r="A7" s="53" t="str">
        <x:v>Witness status</x:v>
      </x:c>
      <x:c r="B7" s="53" t="str">
        <x:v>CURRENT_COMPATIBLE</x:v>
      </x:c>
    </x:row>
    <x:row r="8">
      <x:c r="A8" s="53" t="str">
        <x:v>Actual result</x:v>
      </x:c>
      <x:c r="B8" s="53" t="str">
        <x:v>WB</x:v>
      </x:c>
    </x:row>
    <x:row r="9">
      <x:c r="A9" s="53" t="str">
        <x:v>Directional result</x:v>
      </x:c>
      <x:c r="B9" s="53" t="str">
        <x:v>WB</x:v>
      </x:c>
    </x:row>
    <x:row r="10">
      <x:c r="A10" s="53" t="str">
        <x:v>Public state</x:v>
      </x:c>
      <x:c r="B10" s="53" t="str">
        <x:v>current-best-fit</x:v>
      </x:c>
    </x:row>
    <x:row r="11">
      <x:c r="A11" s="53" t="str">
        <x:v>Raw numeric leader</x:v>
      </x:c>
      <x:c r="B11" s="53" t="str">
        <x:v>WB</x:v>
      </x:c>
    </x:row>
    <x:row r="12">
      <x:c r="A12" s="53" t="str">
        <x:v>Raw score</x:v>
      </x:c>
      <x:c r="B12" s="53" t="n">
        <x:v>0.645833</x:v>
      </x:c>
    </x:row>
    <x:row r="13">
      <x:c r="A13" s="53" t="str">
        <x:v>Raw leader qualified</x:v>
      </x:c>
      <x:c r="B13" s="54" t="b">
        <x:v>1</x:v>
      </x:c>
    </x:row>
    <x:row r="14">
      <x:c r="A14" s="53" t="str">
        <x:v>Selected qualified</x:v>
      </x:c>
      <x:c r="B14" s="54" t="b">
        <x:v>1</x:v>
      </x:c>
    </x:row>
    <x:row r="15">
      <x:c r="A15" s="53" t="str">
        <x:v>Frontier</x:v>
      </x:c>
      <x:c r="B15" s="53" t="str">
        <x:v>WB</x:v>
      </x:c>
    </x:row>
    <x:row r="16">
      <x:c r="A16" s="53" t="str">
        <x:v>Stop reason</x:v>
      </x:c>
      <x:c r="B16" s="53" t="str">
        <x:v>single_named_direction_with_unresolved_alternatives</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outputs/01a02cd6-bce7-7832-9558-3075c52f146a/archscry-current-state-2026-08-22/evidence/engine/traces/wb.json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JESKAI</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b1.hall.pressure.v1.resources</x:v>
      </x:c>
      <x:c r="G33" s="53" t="str">
        <x:v>Narrow their options first</x:v>
      </x:c>
      <x:c r="H33" s="53" t="str">
        <x:v>C07</x:v>
      </x:c>
      <x:c r="I33" s="53" t="str">
        <x:v>SIG_C07_RESOURCE_CONTROL</x:v>
      </x:c>
      <x:c r="J33" s="53" t="str">
        <x:v>DG_C07</x:v>
      </x:c>
      <x:c r="K33" s="53" t="str">
        <x:v>BEHAVIORAL_OBSERVATION</x:v>
      </x:c>
      <x:c r="L33" s="53" t="str">
        <x:v>WB</x:v>
      </x:c>
      <x:c r="M33" s="53" t="str"/>
      <x:c r="N33" s="53" t="n">
        <x:v>0.5</x:v>
      </x:c>
      <x:c r="O33" s="54" t="b">
        <x:v>0</x:v>
      </x:c>
      <x:c r="P33" s="53" t="str">
        <x:v>REMEDIATION_MAPPING_HYPOTHESIS</x:v>
      </x:c>
      <x:c r="Q33" s="53" t="str">
        <x:v>Prefers resource-control pressure before attempting to end the game.</x:v>
      </x:c>
      <x:c r="R33" s="53" t="str">
        <x:v>Removing options can be a tactical prerequisite in any deck.</x:v>
      </x:c>
      <x:c r="S33" s="53" t="str">
        <x:v>JESKAI</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b1.hall.commitment.v1.reopen</x:v>
      </x:c>
      <x:c r="G34" s="53" t="str">
        <x:v>Reopen the agreement</x:v>
      </x:c>
      <x:c r="H34" s="53" t="str">
        <x:v>C13</x:v>
      </x:c>
      <x:c r="I34" s="53" t="str">
        <x:v>SIG_C13_REVISABLE</x:v>
      </x:c>
      <x:c r="J34" s="53" t="str">
        <x:v>DG_C13</x:v>
      </x:c>
      <x:c r="K34" s="53" t="str">
        <x:v>BEHAVIORAL_OBSERVATION</x:v>
      </x:c>
      <x:c r="L34" s="53" t="str">
        <x:v>SILVERQUILL</x:v>
      </x:c>
      <x:c r="M34" s="53" t="str"/>
      <x:c r="N34" s="53" t="n">
        <x:v>0.5</x:v>
      </x:c>
      <x:c r="O34" s="54" t="b">
        <x:v>0</x:v>
      </x:c>
      <x:c r="P34" s="53" t="str">
        <x:v>REMEDIATION_MAPPING_HYPOTHESIS</x:v>
      </x:c>
      <x:c r="Q34" s="53" t="str">
        <x:v>Prefers revisable present influence over a binding future commitment.</x:v>
      </x:c>
      <x:c r="R34" s="53" t="str">
        <x:v>Players may reopen a deal because it became impossible, not because they prefer revisable influence.</x:v>
      </x:c>
      <x:c r="S34" s="53" t="str">
        <x:v>SILVERQUILL</x:v>
      </x:c>
      <x:c r="T34" s="53" t="str">
        <x:v>incomplete / useful_evidence_remains / b1.hall.threat.v1</x:v>
      </x:c>
    </x:row>
    <x:row r="35">
      <x:c r="A35" s="53" t="n">
        <x:v>7</x:v>
      </x:c>
      <x:c r="B35" s="53" t="str">
        <x:v>main</x:v>
      </x:c>
      <x:c r="C35" s="53" t="str">
        <x:v>hall</x:v>
      </x:c>
      <x:c r="D35" s="53" t="str">
        <x:v>b1.hall.threat.v1</x:v>
      </x:c>
      <x:c r="E35" s="53" t="str">
        <x:v>If your board becomes the clearest threat, how do you want the deck to handle that attention?</x:v>
      </x:c>
      <x:c r="F35" s="53" t="str">
        <x:v>b1.hall.threat.v1.avoid</x:v>
      </x:c>
      <x:c r="G35" s="53" t="str">
        <x:v>Stay useful without leading</x:v>
      </x:c>
      <x:c r="H35" s="53" t="str">
        <x:v>C11</x:v>
      </x:c>
      <x:c r="I35" s="53" t="str">
        <x:v>SIG_C11_AVOID</x:v>
      </x:c>
      <x:c r="J35" s="53" t="str">
        <x:v>DG_C11</x:v>
      </x:c>
      <x:c r="K35" s="53" t="str">
        <x:v>BEHAVIORAL_OBSERVATION</x:v>
      </x:c>
      <x:c r="L35" s="53" t="str"/>
      <x:c r="M35" s="53" t="str"/>
      <x:c r="N35" s="53" t="n">
        <x:v>0</x:v>
      </x:c>
      <x:c r="O35" s="54" t="b">
        <x:v>0</x:v>
      </x:c>
      <x:c r="P35" s="53" t="str">
        <x:v>OBSERVATION_ONLY</x:v>
      </x:c>
      <x:c r="Q35" s="53" t="str">
        <x:v>Prefers lower visible threat.</x:v>
      </x:c>
      <x:c r="R35" s="53" t="str">
        <x:v>Observation wording and identity association require player validation; no weight is authorized.</x:v>
      </x:c>
      <x:c r="S35" s="53" t="str">
        <x:v>SILVERQUILL</x:v>
      </x:c>
      <x:c r="T35" s="53" t="str">
        <x:v>incomplete / useful_evidence_remains / b1.crucible.wb.v1</x:v>
      </x:c>
    </x:row>
    <x:row r="36">
      <x:c r="A36" s="53" t="n">
        <x:v>8</x:v>
      </x:c>
      <x:c r="B36" s="53" t="str">
        <x:v>main</x:v>
      </x:c>
      <x:c r="C36" s="53" t="str">
        <x:v>crucible</x:v>
      </x:c>
      <x:c r="D36" s="53" t="str">
        <x:v>b1.crucible.wb.v1</x:v>
      </x:c>
      <x:c r="E36" s="53" t="str">
        <x:v>A table deal could solve the immediate problem facing both you and another player. What makes it worth accepting?</x:v>
      </x:c>
      <x:c r="F36" s="53" t="str">
        <x:v>b1.crucible.wb.v1.terms</x:v>
      </x:c>
      <x:c r="G36" s="53" t="str">
        <x:v>The terms carry a cost</x:v>
      </x:c>
      <x:c r="H36" s="53" t="str">
        <x:v>C13</x:v>
      </x:c>
      <x:c r="I36" s="53" t="str">
        <x:v>SIG_C13_DURABLE</x:v>
      </x:c>
      <x:c r="J36" s="53" t="str">
        <x:v>DG_C13</x:v>
      </x:c>
      <x:c r="K36" s="53" t="str">
        <x:v>BEHAVIORAL_OBSERVATION</x:v>
      </x:c>
      <x:c r="L36" s="53" t="str">
        <x:v>WB</x:v>
      </x:c>
      <x:c r="M36" s="53" t="str">
        <x:v>SILVERQUILL</x:v>
      </x:c>
      <x:c r="N36" s="53" t="n">
        <x:v>1</x:v>
      </x:c>
      <x:c r="O36" s="54" t="b">
        <x:v>1</x:v>
      </x:c>
      <x:c r="P36" s="53" t="str">
        <x:v>MAPPING_HYPOTHESIS</x:v>
      </x:c>
      <x:c r="Q36" s="53" t="str">
        <x:v>Prefers obligation-centered commitment.</x:v>
      </x:c>
      <x:c r="R36" s="53" t="str">
        <x:v>Use only after prior independent observations leave the stated competitor boundary plausible; the identity association requires player validation.</x:v>
      </x:c>
      <x:c r="S36" s="53" t="str">
        <x:v>WB</x:v>
      </x:c>
      <x:c r="T36" s="53" t="str">
        <x:v>close / single_named_direction_with_unresolved_alternatives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WB</x:v>
      </x:c>
      <x:c r="C40" s="53" t="str">
        <x:v>Orzhov Syndicate</x:v>
      </x:c>
      <x:c r="D40" s="53" t="n">
        <x:v>0.645833</x:v>
      </x:c>
      <x:c r="E40" s="54" t="b">
        <x:v>1</x:v>
      </x:c>
      <x:c r="F40" s="53" t="str">
        <x:v>C07 | C13</x:v>
      </x:c>
    </x:row>
    <x:row r="41">
      <x:c r="A41" s="53" t="n">
        <x:v>2</x:v>
      </x:c>
      <x:c r="B41" s="53" t="str">
        <x:v>JESKAI</x:v>
      </x:c>
      <x:c r="C41" s="53" t="str">
        <x:v>Jeskai Way</x:v>
      </x:c>
      <x:c r="D41" s="53" t="n">
        <x:v>0.4375</x:v>
      </x:c>
      <x:c r="E41" s="54" t="b">
        <x:v>0</x:v>
      </x:c>
      <x:c r="F41" s="53" t="str">
        <x:v>C01</x:v>
      </x:c>
    </x:row>
    <x:row r="42">
      <x:c r="A42" s="53" t="n">
        <x:v>3</x:v>
      </x:c>
      <x:c r="B42" s="53" t="str">
        <x:v>DUNE</x:v>
      </x:c>
      <x:c r="C42" s="53" t="str">
        <x:v>Dune / Aggression</x:v>
      </x:c>
      <x:c r="D42" s="53" t="n">
        <x:v>0.25</x:v>
      </x:c>
      <x:c r="E42" s="54" t="b">
        <x:v>0</x:v>
      </x:c>
      <x:c r="F42" s="53" t="str"/>
    </x:row>
    <x:row r="43">
      <x:c r="A43" s="53" t="n">
        <x:v>4</x:v>
      </x:c>
      <x:c r="B43" s="53" t="str">
        <x:v>MARDU</x:v>
      </x:c>
      <x:c r="C43" s="53" t="str">
        <x:v>Mardu Horde</x:v>
      </x:c>
      <x:c r="D43" s="53" t="n">
        <x:v>0.25</x:v>
      </x:c>
      <x:c r="E43" s="54" t="b">
        <x:v>0</x:v>
      </x:c>
      <x:c r="F43" s="53" t="str"/>
    </x:row>
    <x:row r="44">
      <x:c r="A44" s="53" t="n">
        <x:v>5</x:v>
      </x:c>
      <x:c r="B44" s="53" t="str">
        <x:v>R</x:v>
      </x:c>
      <x:c r="C44" s="53" t="str">
        <x:v>Red</x:v>
      </x:c>
      <x:c r="D44" s="53" t="n">
        <x:v>0.25</x:v>
      </x:c>
      <x:c r="E44" s="54" t="b">
        <x:v>0</x:v>
      </x:c>
      <x:c r="F44" s="53" t="str"/>
    </x:row>
    <x:row r="45">
      <x:c r="A45" s="53" t="n">
        <x:v>6</x:v>
      </x:c>
      <x:c r="B45" s="53" t="str">
        <x:v>PRISMARI</x:v>
      </x:c>
      <x:c r="C45" s="53" t="str">
        <x:v>Prismari College</x:v>
      </x:c>
      <x:c r="D45" s="53" t="n">
        <x:v>0.166667</x:v>
      </x:c>
      <x:c r="E45" s="54" t="b">
        <x:v>0</x:v>
      </x:c>
      <x:c r="F45" s="53" t="str"/>
    </x:row>
    <x:row r="46">
      <x:c r="A46" s="53" t="n">
        <x:v>7</x:v>
      </x:c>
      <x:c r="B46" s="53" t="str">
        <x:v>BR</x:v>
      </x:c>
      <x:c r="C46" s="53" t="str">
        <x:v>Cult of Rakdos</x:v>
      </x:c>
      <x:c r="D46" s="53" t="n">
        <x:v>0.166667</x:v>
      </x:c>
      <x:c r="E46" s="54" t="b">
        <x:v>0</x:v>
      </x:c>
      <x:c r="F46" s="53" t="str"/>
    </x:row>
    <x:row r="47">
      <x:c r="A47" s="53" t="n">
        <x:v>8</x:v>
      </x:c>
      <x:c r="B47" s="53" t="str">
        <x:v>GLINT</x:v>
      </x:c>
      <x:c r="C47" s="53" t="str">
        <x:v>Glint / Chaos</x:v>
      </x:c>
      <x:c r="D47" s="53" t="n">
        <x:v>0.166667</x:v>
      </x:c>
      <x:c r="E47" s="54" t="b">
        <x:v>0</x:v>
      </x:c>
      <x:c r="F47" s="53" t="str"/>
    </x:row>
    <x:row r="48">
      <x:c r="A48" s="53" t="n">
        <x:v>9</x:v>
      </x:c>
      <x:c r="B48" s="53" t="str">
        <x:v>JUND</x:v>
      </x:c>
      <x:c r="C48" s="53" t="str">
        <x:v>Jund</x:v>
      </x:c>
      <x:c r="D48" s="53" t="n">
        <x:v>0.166667</x:v>
      </x:c>
      <x:c r="E48" s="54" t="b">
        <x:v>0</x:v>
      </x:c>
      <x:c r="F48" s="53" t="str"/>
    </x:row>
    <x:row r="49">
      <x:c r="A49" s="53" t="n">
        <x:v>10</x:v>
      </x:c>
      <x:c r="B49" s="53" t="str">
        <x:v>NAYA</x:v>
      </x:c>
      <x:c r="C49" s="53" t="str">
        <x:v>Naya</x:v>
      </x:c>
      <x:c r="D49" s="53" t="n">
        <x:v>0.166667</x:v>
      </x:c>
      <x:c r="E49" s="54" t="b">
        <x:v>0</x:v>
      </x:c>
      <x:c r="F49" s="53" t="str"/>
    </x:row>
    <x:row r="50">
      <x:c r="A50" s="53" t="n">
        <x:v>11</x:v>
      </x:c>
      <x:c r="B50" s="53" t="str">
        <x:v>RG</x:v>
      </x:c>
      <x:c r="C50" s="53" t="str">
        <x:v>Gruul Clans</x:v>
      </x:c>
      <x:c r="D50" s="53" t="n">
        <x:v>0.166667</x:v>
      </x:c>
      <x:c r="E50" s="54" t="b">
        <x:v>0</x:v>
      </x:c>
      <x:c r="F50" s="53" t="str"/>
    </x:row>
    <x:row r="51">
      <x:c r="A51" s="53" t="n">
        <x:v>12</x:v>
      </x:c>
      <x:c r="B51" s="53" t="str">
        <x:v>TEMUR</x:v>
      </x:c>
      <x:c r="C51" s="53" t="str">
        <x:v>Temur Frontier</x:v>
      </x:c>
      <x:c r="D51" s="53" t="n">
        <x:v>0.166667</x:v>
      </x:c>
      <x:c r="E51" s="54" t="b">
        <x:v>0</x:v>
      </x:c>
      <x:c r="F51" s="53" t="str"/>
    </x:row>
    <x:row r="52">
      <x:c r="A52" s="53" t="n">
        <x:v>13</x:v>
      </x:c>
      <x:c r="B52" s="53" t="str">
        <x:v>W</x:v>
      </x:c>
      <x:c r="C52" s="53" t="str">
        <x:v>White</x:v>
      </x:c>
      <x:c r="D52" s="53" t="n">
        <x:v>0.166667</x:v>
      </x:c>
      <x:c r="E52" s="54" t="b">
        <x:v>0</x:v>
      </x:c>
      <x:c r="F52" s="53" t="str"/>
    </x:row>
    <x:row r="53">
      <x:c r="A53" s="53" t="n">
        <x:v>14</x:v>
      </x:c>
      <x:c r="B53" s="53" t="str">
        <x:v>WR</x:v>
      </x:c>
      <x:c r="C53" s="53" t="str">
        <x:v>Boros Legion</x:v>
      </x:c>
      <x:c r="D53" s="53" t="n">
        <x:v>0.166667</x:v>
      </x:c>
      <x:c r="E53" s="54" t="b">
        <x:v>0</x:v>
      </x:c>
      <x:c r="F53" s="53" t="str"/>
    </x:row>
    <x:row r="54">
      <x:c r="A54" s="53" t="n">
        <x:v>15</x:v>
      </x:c>
      <x:c r="B54" s="53" t="str">
        <x:v>GRIXIS</x:v>
      </x:c>
      <x:c r="C54" s="53" t="str">
        <x:v>Grixis</x:v>
      </x:c>
      <x:c r="D54" s="53" t="n">
        <x:v>0.125</x:v>
      </x:c>
      <x:c r="E54" s="54" t="b">
        <x:v>0</x:v>
      </x:c>
      <x:c r="F54" s="53" t="str"/>
    </x:row>
    <x:row r="55">
      <x:c r="A55" s="53" t="n">
        <x:v>16</x:v>
      </x:c>
      <x:c r="B55" s="53" t="str">
        <x:v>UB</x:v>
      </x:c>
      <x:c r="C55" s="53" t="str">
        <x:v>House Dimir</x:v>
      </x:c>
      <x:c r="D55" s="53" t="n">
        <x:v>0.125</x:v>
      </x:c>
      <x:c r="E55" s="54" t="b">
        <x:v>0</x:v>
      </x:c>
      <x:c r="F55" s="53" t="str"/>
    </x:row>
    <x:row r="56">
      <x:c r="A56" s="53" t="n">
        <x:v>17</x:v>
      </x:c>
      <x:c r="B56" s="53" t="str">
        <x:v>ABZAN</x:v>
      </x:c>
      <x:c r="C56" s="53" t="str">
        <x:v>Abzan Houses</x:v>
      </x:c>
      <x:c r="D56" s="53" t="n">
        <x:v>0.083333</x:v>
      </x:c>
      <x:c r="E56" s="54" t="b">
        <x:v>0</x:v>
      </x:c>
      <x:c r="F56" s="53" t="str"/>
    </x:row>
    <x:row r="57">
      <x:c r="A57" s="53" t="n">
        <x:v>18</x:v>
      </x:c>
      <x:c r="B57" s="53" t="str">
        <x:v>INK</x:v>
      </x:c>
      <x:c r="C57" s="53" t="str">
        <x:v>Ink / Altruism</x:v>
      </x:c>
      <x:c r="D57" s="53" t="n">
        <x:v>0.083333</x:v>
      </x:c>
      <x:c r="E57" s="54" t="b">
        <x:v>0</x:v>
      </x:c>
      <x:c r="F57" s="53" t="str"/>
    </x:row>
    <x:row r="58">
      <x:c r="A58" s="53" t="n">
        <x:v>19</x:v>
      </x:c>
      <x:c r="B58" s="53" t="str">
        <x:v>UR</x:v>
      </x:c>
      <x:c r="C58" s="53" t="str">
        <x:v>Izzet League</x:v>
      </x:c>
      <x:c r="D58" s="53" t="n">
        <x:v>0.083333</x:v>
      </x:c>
      <x:c r="E58" s="54" t="b">
        <x:v>0</x:v>
      </x:c>
      <x:c r="F58" s="53" t="str"/>
    </x:row>
    <x:row r="59">
      <x:c r="A59" s="53" t="n">
        <x:v>20</x:v>
      </x:c>
      <x:c r="B59" s="53" t="str">
        <x:v>WG</x:v>
      </x:c>
      <x:c r="C59" s="53" t="str">
        <x:v>Selesnya Conclave</x:v>
      </x:c>
      <x:c r="D59" s="53" t="n">
        <x:v>0.083333</x:v>
      </x:c>
      <x:c r="E59" s="54" t="b">
        <x:v>0</x:v>
      </x:c>
      <x:c r="F59" s="53" t="str"/>
    </x:row>
    <x:row r="60">
      <x:c r="A60" s="53" t="n">
        <x:v>21</x:v>
      </x:c>
      <x:c r="B60" s="53" t="str">
        <x:v>B</x:v>
      </x:c>
      <x:c r="C60" s="53" t="str">
        <x:v>Black</x:v>
      </x:c>
      <x:c r="D60" s="53" t="n">
        <x:v>0.0625</x:v>
      </x:c>
      <x:c r="E60" s="54" t="b">
        <x:v>0</x:v>
      </x:c>
      <x:c r="F60" s="53" t="str"/>
    </x:row>
    <x:row r="61">
      <x:c r="A61" s="53" t="n">
        <x:v>22</x:v>
      </x:c>
      <x:c r="B61" s="53" t="str">
        <x:v>U</x:v>
      </x:c>
      <x:c r="C61" s="53" t="str">
        <x:v>Blue</x:v>
      </x:c>
      <x:c r="D61" s="53" t="n">
        <x:v>0.0625</x:v>
      </x:c>
      <x:c r="E61" s="54" t="b">
        <x:v>0</x:v>
      </x:c>
      <x:c r="F61" s="53" t="str"/>
    </x:row>
    <x:row r="62">
      <x:c r="A62" s="53" t="n">
        <x:v>23</x:v>
      </x:c>
      <x:c r="B62" s="53" t="str">
        <x:v>WU</x:v>
      </x:c>
      <x:c r="C62" s="53" t="str">
        <x:v>Azorius Senate</x:v>
      </x:c>
      <x:c r="D62" s="53" t="n">
        <x:v>0.0625</x:v>
      </x:c>
      <x:c r="E62" s="54" t="b">
        <x:v>0</x:v>
      </x:c>
      <x:c r="F62" s="53" t="str"/>
    </x:row>
    <x:row r="63">
      <x:c r="A63" s="53" t="n">
        <x:v>24</x:v>
      </x:c>
      <x:c r="B63" s="53" t="str">
        <x:v>BANT</x:v>
      </x:c>
      <x:c r="C63" s="53" t="str">
        <x:v>Bant</x:v>
      </x:c>
      <x:c r="D63" s="53" t="n">
        <x:v>0</x:v>
      </x:c>
      <x:c r="E63" s="54" t="b">
        <x:v>0</x:v>
      </x:c>
      <x:c r="F63" s="53" t="str"/>
    </x:row>
    <x:row r="64">
      <x:c r="A64" s="53" t="n">
        <x:v>25</x:v>
      </x:c>
      <x:c r="B64" s="53" t="str">
        <x:v>BG</x:v>
      </x:c>
      <x:c r="C64" s="53" t="str">
        <x:v>Golgari Swarm</x:v>
      </x:c>
      <x:c r="D64" s="53" t="n">
        <x:v>0</x:v>
      </x:c>
      <x:c r="E64" s="54" t="b">
        <x:v>0</x:v>
      </x:c>
      <x:c r="F64" s="53" t="str"/>
    </x:row>
    <x:row r="65">
      <x:c r="A65" s="53" t="n">
        <x:v>26</x:v>
      </x:c>
      <x:c r="B65" s="53" t="str">
        <x:v>COLORLESS</x:v>
      </x:c>
      <x:c r="C65" s="53" t="str">
        <x:v>Colorless</x:v>
      </x:c>
      <x:c r="D65" s="53" t="n">
        <x:v>0</x:v>
      </x:c>
      <x:c r="E65" s="54" t="b">
        <x:v>0</x:v>
      </x:c>
      <x:c r="F65" s="53" t="str"/>
    </x:row>
    <x:row r="66">
      <x:c r="A66" s="53" t="n">
        <x:v>27</x:v>
      </x:c>
      <x:c r="B66" s="53" t="str">
        <x:v>ESPER</x:v>
      </x:c>
      <x:c r="C66" s="53" t="str">
        <x:v>Esper</x:v>
      </x:c>
      <x:c r="D66" s="53" t="n">
        <x:v>0</x:v>
      </x:c>
      <x:c r="E66" s="54" t="b">
        <x:v>0</x:v>
      </x:c>
      <x:c r="F66" s="53" t="str"/>
    </x:row>
    <x:row r="67">
      <x:c r="A67" s="53" t="n">
        <x:v>28</x:v>
      </x:c>
      <x:c r="B67" s="53" t="str">
        <x:v>G</x:v>
      </x:c>
      <x:c r="C67" s="53" t="str">
        <x:v>Green</x:v>
      </x:c>
      <x:c r="D67" s="53" t="n">
        <x:v>0</x:v>
      </x:c>
      <x:c r="E67" s="54" t="b">
        <x:v>0</x:v>
      </x:c>
      <x:c r="F67" s="53" t="str"/>
    </x:row>
    <x:row r="68">
      <x:c r="A68" s="53" t="n">
        <x:v>29</x:v>
      </x:c>
      <x:c r="B68" s="53" t="str">
        <x:v>LOREHOLD</x:v>
      </x:c>
      <x:c r="C68" s="53" t="str">
        <x:v>Lorehold College</x:v>
      </x:c>
      <x:c r="D68" s="53" t="n">
        <x:v>0</x:v>
      </x:c>
      <x:c r="E68" s="54" t="b">
        <x:v>0</x:v>
      </x:c>
      <x:c r="F68" s="53" t="str"/>
    </x:row>
    <x:row r="69">
      <x:c r="A69" s="53" t="n">
        <x:v>30</x:v>
      </x:c>
      <x:c r="B69" s="53" t="str">
        <x:v>QUANDRIX</x:v>
      </x:c>
      <x:c r="C69" s="53" t="str">
        <x:v>Quandrix College</x:v>
      </x:c>
      <x:c r="D69" s="53" t="n">
        <x:v>0</x:v>
      </x:c>
      <x:c r="E69" s="54" t="b">
        <x:v>0</x:v>
      </x:c>
      <x:c r="F69" s="53" t="str"/>
    </x:row>
    <x:row r="70">
      <x:c r="A70" s="53" t="n">
        <x:v>31</x:v>
      </x:c>
      <x:c r="B70" s="53" t="str">
        <x:v>SULTAI</x:v>
      </x:c>
      <x:c r="C70" s="53" t="str">
        <x:v>Sultai Brood</x:v>
      </x:c>
      <x:c r="D70" s="53" t="n">
        <x:v>0</x:v>
      </x:c>
      <x:c r="E70" s="54" t="b">
        <x:v>0</x:v>
      </x:c>
      <x:c r="F70" s="53" t="str"/>
    </x:row>
    <x:row r="71">
      <x:c r="A71" s="53" t="n">
        <x:v>32</x:v>
      </x:c>
      <x:c r="B71" s="53" t="str">
        <x:v>UG</x:v>
      </x:c>
      <x:c r="C71" s="53" t="str">
        <x:v>Simic Combine</x:v>
      </x:c>
      <x:c r="D71" s="53" t="n">
        <x:v>0</x:v>
      </x:c>
      <x:c r="E71" s="54" t="b">
        <x:v>0</x:v>
      </x:c>
      <x:c r="F71" s="53" t="str"/>
    </x:row>
    <x:row r="72">
      <x:c r="A72" s="53" t="n">
        <x:v>33</x:v>
      </x:c>
      <x:c r="B72" s="53" t="str">
        <x:v>WITCH</x:v>
      </x:c>
      <x:c r="C72" s="53" t="str">
        <x:v>Witch / Growth</x:v>
      </x:c>
      <x:c r="D72" s="53" t="n">
        <x:v>0</x:v>
      </x:c>
      <x:c r="E72" s="54" t="b">
        <x:v>0</x:v>
      </x:c>
      <x:c r="F72" s="53" t="str"/>
    </x:row>
    <x:row r="73">
      <x:c r="A73" s="53" t="n">
        <x:v>34</x:v>
      </x:c>
      <x:c r="B73" s="53" t="str">
        <x:v>WITHERBLOOM</x:v>
      </x:c>
      <x:c r="C73" s="53" t="str">
        <x:v>Witherbloom College</x:v>
      </x:c>
      <x:c r="D73" s="53" t="n">
        <x:v>0</x:v>
      </x:c>
      <x:c r="E73" s="54" t="b">
        <x:v>0</x:v>
      </x:c>
      <x:c r="F73" s="53" t="str"/>
    </x:row>
    <x:row r="74">
      <x:c r="A74" s="53" t="n">
        <x:v>35</x:v>
      </x:c>
      <x:c r="B74" s="53" t="str">
        <x:v>WUBRG</x:v>
      </x:c>
      <x:c r="C74" s="53" t="str">
        <x:v>Five-Color / WUBRG</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SILVERQUILL</x:v>
      </x:c>
      <x:c r="C76" s="53" t="str">
        <x:v>Silverquill College</x:v>
      </x:c>
      <x:c r="D76" s="53" t="n">
        <x:v>-0.020833</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"WB",
  "faction_name": "Orzhov Syndicate",
  "institution_type": "guild",
  "world": "Ravnica",
  "identity": {
    "core_color": "W",
    "secondary_colors": [
      "B"
    ],
    "secondary_color": "B",
    "expression_key": "WB",
    "expression_name": "Orzhov Syndicate",
    "expression_kind": "guild",
    "purity": null,
    "routing": {
      "edhrec_slug": "orzhov",
      "mtgdecks_slug": "orzhov",
      "label": "Orzhov"
    }
  },
  "decree": "This is the identity your recorded answers favored most in this reading.",
  "confidence": 0.044,
  "confidence_gap": 1,
  "mana_scores": {
    "W": 10,
    "U": 9,
    "B": 10,
    "R": 10,
    "G": 9
  },
  "top_matches": [
    {
      "rank": 1,
      "faction": "WB",
      "faction_name": "Orzhov Syndicate",
      "institution_type": "guild",
      "world": "Ravnica",
      "identity": {
        "core_color": "W",
        "secondary_colors": [
          "B"
        ],
        "secondary_color": "B",
        "expression_key": "WB",
        "expression_name": "Orzhov Syndicate",
        "expression_kind": "guild",
        "purity": null,
        "routing": {
          "edhrec_slug": "orzhov",
          "mtgdecks_slug": "orzhov",
          "label": "Orzhov"
        }
      },
      "score": 0.645833,
      "confidence": 0.044,
      "reason": "Orzhov Syndicate remained plausible through C13; identity mapping remains a hypothesis."
    }
  ],
  "adjacent_matches": [],
  "internal_candidate_order": [
    {
      "identity": "WB",
      "score": 0.645833,
      "positive_dependencies": 2,
      "qualification_dependencies": 2,
      "naming_dependencies": 1,
      "positive_constructs": [
        "C07",
        "C13"
      ],
      "satisfied_naming_rule_ids": [
        "baseline_40:b1.crucible.wb.v1.terms:WB"
      ],
      "naming_qualification": {
        "identity": "WB",
        "qualified": true,
        "satisfied_naming_rule_ids": [
          "baseline_40:b1.crucible.wb.v1.terms:WB"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"DUNE",
      "score": 0.25,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"C13"
      ]
    },
    {
      "identity": "MARDU",
      "score": 0.25,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"R",
      "score": 0.25,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"C11"
      ]
    },
    {
      "identity": "PRISMARI",
      "score": 0.166667,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"GLINT",
      "score": 0.166667,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"NAYA",
      "score": 0.166667,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"RG",
      "score": 0.166667,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x:v>
      </x:c>
    </x:row>
    <x:row r="80">
      <x:c r="A80" s="53" t="str">
        <x:v>Part 2/3</x:v>
      </x:c>
      <x:c r="B80" s="53" t="str">
        <x:v>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-0.020833,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"C11",
        "C13"
      ]
    }
  ],
  "candidate_set": [
    "WB",
    "JESKAI"
  ],
  "alternatives": [],
  "refinement": {
    "kind": "no_approved_discriminator",
    "can_reduce_ambiguity": false,
    "remaining_candidates": [
      "WB"
    ],
    "unresolved_boundaries": [],
    "missing_constructs": [
      "C12"
    ],
    "question_id": null,
    "purpose": "no_approved_discriminator",
    "target_identities": [
      "WB"
    ],
    "target_pair_ids": [],
    "distinction": "",
    "revisit": null,
    "limitation": "The approved instrument cannot responsibly distinguish the remaining candidates with another available observation."
  },
  "stopping": {
    "stop": true,
    "state": "close",
    "reason": "single_named_direction_with_unresolved_alternatives",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"answer_title": "Narrow their options first",
      "prompt": "The player ahead uses all their mana and leaves one turn where the table can take control. Which kind of pressure do you want your deck to create?",
      "observation": "Prefers resource-control pressure before attempting to end the game.",
      "deltas": [
        {
          "faction": "WB",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"answer_title": "Stay useful without leading",
      "prompt": "If your board becomes the clearest threat, how do you want the deck to handle that attention?",
      "observation": "Prefers lower visible threat.",
      "deltas": []
    },
    {
      "question_id": "b1.crucible.wb.v1",
      "answer_id": "b1.crucible.wb.v1.terms",
      "stage": "crucible",
      "construct": "C13",
      "bounded_observation": "Prefers obligation-centered commitment.",
      "signal": "SIG_C13_DURABLE",
      "dependency_group": "DG_C13",
      "evidence_class": "BEHAVIORAL_OBSERVATION",
      "affected_identities": [
        "SILVERQUILL",
        "WB"
      ],
      "positive_support": [
        "WB"
      ],
      "contradiction": [
        "SILVERQUILL"
      ],
      "neutral": false,
      "mapping_strength": 1,
      "naming_evidence": true,
      "qualification_eligible": true,
      "qualification_support": [
        "WB"
      ],
      "naming_support": [
        "WB"
      ],
      "naming_rule_ids_by_identity": {
        "WB": [
          "baseline_40:b1.crucible.wb.v1.terms:WB"
        ]
      },
      "mapping_role": "exact_pair_direction",
      "mapping_status": "MAPPING_HYPOTHESIS",
      "mapping_provenance": "answer-semantic-adjudication.tsv WB vs SILVERQUILL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"The terms carry a cost",
      "prompt": "A table deal could solve the immediate problem facing both you and another player. What makes it worth accepting?",
      "observation": "Prefers obligation-centered commitment.",
      "deltas": [
        {
          "faction": "WB",
          "delta": 1
        },
        {
          "faction": "SILVERQUILL",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"b1.hall.pressure.v1.resources",
      "stage": "hall",
      "construct": "C07",
      "bounded_observation": "Prefers resource-control pressure before attempting to end the game.",
      "signal": </x:v>
      </x:c>
    </x:row>
    <x:row r="81">
      <x:c r="A81" s="53" t="str">
        <x:v>Part 3/3</x:v>
      </x:c>
      <x:c r="B81" s="53" t="str">
        <x:v>"SIG_C07_RESOURCE_CONTROL",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
    {
      "question_id": "b1.crucible.wb.v1",
      "answer_id": "b1.crucible.wb.v1.terms",
      "stage": "crucible",
      "construct": "C13",
      "bounded_observation": "Prefers obligation-centered commitment.",
      "signal": "SIG_C13_DURABLE",
      "dependency_group": "DG_C13",
      "evidence_class": "BEHAVIORAL_OBSERVATION",
      "affected_identities": [
        "SILVERQUILL",
        "WB"
      ],
      "positive_support": [
        "WB"
      ],
      "contradiction": [
        "SILVERQUILL"
      ],
      "neutral": false,
      "mapping_strength": 1,
      "naming_evidence": true,
      "qualification_eligible": true,
      "qualification_support": [
        "WB"
      ],
      "naming_support": [
        "WB"
      ],
      "naming_rule_ids_by_identity": {
        "WB": [
          "baseline_40:b1.crucible.wb.v1.terms:WB"
        ]
      },
      "mapping_role": "exact_pair_direction",
      "mapping_status": "MAPPING_HYPOTHESIS",
      "mapping_provenance": "answer-semantic-adjudication.tsv WB vs SILVERQUILL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"b1.hall.pressure.v1.resources",
      "stage": "hall",
      "evidence_class": "BEHAVIORAL_OBSERVATION"
    },
    {
      "question_id": "b1.hall.commitment.v1",
      "answer_id": "b1.hall.commitment.v1.reopen",
      "stage": "hall",
      "evidence_class": "BEHAVIORAL_OBSERVATION"
    },
    {
      "question_id": "b1.hall.threat.v1",
      "answer_id": "b1.hall.threat.v1.avoid",
      "stage": "hall",
      "evidence_class": "BEHAVIORAL_OBSERVATION"
    },
    {
      "question_id": "b1.crucible.wb.v1",
      "answer_id": "b1.crucible.wb.v1.terms",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8:T38"/>
    <x:mergeCell ref="A78:T78"/>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Selesnya Conclave — Engine Trace</x:v>
      </x:c>
      <x:c r="B1" s="3"/>
      <x:c r="C1" s="3"/>
      <x:c r="D1" s="3"/>
      <x:c r="E1" s="3"/>
      <x:c r="F1" s="3"/>
      <x:c r="G1" s="3"/>
      <x:c r="H1" s="3"/>
      <x:c r="I1" s="3"/>
      <x:c r="J1" s="3"/>
      <x:c r="K1" s="3"/>
      <x:c r="L1" s="3"/>
      <x:c r="M1" s="3"/>
      <x:c r="N1" s="3"/>
      <x:c r="O1" s="3"/>
      <x:c r="P1" s="3"/>
      <x:c r="Q1" s="3"/>
      <x:c r="R1" s="3"/>
      <x:c r="S1" s="3"/>
      <x:c r="T1" s="3"/>
    </x:row>
    <x:row r="2" ht="30" customHeight="1">
      <x:c r="A2" s="7" t="str">
        <x:v>ENGINE-WG • PASS_MATCH • primary • trace 944547c07b5ff28472404268e8328d391b58d97bb1315857fa329d86244ed5c9</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WG</x:v>
      </x:c>
    </x:row>
    <x:row r="6">
      <x:c r="A6" s="53" t="str">
        <x:v>Expected public contract</x:v>
      </x:c>
      <x:c r="B6" s="53" t="str">
        <x:v>NAMED_DOSSIER</x:v>
      </x:c>
    </x:row>
    <x:row r="7">
      <x:c r="A7" s="53" t="str">
        <x:v>Witness status</x:v>
      </x:c>
      <x:c r="B7" s="53" t="str">
        <x:v>CURRENT_COMPATIBLE</x:v>
      </x:c>
    </x:row>
    <x:row r="8">
      <x:c r="A8" s="53" t="str">
        <x:v>Actual result</x:v>
      </x:c>
      <x:c r="B8" s="53" t="str">
        <x:v>WG</x:v>
      </x:c>
    </x:row>
    <x:row r="9">
      <x:c r="A9" s="53" t="str">
        <x:v>Directional result</x:v>
      </x:c>
      <x:c r="B9" s="53" t="str">
        <x:v>WG</x:v>
      </x:c>
    </x:row>
    <x:row r="10">
      <x:c r="A10" s="53" t="str">
        <x:v>Public state</x:v>
      </x:c>
      <x:c r="B10" s="53" t="str">
        <x:v>current-best-fit</x:v>
      </x:c>
    </x:row>
    <x:row r="11">
      <x:c r="A11" s="53" t="str">
        <x:v>Raw numeric leader</x:v>
      </x:c>
      <x:c r="B11" s="53" t="str">
        <x:v>WG</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WG</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b1.gate.initiative.v1.respond</x:v>
      </x:c>
      <x:c r="G29" s="53" t="str">
        <x:v>Keep options open</x:v>
      </x:c>
      <x:c r="H29" s="53" t="str">
        <x:v>C01</x:v>
      </x:c>
      <x:c r="I29" s="53" t="str">
        <x:v>SIG_C01_REACTIVE</x:v>
      </x:c>
      <x:c r="J29" s="53" t="str">
        <x:v>DG_C01</x:v>
      </x:c>
      <x:c r="K29" s="53" t="str">
        <x:v>BEHAVIORAL_OBSERVATION</x:v>
      </x:c>
      <x:c r="L29" s="53" t="str"/>
      <x:c r="M29" s="53" t="str"/>
      <x:c r="N29" s="53" t="n">
        <x:v>0</x:v>
      </x:c>
      <x:c r="O29" s="54" t="b">
        <x:v>0</x:v>
      </x:c>
      <x:c r="P29" s="53" t="str">
        <x:v>OBSERVATION_ONLY</x:v>
      </x:c>
      <x:c r="Q29" s="53" t="str">
        <x:v>Prefers reactive optionality on an open turn.</x:v>
      </x:c>
      <x:c r="R29" s="53" t="str">
        <x:v>Initiative posture may vary across calm, behind, and disrupted contexts; every C01 response shares DG_C01 and cannot stack.</x:v>
      </x:c>
      <x:c r="S29" s="53" t="str">
        <x:v>GLINT</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b1.gate.disruption.v1.limit</x:v>
      </x:c>
      <x:c r="G31" s="53" t="str">
        <x:v>Less exposed in the first place</x:v>
      </x:c>
      <x:c r="H31" s="53" t="str">
        <x:v>C03</x:v>
      </x:c>
      <x:c r="I31" s="53" t="str">
        <x:v>SIG_C03_LIMIT_EXPOSURE</x:v>
      </x:c>
      <x:c r="J31" s="53" t="str">
        <x:v>DG_C03</x:v>
      </x:c>
      <x:c r="K31" s="53" t="str">
        <x:v>BEHAVIORAL_OBSERVATION</x:v>
      </x:c>
      <x:c r="L31" s="53" t="str"/>
      <x:c r="M31" s="53" t="str"/>
      <x:c r="N31" s="53" t="n">
        <x:v>0</x:v>
      </x:c>
      <x:c r="O31" s="54" t="b">
        <x:v>0</x:v>
      </x:c>
      <x:c r="P31" s="53" t="str">
        <x:v>OBSERVATION_ONLY</x:v>
      </x:c>
      <x:c r="Q31" s="53" t="str">
        <x:v>Prefers reduced exposure to broad disruption.</x:v>
      </x:c>
      <x:c r="R31" s="53" t="str">
        <x:v>Observation wording and identity association require player validation; no weight is authorized.</x:v>
      </x:c>
      <x:c r="S31" s="53" t="str">
        <x:v>WR</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WR</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b1.hall.commitment.v1.access</x:v>
      </x:c>
      <x:c r="G33" s="53" t="str">
        <x:v>Protect shared access</x:v>
      </x:c>
      <x:c r="H33" s="53" t="str">
        <x:v>C13</x:v>
      </x:c>
      <x:c r="I33" s="53" t="str">
        <x:v>SIG_C13_SHARED_ACCESS</x:v>
      </x:c>
      <x:c r="J33" s="53" t="str">
        <x:v>DG_C13</x:v>
      </x:c>
      <x:c r="K33" s="53" t="str">
        <x:v>BEHAVIORAL_OBSERVATION</x:v>
      </x:c>
      <x:c r="L33" s="53" t="str">
        <x:v>BANT | WG | WUBRG</x:v>
      </x:c>
      <x:c r="M33" s="53" t="str"/>
      <x:c r="N33" s="53" t="n">
        <x:v>1</x:v>
      </x:c>
      <x:c r="O33" s="54" t="b">
        <x:v>1</x:v>
      </x:c>
      <x:c r="P33" s="53" t="str">
        <x:v>REMEDIATION_MAPPING_HYPOTHESIS</x:v>
      </x:c>
      <x:c r="Q33" s="53" t="str">
        <x:v>Prefers protecting a shared resource or opportunity after circumstances change.</x:v>
      </x:c>
      <x:c r="R33" s="53" t="str">
        <x:v>A player may preserve access for tactical benefit, generosity, politics, or theme; independent evidence is required.</x:v>
      </x:c>
      <x:c r="S33" s="53" t="str">
        <x:v>WG</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b1.hall.setup.v1.early</x:v>
      </x:c>
      <x:c r="G34" s="53" t="str">
        <x:v>Contribute right away</x:v>
      </x:c>
      <x:c r="H34" s="53" t="str">
        <x:v>C14</x:v>
      </x:c>
      <x:c r="I34" s="53" t="str">
        <x:v>SIG_C14_EARLY_IMPACT</x:v>
      </x:c>
      <x:c r="J34" s="53" t="str">
        <x:v>DG_C14</x:v>
      </x:c>
      <x:c r="K34" s="53" t="str">
        <x:v>BEHAVIORAL_OBSERVATION</x:v>
      </x:c>
      <x:c r="L34" s="53" t="str">
        <x:v>BANT | INK | WG</x:v>
      </x:c>
      <x:c r="M34" s="53" t="str"/>
      <x:c r="N34" s="53" t="n">
        <x:v>0.5</x:v>
      </x:c>
      <x:c r="O34" s="54" t="b">
        <x:v>0</x:v>
      </x:c>
      <x:c r="P34" s="53" t="str">
        <x:v>REMEDIATION_MAPPING_HYPOTHESIS</x:v>
      </x:c>
      <x:c r="Q34" s="53" t="str">
        <x:v>Requires useful early participation while a longer plan develops.</x:v>
      </x:c>
      <x:c r="R34" s="53" t="str">
        <x:v>Early utility may be incidental to efficient cards rather than a community preference.</x:v>
      </x:c>
      <x:c r="S34" s="53" t="str">
        <x:v>WUBRG</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b1.hall.engine-shape.v1.purpose</x:v>
      </x:c>
      <x:c r="G35" s="53" t="str">
        <x:v>Keep the goal, change the tool</x:v>
      </x:c>
      <x:c r="H35" s="53" t="str">
        <x:v>C06</x:v>
      </x:c>
      <x:c r="I35" s="53" t="str">
        <x:v>SIG_C06_FLEXIBLE_ROUTE</x:v>
      </x:c>
      <x:c r="J35" s="53" t="str">
        <x:v>DG_C06</x:v>
      </x:c>
      <x:c r="K35" s="53" t="str">
        <x:v>BEHAVIORAL_OBSERVATION</x:v>
      </x:c>
      <x:c r="L35" s="53" t="str">
        <x:v>SULTAI | UB | WUBRG</x:v>
      </x:c>
      <x:c r="M35" s="53" t="str"/>
      <x:c r="N35" s="53" t="n">
        <x:v>0.5</x:v>
      </x:c>
      <x:c r="O35" s="54" t="b">
        <x:v>0</x:v>
      </x:c>
      <x:c r="P35" s="53" t="str">
        <x:v>REMEDIATION_MAPPING_HYPOTHESIS</x:v>
      </x:c>
      <x:c r="Q35" s="53" t="str">
        <x:v>Prefers a stable purpose with flexible implementation routes.</x:v>
      </x:c>
      <x:c r="R35" s="53" t="str">
        <x:v>Flexible tools can be a response to a varied metagame rather than a stable preference.</x:v>
      </x:c>
      <x:c r="S35" s="53" t="str">
        <x:v>WG</x:v>
      </x:c>
      <x:c r="T35" s="53" t="str">
        <x:v>primary / clear_separation / b1.crucible.bant.v1</x:v>
      </x:c>
    </x:row>
    <x:row r="37" ht="28" customHeight="1">
      <x:c r="A37" s="45" t="str">
        <x:v>FINAL CANDIDATE INVENTORY</x:v>
      </x:c>
      <x:c r="B37" s="45"/>
      <x:c r="C37" s="45"/>
      <x:c r="D37" s="45"/>
      <x:c r="E37" s="45"/>
      <x:c r="F37" s="45"/>
      <x:c r="G37" s="45"/>
      <x:c r="H37" s="45"/>
      <x:c r="I37" s="45"/>
      <x:c r="J37" s="45"/>
      <x:c r="K37" s="45"/>
      <x:c r="L37" s="45"/>
      <x:c r="M37" s="45"/>
      <x:c r="N37" s="45"/>
      <x:c r="O37" s="45"/>
      <x:c r="P37" s="45"/>
      <x:c r="Q37" s="45"/>
      <x:c r="R37" s="45"/>
      <x:c r="S37" s="45"/>
      <x:c r="T37" s="45"/>
    </x:row>
    <x:row r="38" ht="28" customHeight="1">
      <x:c r="A38" s="45" t="str">
        <x:v>Rank</x:v>
      </x:c>
      <x:c r="B38" s="45" t="str">
        <x:v>Identity</x:v>
      </x:c>
      <x:c r="C38" s="45" t="str">
        <x:v>Name</x:v>
      </x:c>
      <x:c r="D38" s="45" t="str">
        <x:v>Score</x:v>
      </x:c>
      <x:c r="E38" s="45" t="str">
        <x:v>Qualified</x:v>
      </x:c>
      <x:c r="F38" s="45" t="str">
        <x:v>Positive Constructs</x:v>
      </x:c>
    </x:row>
    <x:row r="39">
      <x:c r="A39" s="53" t="n">
        <x:v>1</x:v>
      </x:c>
      <x:c r="B39" s="53" t="str">
        <x:v>WG</x:v>
      </x:c>
      <x:c r="C39" s="53" t="str">
        <x:v>Selesnya Conclave</x:v>
      </x:c>
      <x:c r="D39" s="53" t="n">
        <x:v>0.729167</x:v>
      </x:c>
      <x:c r="E39" s="54" t="b">
        <x:v>1</x:v>
      </x:c>
      <x:c r="F39" s="53" t="str">
        <x:v>C13 | C14</x:v>
      </x:c>
    </x:row>
    <x:row r="40">
      <x:c r="A40" s="53" t="n">
        <x:v>2</x:v>
      </x:c>
      <x:c r="B40" s="53" t="str">
        <x:v>BANT</x:v>
      </x:c>
      <x:c r="C40" s="53" t="str">
        <x:v>Bant</x:v>
      </x:c>
      <x:c r="D40" s="53" t="n">
        <x:v>0.645833</x:v>
      </x:c>
      <x:c r="E40" s="54" t="b">
        <x:v>0</x:v>
      </x:c>
      <x:c r="F40" s="53" t="str">
        <x:v>C13 | C14</x:v>
      </x:c>
    </x:row>
    <x:row r="41">
      <x:c r="A41" s="53" t="n">
        <x:v>3</x:v>
      </x:c>
      <x:c r="B41" s="53" t="str">
        <x:v>WUBRG</x:v>
      </x:c>
      <x:c r="C41" s="53" t="str">
        <x:v>Five-Color / WUBRG</x:v>
      </x:c>
      <x:c r="D41" s="53" t="n">
        <x:v>0.5625</x:v>
      </x:c>
      <x:c r="E41" s="54" t="b">
        <x:v>0</x:v>
      </x:c>
      <x:c r="F41" s="53" t="str">
        <x:v>C06 | C13</x:v>
      </x:c>
    </x:row>
    <x:row r="42">
      <x:c r="A42" s="53" t="n">
        <x:v>4</x:v>
      </x:c>
      <x:c r="B42" s="53" t="str">
        <x:v>INK</x:v>
      </x:c>
      <x:c r="C42" s="53" t="str">
        <x:v>Ink / Altruism</x:v>
      </x:c>
      <x:c r="D42" s="53" t="n">
        <x:v>0.541667</x:v>
      </x:c>
      <x:c r="E42" s="54" t="b">
        <x:v>0</x:v>
      </x:c>
      <x:c r="F42" s="53" t="str">
        <x:v>C14</x:v>
      </x:c>
    </x:row>
    <x:row r="43">
      <x:c r="A43" s="53" t="n">
        <x:v>5</x:v>
      </x:c>
      <x:c r="B43" s="53" t="str">
        <x:v>SULTAI</x:v>
      </x:c>
      <x:c r="C43" s="53" t="str">
        <x:v>Sultai Brood</x:v>
      </x:c>
      <x:c r="D43" s="53" t="n">
        <x:v>0.541667</x:v>
      </x:c>
      <x:c r="E43" s="54" t="b">
        <x:v>0</x:v>
      </x:c>
      <x:c r="F43" s="53" t="str">
        <x:v>C06</x:v>
      </x:c>
    </x:row>
    <x:row r="44">
      <x:c r="A44" s="53" t="n">
        <x:v>6</x:v>
      </x:c>
      <x:c r="B44" s="53" t="str">
        <x:v>UB</x:v>
      </x:c>
      <x:c r="C44" s="53" t="str">
        <x:v>House Dimir</x:v>
      </x:c>
      <x:c r="D44" s="53" t="n">
        <x:v>0.4375</x:v>
      </x:c>
      <x:c r="E44" s="54" t="b">
        <x:v>0</x:v>
      </x:c>
      <x:c r="F44" s="53" t="str">
        <x:v>C06</x:v>
      </x:c>
    </x:row>
    <x:row r="45">
      <x:c r="A45" s="53" t="n">
        <x:v>7</x:v>
      </x:c>
      <x:c r="B45" s="53" t="str">
        <x:v>ABZAN</x:v>
      </x:c>
      <x:c r="C45" s="53" t="str">
        <x:v>Abzan Houses</x:v>
      </x:c>
      <x:c r="D45" s="53" t="n">
        <x:v>0.25</x:v>
      </x:c>
      <x:c r="E45" s="54" t="b">
        <x:v>0</x:v>
      </x:c>
      <x:c r="F45" s="53" t="str"/>
    </x:row>
    <x:row r="46">
      <x:c r="A46" s="53" t="n">
        <x:v>8</x:v>
      </x:c>
      <x:c r="B46" s="53" t="str">
        <x:v>UG</x:v>
      </x:c>
      <x:c r="C46" s="53" t="str">
        <x:v>Simic Combine</x:v>
      </x:c>
      <x:c r="D46" s="53" t="n">
        <x:v>0.25</x:v>
      </x:c>
      <x:c r="E46" s="54" t="b">
        <x:v>0</x:v>
      </x:c>
      <x:c r="F46" s="53" t="str"/>
    </x:row>
    <x:row r="47">
      <x:c r="A47" s="53" t="n">
        <x:v>9</x:v>
      </x:c>
      <x:c r="B47" s="53" t="str">
        <x:v>BG</x:v>
      </x:c>
      <x:c r="C47" s="53" t="str">
        <x:v>Golgari Swarm</x:v>
      </x:c>
      <x:c r="D47" s="53" t="n">
        <x:v>0.166667</x:v>
      </x:c>
      <x:c r="E47" s="54" t="b">
        <x:v>0</x:v>
      </x:c>
      <x:c r="F47" s="53" t="str"/>
    </x:row>
    <x:row r="48">
      <x:c r="A48" s="53" t="n">
        <x:v>10</x:v>
      </x:c>
      <x:c r="B48" s="53" t="str">
        <x:v>G</x:v>
      </x:c>
      <x:c r="C48" s="53" t="str">
        <x:v>Green</x:v>
      </x:c>
      <x:c r="D48" s="53" t="n">
        <x:v>0.166667</x:v>
      </x:c>
      <x:c r="E48" s="54" t="b">
        <x:v>0</x:v>
      </x:c>
      <x:c r="F48" s="53" t="str"/>
    </x:row>
    <x:row r="49">
      <x:c r="A49" s="53" t="n">
        <x:v>11</x:v>
      </x:c>
      <x:c r="B49" s="53" t="str">
        <x:v>LOREHOLD</x:v>
      </x:c>
      <x:c r="C49" s="53" t="str">
        <x:v>Lorehold College</x:v>
      </x:c>
      <x:c r="D49" s="53" t="n">
        <x:v>0.166667</x:v>
      </x:c>
      <x:c r="E49" s="54" t="b">
        <x:v>0</x:v>
      </x:c>
      <x:c r="F49" s="53" t="str"/>
    </x:row>
    <x:row r="50">
      <x:c r="A50" s="53" t="n">
        <x:v>12</x:v>
      </x:c>
      <x:c r="B50" s="53" t="str">
        <x:v>MARDU</x:v>
      </x:c>
      <x:c r="C50" s="53" t="str">
        <x:v>Mardu Horde</x:v>
      </x:c>
      <x:c r="D50" s="53" t="n">
        <x:v>0.166667</x:v>
      </x:c>
      <x:c r="E50" s="54" t="b">
        <x:v>0</x:v>
      </x:c>
      <x:c r="F50" s="53" t="str"/>
    </x:row>
    <x:row r="51">
      <x:c r="A51" s="53" t="n">
        <x:v>13</x:v>
      </x:c>
      <x:c r="B51" s="53" t="str">
        <x:v>QUANDRIX</x:v>
      </x:c>
      <x:c r="C51" s="53" t="str">
        <x:v>Quandrix College</x:v>
      </x:c>
      <x:c r="D51" s="53" t="n">
        <x:v>0.166667</x:v>
      </x:c>
      <x:c r="E51" s="54" t="b">
        <x:v>0</x:v>
      </x:c>
      <x:c r="F51" s="53" t="str"/>
    </x:row>
    <x:row r="52">
      <x:c r="A52" s="53" t="n">
        <x:v>14</x:v>
      </x:c>
      <x:c r="B52" s="53" t="str">
        <x:v>TEMUR</x:v>
      </x:c>
      <x:c r="C52" s="53" t="str">
        <x:v>Temur Frontier</x:v>
      </x:c>
      <x:c r="D52" s="53" t="n">
        <x:v>0.166667</x:v>
      </x:c>
      <x:c r="E52" s="54" t="b">
        <x:v>0</x:v>
      </x:c>
      <x:c r="F52" s="53" t="str"/>
    </x:row>
    <x:row r="53">
      <x:c r="A53" s="53" t="n">
        <x:v>15</x:v>
      </x:c>
      <x:c r="B53" s="53" t="str">
        <x:v>W</x:v>
      </x:c>
      <x:c r="C53" s="53" t="str">
        <x:v>White</x:v>
      </x:c>
      <x:c r="D53" s="53" t="n">
        <x:v>0.166667</x:v>
      </x:c>
      <x:c r="E53" s="54" t="b">
        <x:v>0</x:v>
      </x:c>
      <x:c r="F53" s="53" t="str"/>
    </x:row>
    <x:row r="54">
      <x:c r="A54" s="53" t="n">
        <x:v>16</x:v>
      </x:c>
      <x:c r="B54" s="53" t="str">
        <x:v>WITCH</x:v>
      </x:c>
      <x:c r="C54" s="53" t="str">
        <x:v>Witch / Growth</x:v>
      </x:c>
      <x:c r="D54" s="53" t="n">
        <x:v>0.166667</x:v>
      </x:c>
      <x:c r="E54" s="54" t="b">
        <x:v>0</x:v>
      </x:c>
      <x:c r="F54" s="53" t="str"/>
    </x:row>
    <x:row r="55">
      <x:c r="A55" s="53" t="n">
        <x:v>17</x:v>
      </x:c>
      <x:c r="B55" s="53" t="str">
        <x:v>WITHERBLOOM</x:v>
      </x:c>
      <x:c r="C55" s="53" t="str">
        <x:v>Witherbloom College</x:v>
      </x:c>
      <x:c r="D55" s="53" t="n">
        <x:v>0.166667</x:v>
      </x:c>
      <x:c r="E55" s="54" t="b">
        <x:v>0</x:v>
      </x:c>
      <x:c r="F55" s="53" t="str"/>
    </x:row>
    <x:row r="56">
      <x:c r="A56" s="53" t="n">
        <x:v>18</x:v>
      </x:c>
      <x:c r="B56" s="53" t="str">
        <x:v>WR</x:v>
      </x:c>
      <x:c r="C56" s="53" t="str">
        <x:v>Boros Legion</x:v>
      </x:c>
      <x:c r="D56" s="53" t="n">
        <x:v>0.166667</x:v>
      </x:c>
      <x:c r="E56" s="54" t="b">
        <x:v>0</x:v>
      </x:c>
      <x:c r="F56" s="53" t="str"/>
    </x:row>
    <x:row r="57">
      <x:c r="A57" s="53" t="n">
        <x:v>19</x:v>
      </x:c>
      <x:c r="B57" s="53" t="str">
        <x:v>GRIXIS</x:v>
      </x:c>
      <x:c r="C57" s="53" t="str">
        <x:v>Grixis</x:v>
      </x:c>
      <x:c r="D57" s="53" t="n">
        <x:v>0.125</x:v>
      </x:c>
      <x:c r="E57" s="54" t="b">
        <x:v>0</x:v>
      </x:c>
      <x:c r="F57" s="53" t="str"/>
    </x:row>
    <x:row r="58">
      <x:c r="A58" s="53" t="n">
        <x:v>20</x:v>
      </x:c>
      <x:c r="B58" s="53" t="str">
        <x:v>U</x:v>
      </x:c>
      <x:c r="C58" s="53" t="str">
        <x:v>Blue</x:v>
      </x:c>
      <x:c r="D58" s="53" t="n">
        <x:v>0.125</x:v>
      </x:c>
      <x:c r="E58" s="54" t="b">
        <x:v>0</x:v>
      </x:c>
      <x:c r="F58" s="53" t="str"/>
    </x:row>
    <x:row r="59">
      <x:c r="A59" s="53" t="n">
        <x:v>21</x:v>
      </x:c>
      <x:c r="B59" s="53" t="str">
        <x:v>COLORLESS</x:v>
      </x:c>
      <x:c r="C59" s="53" t="str">
        <x:v>Colorless</x:v>
      </x:c>
      <x:c r="D59" s="53" t="n">
        <x:v>0.083333</x:v>
      </x:c>
      <x:c r="E59" s="54" t="b">
        <x:v>0</x:v>
      </x:c>
      <x:c r="F59" s="53" t="str"/>
    </x:row>
    <x:row r="60">
      <x:c r="A60" s="53" t="n">
        <x:v>22</x:v>
      </x:c>
      <x:c r="B60" s="53" t="str">
        <x:v>DUNE</x:v>
      </x:c>
      <x:c r="C60" s="53" t="str">
        <x:v>Dune / Aggression</x:v>
      </x:c>
      <x:c r="D60" s="53" t="n">
        <x:v>0.083333</x:v>
      </x:c>
      <x:c r="E60" s="54" t="b">
        <x:v>0</x:v>
      </x:c>
      <x:c r="F60" s="53" t="str"/>
    </x:row>
    <x:row r="61">
      <x:c r="A61" s="53" t="n">
        <x:v>23</x:v>
      </x:c>
      <x:c r="B61" s="53" t="str">
        <x:v>GLINT</x:v>
      </x:c>
      <x:c r="C61" s="53" t="str">
        <x:v>Glint / Chaos</x:v>
      </x:c>
      <x:c r="D61" s="53" t="n">
        <x:v>0.083333</x:v>
      </x:c>
      <x:c r="E61" s="54" t="b">
        <x:v>0</x:v>
      </x:c>
      <x:c r="F61" s="53" t="str"/>
    </x:row>
    <x:row r="62">
      <x:c r="A62" s="53" t="n">
        <x:v>24</x:v>
      </x:c>
      <x:c r="B62" s="53" t="str">
        <x:v>JUND</x:v>
      </x:c>
      <x:c r="C62" s="53" t="str">
        <x:v>Jund</x:v>
      </x:c>
      <x:c r="D62" s="53" t="n">
        <x:v>0.083333</x:v>
      </x:c>
      <x:c r="E62" s="54" t="b">
        <x:v>0</x:v>
      </x:c>
      <x:c r="F62" s="53" t="str"/>
    </x:row>
    <x:row r="63">
      <x:c r="A63" s="53" t="n">
        <x:v>25</x:v>
      </x:c>
      <x:c r="B63" s="53" t="str">
        <x:v>R</x:v>
      </x:c>
      <x:c r="C63" s="53" t="str">
        <x:v>Red</x:v>
      </x:c>
      <x:c r="D63" s="53" t="n">
        <x:v>0.083333</x:v>
      </x:c>
      <x:c r="E63" s="54" t="b">
        <x:v>0</x:v>
      </x:c>
      <x:c r="F63" s="53" t="str"/>
    </x:row>
    <x:row r="64">
      <x:c r="A64" s="53" t="n">
        <x:v>26</x:v>
      </x:c>
      <x:c r="B64" s="53" t="str">
        <x:v>RG</x:v>
      </x:c>
      <x:c r="C64" s="53" t="str">
        <x:v>Gruul Clans</x:v>
      </x:c>
      <x:c r="D64" s="53" t="n">
        <x:v>0.083333</x:v>
      </x:c>
      <x:c r="E64" s="54" t="b">
        <x:v>0</x:v>
      </x:c>
      <x:c r="F64" s="53" t="str"/>
    </x:row>
    <x:row r="65">
      <x:c r="A65" s="53" t="n">
        <x:v>27</x:v>
      </x:c>
      <x:c r="B65" s="53" t="str">
        <x:v>SILVERQUILL</x:v>
      </x:c>
      <x:c r="C65" s="53" t="str">
        <x:v>Silverquill College</x:v>
      </x:c>
      <x:c r="D65" s="53" t="n">
        <x:v>0.083333</x:v>
      </x:c>
      <x:c r="E65" s="54" t="b">
        <x:v>0</x:v>
      </x:c>
      <x:c r="F65" s="53" t="str"/>
    </x:row>
    <x:row r="66">
      <x:c r="A66" s="53" t="n">
        <x:v>28</x:v>
      </x:c>
      <x:c r="B66" s="53" t="str">
        <x:v>UR</x:v>
      </x:c>
      <x:c r="C66" s="53" t="str">
        <x:v>Izzet League</x:v>
      </x:c>
      <x:c r="D66" s="53" t="n">
        <x:v>0.083333</x:v>
      </x:c>
      <x:c r="E66" s="54" t="b">
        <x:v>0</x:v>
      </x:c>
      <x:c r="F66" s="53" t="str"/>
    </x:row>
    <x:row r="67">
      <x:c r="A67" s="53" t="n">
        <x:v>29</x:v>
      </x:c>
      <x:c r="B67" s="53" t="str">
        <x:v>WB</x:v>
      </x:c>
      <x:c r="C67" s="53" t="str">
        <x:v>Orzhov Syndicate</x:v>
      </x:c>
      <x:c r="D67" s="53" t="n">
        <x:v>0.083333</x:v>
      </x:c>
      <x:c r="E67" s="54" t="b">
        <x:v>0</x:v>
      </x:c>
      <x:c r="F67" s="53" t="str"/>
    </x:row>
    <x:row r="68">
      <x:c r="A68" s="53" t="n">
        <x:v>30</x:v>
      </x:c>
      <x:c r="B68" s="53" t="str">
        <x:v>YORE</x:v>
      </x:c>
      <x:c r="C68" s="53" t="str">
        <x:v>Yore / Artifice</x:v>
      </x:c>
      <x:c r="D68" s="53" t="n">
        <x:v>0.083333</x:v>
      </x:c>
      <x:c r="E68" s="54" t="b">
        <x:v>0</x:v>
      </x:c>
      <x:c r="F68" s="53" t="str"/>
    </x:row>
    <x:row r="69">
      <x:c r="A69" s="53" t="n">
        <x:v>31</x:v>
      </x:c>
      <x:c r="B69" s="53" t="str">
        <x:v>ESPER</x:v>
      </x:c>
      <x:c r="C69" s="53" t="str">
        <x:v>Esper</x:v>
      </x:c>
      <x:c r="D69" s="53" t="n">
        <x:v>0.0625</x:v>
      </x:c>
      <x:c r="E69" s="54" t="b">
        <x:v>0</x:v>
      </x:c>
      <x:c r="F69" s="53" t="str"/>
    </x:row>
    <x:row r="70">
      <x:c r="A70" s="53" t="n">
        <x:v>32</x:v>
      </x:c>
      <x:c r="B70" s="53" t="str">
        <x:v>JESKAI</x:v>
      </x:c>
      <x:c r="C70" s="53" t="str">
        <x:v>Jeskai Way</x:v>
      </x:c>
      <x:c r="D70" s="53" t="n">
        <x:v>0.0625</x:v>
      </x:c>
      <x:c r="E70" s="54" t="b">
        <x:v>0</x:v>
      </x:c>
      <x:c r="F70" s="53" t="str"/>
    </x:row>
    <x:row r="71">
      <x:c r="A71" s="53" t="n">
        <x:v>33</x:v>
      </x:c>
      <x:c r="B71" s="53" t="str">
        <x:v>WU</x:v>
      </x:c>
      <x:c r="C71" s="53" t="str">
        <x:v>Azorius Senate</x:v>
      </x:c>
      <x:c r="D71" s="53" t="n">
        <x:v>0.0625</x:v>
      </x:c>
      <x:c r="E71" s="54" t="b">
        <x:v>0</x:v>
      </x:c>
      <x:c r="F71" s="53" t="str"/>
    </x:row>
    <x:row r="72">
      <x:c r="A72" s="53" t="n">
        <x:v>34</x:v>
      </x:c>
      <x:c r="B72" s="53" t="str">
        <x:v>B</x:v>
      </x:c>
      <x:c r="C72" s="53" t="str">
        <x:v>Black</x:v>
      </x:c>
      <x:c r="D72" s="53" t="n">
        <x:v>0</x:v>
      </x:c>
      <x:c r="E72" s="54" t="b">
        <x:v>0</x:v>
      </x:c>
      <x:c r="F72" s="53" t="str"/>
    </x:row>
    <x:row r="73">
      <x:c r="A73" s="53" t="n">
        <x:v>35</x:v>
      </x:c>
      <x:c r="B73" s="53" t="str">
        <x:v>BR</x:v>
      </x:c>
      <x:c r="C73" s="53" t="str">
        <x:v>Cult of Rakdos</x:v>
      </x:c>
      <x:c r="D73" s="53" t="n">
        <x:v>0</x:v>
      </x:c>
      <x:c r="E73" s="54" t="b">
        <x:v>0</x:v>
      </x:c>
      <x:c r="F73" s="53" t="str"/>
    </x:row>
    <x:row r="74">
      <x:c r="A74" s="53" t="n">
        <x:v>36</x:v>
      </x:c>
      <x:c r="B74" s="53" t="str">
        <x:v>NAYA</x:v>
      </x:c>
      <x:c r="C74" s="53" t="str">
        <x:v>Naya</x:v>
      </x:c>
      <x:c r="D74" s="53" t="n">
        <x:v>0</x:v>
      </x:c>
      <x:c r="E74" s="54" t="b">
        <x:v>0</x:v>
      </x:c>
      <x:c r="F74" s="53" t="str"/>
    </x:row>
    <x:row r="75">
      <x:c r="A75" s="53" t="n">
        <x:v>37</x:v>
      </x:c>
      <x:c r="B75" s="53" t="str">
        <x:v>PRISMARI</x:v>
      </x:c>
      <x:c r="C75" s="53" t="str">
        <x:v>Prismari College</x:v>
      </x:c>
      <x:c r="D75" s="53" t="n">
        <x:v>0</x:v>
      </x:c>
      <x:c r="E75" s="54" t="b">
        <x:v>0</x:v>
      </x:c>
      <x:c r="F75" s="53" t="str"/>
    </x:row>
    <x:row r="77" ht="28" customHeight="1">
      <x:c r="A77" s="45" t="str">
        <x:v>FINAL RESULT JSON — CHUNKED ONLY FOR XLSX CELL LIMIT</x:v>
      </x:c>
      <x:c r="B77" s="45"/>
      <x:c r="C77" s="45"/>
      <x:c r="D77" s="45"/>
      <x:c r="E77" s="45"/>
      <x:c r="F77" s="45"/>
      <x:c r="G77" s="45"/>
      <x:c r="H77" s="45"/>
      <x:c r="I77" s="45"/>
      <x:c r="J77" s="45"/>
      <x:c r="K77" s="45"/>
      <x:c r="L77" s="45"/>
      <x:c r="M77" s="45"/>
      <x:c r="N77" s="45"/>
      <x:c r="O77" s="45"/>
      <x:c r="P77" s="45"/>
      <x:c r="Q77" s="45"/>
      <x:c r="R77" s="45"/>
      <x:c r="S77" s="45"/>
      <x:c r="T77" s="45"/>
    </x:row>
    <x:row r="78">
      <x:c r="A78" s="53" t="str">
        <x:v>Part 1/3</x:v>
      </x:c>
      <x:c r="B78" s="53" t="str">
        <x:v>{
  "version": "2026-08-09-gate-b1-v1",
  "model_version": "vm551-gate-b1-placement-engine-v1",
  "instrument_version": "vm551-gate-b1-instrument-v2",
  "mapping_version": "vm551-gate-b1-mapping-v2-instrument-completion",
  "source_mode": "quick",
  "faction": "WG",
  "faction_name": "Selesnya Conclave",
  "institution_type": "guild",
  "world": "Ravnica",
  "identity": {
    "core_color": "W",
    "secondary_colors": [
      "G"
    ],
    "secondary_color": "G",
    "expression_key": "WG",
    "expression_name": "Selesnya Conclave",
    "expression_kind": "guild",
    "purity": null,
    "routing": {
      "edhrec_slug": "selesnya",
      "mtgdecks_slug": "selesnya",
      "label": "Selesnya"
    }
  },
  "decree": "Selesnya Conclave is the clearest current fit from the approved observations.",
  "confidence": 0.043,
  "confidence_gap": 1,
  "mana_scores": {
    "W": 10,
    "U": 10,
    "B": 9,
    "R": 9,
    "G": 10
  },
  "top_matches": [
    {
      "rank": 1,
      "faction": "WG",
      "faction_name": "Selesnya Conclave",
      "institution_type": "guild",
      "world": "Ravnica",
      "identity": {
        "core_color": "W",
        "secondary_colors": [
          "G"
        ],
        "secondary_color": "G",
        "expression_key": "WG",
        "expression_name": "Selesnya Conclave",
        "expression_kind": "guild",
        "purity": null,
        "routing": {
          "edhrec_slug": "selesnya",
          "mtgdecks_slug": "selesnya",
          "label": "Selesnya"
        }
      },
      "score": 0.729167,
      "confidence": 0.043,
      "reason": "Selesnya Conclave remained plausible through C03, C13; identity mapping remains a hypothesis."
    }
  ],
  "adjacent_matches": [],
  "internal_candidate_order": [
    {
      "identity": "WG",
      "score": 0.729167,
      "positive_dependencies": 2,
      "qualification_dependencies": 2,
      "naming_dependencies": 1,
      "positive_constructs": [
        "C13",
        "C14"
      ],
      "satisfied_naming_rule_ids": [
        "instrument_completion_overlay:b1.hall.commitment.v1.access:WG"
      ],
      "naming_qualification": {
        "identity": "WG",
        "qualified": true,
        "satisfied_naming_rule_ids": [
          "instrument_completion_overlay:b1.hall.commitment.v1.access:WG"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"BANT",
      "score": 0.645833,
      "positive_dependencies": 2,
      "qualification_dependencies": 2,
      "naming_dependencies": 0,
      "positive_constructs": [
        "C13",
        "C14"
      ],
      "satisfied_naming_rule_ids": [],
      "naming_qualification": {
        "identity": "BANT",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"WUBRG",
      "score": 0.5625,
      "positive_dependencies": 2,
      "qualification_dependencies": 2,
      "naming_dependencies": 0,
      "positive_constructs": [
        "C06",
        "C13"
      ],
      "satisfied_naming_rule_ids": [],
      "naming_qualification": {
        "identity": "WUBRG",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0.541667,
      "positive_dependencies": 1,
      "qualification_dependencies": 1,
      "naming_dependencies": 0,
      "positive_constructs": [
        "C14"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"SULTAI",
      "score": 0.541667,
      "positive_dependencies": 1,
      "qualification_dependencies": 1,
      "naming_dependencies": 0,
      "positive_constructs": [
        "C06"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"UB",
      "score": 0.4375,
      "positive_dependencies": 1,
      "qualification_dependencies": 1,
      "naming_dependencies": 0,
      "positive_constructs": [
        "C06"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"ABZAN",
      "score": 0.25,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"UG",
      "score": 0.25,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"C14"
      ]
    },
    {
      "identity": "BG",
      "score": 0.166667,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"LOREHOLD",
      "score": 0.166667,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"QUANDRIX",
      "score": 0.166667,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"WITHERBLOOM",
      "score": 0.166667,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"SILVERQUILL",
      "score": 0.083333,
      "positive_dependencies": 0,
      "qualification_dependencies": 0,
      "naming_dependencies": 0,
      "positive_constructs": [],
      "satisfied_naming_rule_ids": [],
      "naming_qualification": {
        "identity": "SILVERQUILL",
        "qualified": false,
        "satisfied_naming_rule_ids": [],
        </x:v>
      </x:c>
    </x:row>
    <x:row r="79">
      <x:c r="A79" s="53" t="str">
        <x:v>Part 2/3</x:v>
      </x:c>
      <x:c r="B79" s="53" t="str">
        <x:v>"requirements":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"WG",
    "BANT",
    "WUBRG",
    "INK",
    "SULTAI",
    "UB"
  ],
  "alternatives": [],
  "refinement": {
    "kind": "no_approved_discriminator",
    "can_reduce_ambiguity": false,
    "remaining_candidates": [
      "WG",
      "BANT",
      "WUBRG",
      "INK",
      "SULTAI",
      "UB"
    ],
    "unresolved_boundaries": [
      {
        "pair_id": "BANT__INK",
        "identities": [
          "BANT",
          "INK"
        ],
        "distinction": "BANT uses Commander reliance evidence; INK uses Public commitment evidence. No direct pair claim is made.",
        "question_ids": [
          "b1.hall.commander-role.v1",
          "b1.hall.commitment.v1",
          "b1.crucible.mono-multi.v1",
          "b1.crucible.bant.v1",
          "b1.crucible.dune-ink.v1",
          "b1.crucible.ink-witch.v1"
        ],
        "coverage_status": "DIRECT-OR-STRUCTURAL-MAPPING-HYPOTHESIS; bounded player validation required"
      },
      {
        "pair_id": "INK__WG",
        "identities": [
          "INK",
          "WG"
        ],
        "distinction": "INK uses Public commitment evidence; WG uses Public commitment evidence. No direct pair claim is made.",
        "question_ids": [
          "b1.hall.commitment.v1",
          "b1.crucible.mono-multi.v1",
          "b1.crucible.dune-ink.v1",
          "b1.crucible.ink-witch.v1",
          "b1.gate.disruption.v1",
          "b1.hall.pressure.v1"
        ],
        "coverage_status": "DIRECT-OR-STRUCTURAL-MAPPING-HYPOTHESIS; bounded player validation required"
      },
      {
        "pair_id": "SULTAI__UB",
        "identities": [
          "SULTAI",
          "UB"
        ],
        "distinction": "SULTAI uses Resource sacrifice evidence; UB uses Resource visibility evidence. No direct pair claim is made.",
        "question_ids": [
          "b1.hall.sacrifice.v1",
          "b1.gate.visibility.v1",
          "b1.crucible.mono-multi.v1",
          "b1.hall.information-to-plan.v1",
          "b1.crucible.sultai.v1",
          "b1.hall.interaction-window.v1"
        ],
        "coverage_status": "DIRECT-OR-STRUCTURAL-MAPPING-HYPOTHESIS; bounded player validation required"
      },
      {
        "pair_id": "SULTAI__WUBRG",
        "identities": [
          "SULTAI",
          "WUBRG"
        ],
        "distinction": "SULTAI uses Resource sacrifice evidence; WUBRG uses Deck breadth and constraint evidence. No direct pair claim is made.",
        "question_ids": [
          "b1.hall.sacrifice.v1",
          "b1.hall.breadth.v1",
          "b1.crucible.mono-multi.v1",
          "b1.crucible.sultai.v1",
          "b1.crucible.colorless-wubrg.v1",
          "b1.hall.commitment.v1"
        ],
        "coverage_status": "DIRECT-OR-STRUCTURAL-MAPPING-HYPOTHESIS; bounded player validation required"
      },
      {
        "pair_id": "UB__WUBRG",
        "identities": [
          "UB",
          "WUBRG"
        ],
        "distinction": "UB uses Resource visibility evidence; WUBRG uses Deck breadth and constraint evidence. No direct pair claim is made.",
        "question_ids": [
          "b1.gate.visibility.v1",
          "b1.hall.breadth.v1",
          "b1.crucible.mono-multi.v1",
          "b1.hall.information-to-plan.v1",
          "b1.crucible.colorless-wubrg.v1",
          "b1.hall.commitment.v1",
          "b1.hall.interaction-window.v1"
        ],
        "coverage_status": "DIRECT-OR-STRUCTURAL-MAPPING-HYPOTHESIS; bounded player validation required"
      }
    ],
    "missing_constructs": [
      "C05",
      "C08",
      "C09",
      "C12",
      "C15"
    ],
    "question_id": null,
    "purpose": "none_for_clean_primary",
    "target_identities": [
      "WG",
      "BANT",
      "WUBRG"
    ],
    "target_pair_ids": [
      "BANT__INK",
      "INK__WG",
      "SULTAI__UB",
      "SULTAI__WUBRG",
      "UB__WUBRG"
    ],
    "distinction": "",
    "revisit": null,
    "limitation": "The named reading is complete; optional questioning is not used merely to add another explanation card."
  },
  "stopping": {
    "stop": true,
    "state": "primary",
    "reason": "clear_separation",
    "can_improve": true,
    "next_question_id": "b1.crucible.bant.v1"
  },
  "starter_profile": {
    "format_interest": "commander",
    "budget_band": "mid",
    "experience_level": "returning"
  },
  "evidence_trail":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"answer_title": "Keep options open",
      "prompt": "Your turn begins, no urgent threat needs an answer, and you have enough mana to act. What feels best?",
      "observation": "Prefers reactive optionality on an open turn.",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"answer_title": "Less exposed in the first place",
      "prompt": "A board wipe—an effect that removes many cards and tokens from the battlefield—is likely next turn. What would you rather have prepared?",
      "observation": "Prefers reduced exposure to broad disruption.",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"answer_title": "Protect shared access",
      "prompt": "The table agrees to stop a repeatable threat. Before your next turn, the board changes and that threat is weaker but still present. What should the agreement require now?",
      "observation": "Prefers protecting a shared resource or opportunity after circumstances change.",
      "deltas": [
        {
          "faction": "BANT",
          "delta": 1
        },
        {
          "faction": "WG",
          "delta": 1
        },
        {
          "faction": "WUBRG",
          "delta": 1
        }
      ]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"answer_title": "Contribute right away",
      "prompt": "Your deck becomes much stronger after several setup turns, but the table is already developing threats. What must the setup do along the way?",
      "observation": "Requires useful early participation while a longer plan develops.",
      "deltas": [
        {
          "faction": "BANT",
          "delta": 0.5
        },
        {
          "faction": "INK",
          "delta": 0.5
        },
        {
          "faction": "WG",
          "delta": 0.5
        }
      ]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"answer_title": "Keep the goal, change the tool",
      "prompt": "Opponents have learned how to stop your main engine. When you revise the deck, what structure do you want next?",
      "observation": "Prefers a stable purpose with flexible implementation routes.",
      "deltas": [
        {
          "faction": "SULTAI",
          "delta": 0.5
        },
        {
          "faction": "UB",
          "delta": 0.5
        },
        {
          "faction": "WUBRG",
          "delta": 0.5
        }
      ]
    }
  ],
  "evidence_ledger":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x:v>
      </x:c>
    </x:row>
    <x:row r="80">
      <x:c r="A80" s="53" t="str">
        <x:v>Part 3/3</x:v>
      </x:c>
      <x:c r="B80" s="53" t="str">
        <x:v>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
  ],
  "lens_ledger": [],
  "stage_history": [
    {
      "question_id": "b1.gate.initiative.v1",
      "answer_id": "b1.gate.initiative.v1.respond",
      "stage": "gate",
      "evidence_class": "BEHAVIORAL_OBSERVATION"
    },
    {
      "question_id": "b1.gate.visibility.v1",
      "answer_id": "b1.gate.visibility.v1.board",
      "stage": "gate",
      "evidence_class": "BEHAVIORAL_OBSERVATION"
    },
    {
      "question_id": "b1.gate.disruption.v1",
      "answer_id": "b1.gate.disruption.v1.limit",
      "stage": "gate",
      "evidence_class": "BEHAVIORAL_OBSERVATION"
    },
    {
      "question_id": "b1.gate.tempo.v1",
      "answer_id": "b1.gate.tempo.v1.depends",
      "stage": "gate",
      "evidence_class": "BEHAVIORAL_OBSERVATION"
    },
    {
      "question_id": "b1.hall.commitment.v1",
      "answer_id": "b1.hall.commitment.v1.access",
      "stage": "hall",
      "evidence_class": "BEHAVIORAL_OBSERVATION"
    },
    {
      "question_id": "b1.hall.setup.v1",
      "answer_id": "b1.hall.setup.v1.early",
      "stage": "hall",
      "evidence_class": "BEHAVIORAL_OBSERVATION"
    },
    {
      "question_id": "b1.hall.engine-shape.v1",
      "answer_id": "b1.hall.engine-shape.v1.purpose",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7:T37"/>
    <x:mergeCell ref="A77:T77"/>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Simic Combine — Engine Trace</x:v>
      </x:c>
      <x:c r="B1" s="3"/>
      <x:c r="C1" s="3"/>
      <x:c r="D1" s="3"/>
      <x:c r="E1" s="3"/>
      <x:c r="F1" s="3"/>
      <x:c r="G1" s="3"/>
      <x:c r="H1" s="3"/>
      <x:c r="I1" s="3"/>
      <x:c r="J1" s="3"/>
      <x:c r="K1" s="3"/>
      <x:c r="L1" s="3"/>
      <x:c r="M1" s="3"/>
      <x:c r="N1" s="3"/>
      <x:c r="O1" s="3"/>
      <x:c r="P1" s="3"/>
      <x:c r="Q1" s="3"/>
      <x:c r="R1" s="3"/>
      <x:c r="S1" s="3"/>
      <x:c r="T1" s="3"/>
    </x:row>
    <x:row r="2" ht="30" customHeight="1">
      <x:c r="A2" s="7" t="str">
        <x:v>ENGINE-UG • PASS_MATCH • primary • trace 6e6409b6616700af5275a2d35306e9620a7146f84565f52db979c05bc171cacd</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UG</x:v>
      </x:c>
    </x:row>
    <x:row r="6">
      <x:c r="A6" s="53" t="str">
        <x:v>Expected public contract</x:v>
      </x:c>
      <x:c r="B6" s="53" t="str">
        <x:v>NAMED_DOSSIER</x:v>
      </x:c>
    </x:row>
    <x:row r="7">
      <x:c r="A7" s="53" t="str">
        <x:v>Witness status</x:v>
      </x:c>
      <x:c r="B7" s="53" t="str">
        <x:v>CURRENT_COMPATIBLE</x:v>
      </x:c>
    </x:row>
    <x:row r="8">
      <x:c r="A8" s="53" t="str">
        <x:v>Actual result</x:v>
      </x:c>
      <x:c r="B8" s="53" t="str">
        <x:v>UG</x:v>
      </x:c>
    </x:row>
    <x:row r="9">
      <x:c r="A9" s="53" t="str">
        <x:v>Directional result</x:v>
      </x:c>
      <x:c r="B9" s="53" t="str">
        <x:v>UG</x:v>
      </x:c>
    </x:row>
    <x:row r="10">
      <x:c r="A10" s="53" t="str">
        <x:v>Public state</x:v>
      </x:c>
      <x:c r="B10" s="53" t="str">
        <x:v>current-best-fit</x:v>
      </x:c>
    </x:row>
    <x:row r="11">
      <x:c r="A11" s="53" t="str">
        <x:v>Raw numeric leader</x:v>
      </x:c>
      <x:c r="B11" s="53" t="str">
        <x:v>UG</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UG</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outputs/01a02cd6-bce7-7832-9558-3075c52f146a/archscry-current-state-2026-08-22/evidence/engine/traces/ug.json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b1.gate.disruption.v1.limit</x:v>
      </x:c>
      <x:c r="G31" s="53" t="str">
        <x:v>Less exposed in the first place</x:v>
      </x:c>
      <x:c r="H31" s="53" t="str">
        <x:v>C03</x:v>
      </x:c>
      <x:c r="I31" s="53" t="str">
        <x:v>SIG_C03_LIMIT_EXPOSURE</x:v>
      </x:c>
      <x:c r="J31" s="53" t="str">
        <x:v>DG_C03</x:v>
      </x:c>
      <x:c r="K31" s="53" t="str">
        <x:v>BEHAVIORAL_OBSERVATION</x:v>
      </x:c>
      <x:c r="L31" s="53" t="str"/>
      <x:c r="M31" s="53" t="str"/>
      <x:c r="N31" s="53" t="n">
        <x:v>0</x:v>
      </x:c>
      <x:c r="O31" s="54" t="b">
        <x:v>0</x:v>
      </x:c>
      <x:c r="P31" s="53" t="str">
        <x:v>OBSERVATION_ONLY</x:v>
      </x:c>
      <x:c r="Q31" s="53" t="str">
        <x:v>Prefers reduced exposure to broad disruption.</x:v>
      </x:c>
      <x:c r="R31" s="53" t="str">
        <x:v>Observation wording and identity association require player validation; no weight is authorized.</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b1.hall.interaction-window.v1.split</x:v>
      </x:c>
      <x:c r="G33" s="53" t="str">
        <x:v>Advance with one answer ready</x:v>
      </x:c>
      <x:c r="H33" s="53" t="str">
        <x:v>C08</x:v>
      </x:c>
      <x:c r="I33" s="53" t="str">
        <x:v>SIG_C08_SPLIT</x:v>
      </x:c>
      <x:c r="J33" s="53" t="str">
        <x:v>DG_C08</x:v>
      </x:c>
      <x:c r="K33" s="53" t="str">
        <x:v>BEHAVIORAL_OBSERVATION</x:v>
      </x:c>
      <x:c r="L33" s="53" t="str">
        <x:v>JESKAI | UR</x:v>
      </x:c>
      <x:c r="M33" s="53" t="str"/>
      <x:c r="N33" s="53" t="n">
        <x:v>0.5</x:v>
      </x:c>
      <x:c r="O33" s="54" t="b">
        <x:v>0</x:v>
      </x:c>
      <x:c r="P33" s="53" t="str">
        <x:v>REMEDIATION_MAPPING_HYPOTHESIS</x:v>
      </x:c>
      <x:c r="Q33" s="53" t="str">
        <x:v>Prefers split commitment between development and one bounded response.</x:v>
      </x:c>
      <x:c r="R33" s="53" t="str">
        <x:v>Efficient curves can produce this line without a stable interaction preference.</x:v>
      </x:c>
      <x:c r="S33" s="53" t="str">
        <x:v>JESKAI</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b1.hall.engine-shape.v1.overlap</x:v>
      </x:c>
      <x:c r="G34" s="53" t="str">
        <x:v>Let smaller engines overlap</x:v>
      </x:c>
      <x:c r="H34" s="53" t="str">
        <x:v>C06</x:v>
      </x:c>
      <x:c r="I34" s="53" t="str">
        <x:v>SIG_C06_MODULAR</x:v>
      </x:c>
      <x:c r="J34" s="53" t="str">
        <x:v>DG_C06</x:v>
      </x:c>
      <x:c r="K34" s="53" t="str">
        <x:v>BEHAVIORAL_OBSERVATION</x:v>
      </x:c>
      <x:c r="L34" s="53" t="str">
        <x:v>BG | UR | WITHERBLOOM</x:v>
      </x:c>
      <x:c r="M34" s="53" t="str"/>
      <x:c r="N34" s="53" t="n">
        <x:v>0.5</x:v>
      </x:c>
      <x:c r="O34" s="54" t="b">
        <x:v>0</x:v>
      </x:c>
      <x:c r="P34" s="53" t="str">
        <x:v>REMEDIATION_MAPPING_HYPOTHESIS</x:v>
      </x:c>
      <x:c r="Q34" s="53" t="str">
        <x:v>Prefers modular engines whose functions overlap.</x:v>
      </x:c>
      <x:c r="R34" s="53" t="str">
        <x:v>Overlapping packages may be required by singleton deck construction.</x:v>
      </x:c>
      <x:c r="S34" s="53" t="str">
        <x:v>BG</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b1.hall.setup.v1.staged</x:v>
      </x:c>
      <x:c r="G35" s="53" t="str">
        <x:v>Let each step matter</x:v>
      </x:c>
      <x:c r="H35" s="53" t="str">
        <x:v>C14</x:v>
      </x:c>
      <x:c r="I35" s="53" t="str">
        <x:v>SIG_C14_STAGED</x:v>
      </x:c>
      <x:c r="J35" s="53" t="str">
        <x:v>DG_C14</x:v>
      </x:c>
      <x:c r="K35" s="53" t="str">
        <x:v>BEHAVIORAL_OBSERVATION</x:v>
      </x:c>
      <x:c r="L35" s="53" t="str">
        <x:v>ABZAN | BG | G | NAYA | UG | WITHERBLOOM</x:v>
      </x:c>
      <x:c r="M35" s="53" t="str"/>
      <x:c r="N35" s="53" t="n">
        <x:v>0.5</x:v>
      </x:c>
      <x:c r="O35" s="54" t="b">
        <x:v>0</x:v>
      </x:c>
      <x:c r="P35" s="53" t="str">
        <x:v>REMEDIATION_MAPPING_HYPOTHESIS</x:v>
      </x:c>
      <x:c r="Q35" s="53" t="str">
        <x:v>Prefers staged cultivation where development contributes along the way.</x:v>
      </x:c>
      <x:c r="R35" s="53" t="str">
        <x:v>Value engines commonly reward staged play for mechanical reasons.</x:v>
      </x:c>
      <x:c r="S35" s="53" t="str">
        <x:v>UG</x:v>
      </x:c>
      <x:c r="T35" s="53" t="str">
        <x:v>incomplete / useful_evidence_remains / b1.crucible.ug.v1</x:v>
      </x:c>
    </x:row>
    <x:row r="36">
      <x:c r="A36" s="53" t="n">
        <x:v>8</x:v>
      </x:c>
      <x:c r="B36" s="53" t="str">
        <x:v>main</x:v>
      </x:c>
      <x:c r="C36" s="53" t="str">
        <x:v>crucible</x:v>
      </x:c>
      <x:c r="D36" s="53" t="str">
        <x:v>b1.crucible.ug.v1</x:v>
      </x:c>
      <x:c r="E36" s="53" t="str">
        <x:v>When building an engine, which structure fits your deck?</x:v>
      </x:c>
      <x:c r="F36" s="53" t="str">
        <x:v>b1.crucible.ug.v1.adapt</x:v>
      </x:c>
      <x:c r="G36" s="53" t="str">
        <x:v>Several overlapping engines</x:v>
      </x:c>
      <x:c r="H36" s="53" t="str">
        <x:v>C06</x:v>
      </x:c>
      <x:c r="I36" s="53" t="str">
        <x:v>SIG_C06_MODULAR</x:v>
      </x:c>
      <x:c r="J36" s="53" t="str">
        <x:v>DG_C06</x:v>
      </x:c>
      <x:c r="K36" s="53" t="str">
        <x:v>BEHAVIORAL_OBSERVATION</x:v>
      </x:c>
      <x:c r="L36" s="53" t="str">
        <x:v>UG</x:v>
      </x:c>
      <x:c r="M36" s="53" t="str">
        <x:v>QUANDRIX</x:v>
      </x:c>
      <x:c r="N36" s="53" t="n">
        <x:v>1</x:v>
      </x:c>
      <x:c r="O36" s="54" t="b">
        <x:v>1</x:v>
      </x:c>
      <x:c r="P36" s="53" t="str">
        <x:v>MAPPING_HYPOTHESIS</x:v>
      </x:c>
      <x:c r="Q36" s="53" t="str">
        <x:v>Prefers modular overlapping engines.</x:v>
      </x:c>
      <x:c r="R36" s="53" t="str">
        <x:v>Use only after prior independent observations leave the stated competitor boundary plausible; the identity association requires player validation.</x:v>
      </x:c>
      <x:c r="S36" s="53" t="str">
        <x:v>UG</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UG</x:v>
      </x:c>
      <x:c r="C40" s="53" t="str">
        <x:v>Simic Combine</x:v>
      </x:c>
      <x:c r="D40" s="53" t="n">
        <x:v>0.8125</x:v>
      </x:c>
      <x:c r="E40" s="54" t="b">
        <x:v>1</x:v>
      </x:c>
      <x:c r="F40" s="53" t="str">
        <x:v>C06 | C14</x:v>
      </x:c>
    </x:row>
    <x:row r="41">
      <x:c r="A41" s="53" t="n">
        <x:v>2</x:v>
      </x:c>
      <x:c r="B41" s="53" t="str">
        <x:v>BG</x:v>
      </x:c>
      <x:c r="C41" s="53" t="str">
        <x:v>Golgari Swarm</x:v>
      </x:c>
      <x:c r="D41" s="53" t="n">
        <x:v>0.541667</x:v>
      </x:c>
      <x:c r="E41" s="54" t="b">
        <x:v>0</x:v>
      </x:c>
      <x:c r="F41" s="53" t="str">
        <x:v>C06 | C14</x:v>
      </x:c>
    </x:row>
    <x:row r="42">
      <x:c r="A42" s="53" t="n">
        <x:v>3</x:v>
      </x:c>
      <x:c r="B42" s="53" t="str">
        <x:v>WITHERBLOOM</x:v>
      </x:c>
      <x:c r="C42" s="53" t="str">
        <x:v>Witherbloom College</x:v>
      </x:c>
      <x:c r="D42" s="53" t="n">
        <x:v>0.541667</x:v>
      </x:c>
      <x:c r="E42" s="54" t="b">
        <x:v>0</x:v>
      </x:c>
      <x:c r="F42" s="53" t="str">
        <x:v>C06 | C14</x:v>
      </x:c>
    </x:row>
    <x:row r="43">
      <x:c r="A43" s="53" t="n">
        <x:v>4</x:v>
      </x:c>
      <x:c r="B43" s="53" t="str">
        <x:v>ABZAN</x:v>
      </x:c>
      <x:c r="C43" s="53" t="str">
        <x:v>Abzan Houses</x:v>
      </x:c>
      <x:c r="D43" s="53" t="n">
        <x:v>0.541667</x:v>
      </x:c>
      <x:c r="E43" s="54" t="b">
        <x:v>0</x:v>
      </x:c>
      <x:c r="F43" s="53" t="str">
        <x:v>C14</x:v>
      </x:c>
    </x:row>
    <x:row r="44">
      <x:c r="A44" s="53" t="n">
        <x:v>5</x:v>
      </x:c>
      <x:c r="B44" s="53" t="str">
        <x:v>G</x:v>
      </x:c>
      <x:c r="C44" s="53" t="str">
        <x:v>Green</x:v>
      </x:c>
      <x:c r="D44" s="53" t="n">
        <x:v>0.541667</x:v>
      </x:c>
      <x:c r="E44" s="54" t="b">
        <x:v>0</x:v>
      </x:c>
      <x:c r="F44" s="53" t="str">
        <x:v>C14</x:v>
      </x:c>
    </x:row>
    <x:row r="45">
      <x:c r="A45" s="53" t="n">
        <x:v>6</x:v>
      </x:c>
      <x:c r="B45" s="53" t="str">
        <x:v>JESKAI</x:v>
      </x:c>
      <x:c r="C45" s="53" t="str">
        <x:v>Jeskai Way</x:v>
      </x:c>
      <x:c r="D45" s="53" t="n">
        <x:v>0.5</x:v>
      </x:c>
      <x:c r="E45" s="54" t="b">
        <x:v>0</x:v>
      </x:c>
      <x:c r="F45" s="53" t="str">
        <x:v>C01 | C08</x:v>
      </x:c>
    </x:row>
    <x:row r="46">
      <x:c r="A46" s="53" t="n">
        <x:v>7</x:v>
      </x:c>
      <x:c r="B46" s="53" t="str">
        <x:v>UR</x:v>
      </x:c>
      <x:c r="C46" s="53" t="str">
        <x:v>Izzet League</x:v>
      </x:c>
      <x:c r="D46" s="53" t="n">
        <x:v>0.458333</x:v>
      </x:c>
      <x:c r="E46" s="54" t="b">
        <x:v>0</x:v>
      </x:c>
      <x:c r="F46" s="53" t="str">
        <x:v>C06 | C08</x:v>
      </x:c>
    </x:row>
    <x:row r="47">
      <x:c r="A47" s="53" t="n">
        <x:v>8</x:v>
      </x:c>
      <x:c r="B47" s="53" t="str">
        <x:v>NAYA</x:v>
      </x:c>
      <x:c r="C47" s="53" t="str">
        <x:v>Naya</x:v>
      </x:c>
      <x:c r="D47" s="53" t="n">
        <x:v>0.375</x:v>
      </x:c>
      <x:c r="E47" s="54" t="b">
        <x:v>0</x:v>
      </x:c>
      <x:c r="F47" s="53" t="str">
        <x:v>C14</x:v>
      </x:c>
    </x:row>
    <x:row r="48">
      <x:c r="A48" s="53" t="n">
        <x:v>9</x:v>
      </x:c>
      <x:c r="B48" s="53" t="str">
        <x:v>U</x:v>
      </x:c>
      <x:c r="C48" s="53" t="str">
        <x:v>Blue</x:v>
      </x:c>
      <x:c r="D48" s="53" t="n">
        <x:v>0.1875</x:v>
      </x:c>
      <x:c r="E48" s="54" t="b">
        <x:v>0</x:v>
      </x:c>
      <x:c r="F48" s="53" t="str"/>
    </x:row>
    <x:row r="49">
      <x:c r="A49" s="53" t="n">
        <x:v>10</x:v>
      </x:c>
      <x:c r="B49" s="53" t="str">
        <x:v>LOREHOLD</x:v>
      </x:c>
      <x:c r="C49" s="53" t="str">
        <x:v>Lorehold College</x:v>
      </x:c>
      <x:c r="D49" s="53" t="n">
        <x:v>0.166667</x:v>
      </x:c>
      <x:c r="E49" s="54" t="b">
        <x:v>0</x:v>
      </x:c>
      <x:c r="F49" s="53" t="str"/>
    </x:row>
    <x:row r="50">
      <x:c r="A50" s="53" t="n">
        <x:v>11</x:v>
      </x:c>
      <x:c r="B50" s="53" t="str">
        <x:v>SULTAI</x:v>
      </x:c>
      <x:c r="C50" s="53" t="str">
        <x:v>Sultai Brood</x:v>
      </x:c>
      <x:c r="D50" s="53" t="n">
        <x:v>0.166667</x:v>
      </x:c>
      <x:c r="E50" s="54" t="b">
        <x:v>0</x:v>
      </x:c>
      <x:c r="F50" s="53" t="str"/>
    </x:row>
    <x:row r="51">
      <x:c r="A51" s="53" t="n">
        <x:v>12</x:v>
      </x:c>
      <x:c r="B51" s="53" t="str">
        <x:v>TEMUR</x:v>
      </x:c>
      <x:c r="C51" s="53" t="str">
        <x:v>Temur Frontier</x:v>
      </x:c>
      <x:c r="D51" s="53" t="n">
        <x:v>0.166667</x:v>
      </x:c>
      <x:c r="E51" s="54" t="b">
        <x:v>0</x:v>
      </x:c>
      <x:c r="F51" s="53" t="str"/>
    </x:row>
    <x:row r="52">
      <x:c r="A52" s="53" t="n">
        <x:v>13</x:v>
      </x:c>
      <x:c r="B52" s="53" t="str">
        <x:v>WITCH</x:v>
      </x:c>
      <x:c r="C52" s="53" t="str">
        <x:v>Witch / Growth</x:v>
      </x:c>
      <x:c r="D52" s="53" t="n">
        <x:v>0.166667</x:v>
      </x:c>
      <x:c r="E52" s="54" t="b">
        <x:v>0</x:v>
      </x:c>
      <x:c r="F52" s="53" t="str"/>
    </x:row>
    <x:row r="53">
      <x:c r="A53" s="53" t="n">
        <x:v>14</x:v>
      </x:c>
      <x:c r="B53" s="53" t="str">
        <x:v>WR</x:v>
      </x:c>
      <x:c r="C53" s="53" t="str">
        <x:v>Boros Legion</x:v>
      </x:c>
      <x:c r="D53" s="53" t="n">
        <x:v>0.166667</x:v>
      </x:c>
      <x:c r="E53" s="54" t="b">
        <x:v>0</x:v>
      </x:c>
      <x:c r="F53" s="53" t="str"/>
    </x:row>
    <x:row r="54">
      <x:c r="A54" s="53" t="n">
        <x:v>15</x:v>
      </x:c>
      <x:c r="B54" s="53" t="str">
        <x:v>ESPER</x:v>
      </x:c>
      <x:c r="C54" s="53" t="str">
        <x:v>Esper</x:v>
      </x:c>
      <x:c r="D54" s="53" t="n">
        <x:v>0.125</x:v>
      </x:c>
      <x:c r="E54" s="54" t="b">
        <x:v>0</x:v>
      </x:c>
      <x:c r="F54" s="53" t="str"/>
    </x:row>
    <x:row r="55">
      <x:c r="A55" s="53" t="n">
        <x:v>16</x:v>
      </x:c>
      <x:c r="B55" s="53" t="str">
        <x:v>BANT</x:v>
      </x:c>
      <x:c r="C55" s="53" t="str">
        <x:v>Bant</x:v>
      </x:c>
      <x:c r="D55" s="53" t="n">
        <x:v>0.083333</x:v>
      </x:c>
      <x:c r="E55" s="54" t="b">
        <x:v>0</x:v>
      </x:c>
      <x:c r="F55" s="53" t="str"/>
    </x:row>
    <x:row r="56">
      <x:c r="A56" s="53" t="n">
        <x:v>17</x:v>
      </x:c>
      <x:c r="B56" s="53" t="str">
        <x:v>COLORLESS</x:v>
      </x:c>
      <x:c r="C56" s="53" t="str">
        <x:v>Colorless</x:v>
      </x:c>
      <x:c r="D56" s="53" t="n">
        <x:v>0.083333</x:v>
      </x:c>
      <x:c r="E56" s="54" t="b">
        <x:v>0</x:v>
      </x:c>
      <x:c r="F56" s="53" t="str"/>
    </x:row>
    <x:row r="57">
      <x:c r="A57" s="53" t="n">
        <x:v>18</x:v>
      </x:c>
      <x:c r="B57" s="53" t="str">
        <x:v>GLINT</x:v>
      </x:c>
      <x:c r="C57" s="53" t="str">
        <x:v>Glint / Chaos</x:v>
      </x:c>
      <x:c r="D57" s="53" t="n">
        <x:v>0.083333</x:v>
      </x:c>
      <x:c r="E57" s="54" t="b">
        <x:v>0</x:v>
      </x:c>
      <x:c r="F57" s="53" t="str"/>
    </x:row>
    <x:row r="58">
      <x:c r="A58" s="53" t="n">
        <x:v>19</x:v>
      </x:c>
      <x:c r="B58" s="53" t="str">
        <x:v>INK</x:v>
      </x:c>
      <x:c r="C58" s="53" t="str">
        <x:v>Ink / Altruism</x:v>
      </x:c>
      <x:c r="D58" s="53" t="n">
        <x:v>0.083333</x:v>
      </x:c>
      <x:c r="E58" s="54" t="b">
        <x:v>0</x:v>
      </x:c>
      <x:c r="F58" s="53" t="str"/>
    </x:row>
    <x:row r="59">
      <x:c r="A59" s="53" t="n">
        <x:v>20</x:v>
      </x:c>
      <x:c r="B59" s="53" t="str">
        <x:v>JUND</x:v>
      </x:c>
      <x:c r="C59" s="53" t="str">
        <x:v>Jund</x:v>
      </x:c>
      <x:c r="D59" s="53" t="n">
        <x:v>0.083333</x:v>
      </x:c>
      <x:c r="E59" s="54" t="b">
        <x:v>0</x:v>
      </x:c>
      <x:c r="F59" s="53" t="str"/>
    </x:row>
    <x:row r="60">
      <x:c r="A60" s="53" t="n">
        <x:v>21</x:v>
      </x:c>
      <x:c r="B60" s="53" t="str">
        <x:v>MARDU</x:v>
      </x:c>
      <x:c r="C60" s="53" t="str">
        <x:v>Mardu Horde</x:v>
      </x:c>
      <x:c r="D60" s="53" t="n">
        <x:v>0.083333</x:v>
      </x:c>
      <x:c r="E60" s="54" t="b">
        <x:v>0</x:v>
      </x:c>
      <x:c r="F60" s="53" t="str"/>
    </x:row>
    <x:row r="61">
      <x:c r="A61" s="53" t="n">
        <x:v>22</x:v>
      </x:c>
      <x:c r="B61" s="53" t="str">
        <x:v>R</x:v>
      </x:c>
      <x:c r="C61" s="53" t="str">
        <x:v>Red</x:v>
      </x:c>
      <x:c r="D61" s="53" t="n">
        <x:v>0.083333</x:v>
      </x:c>
      <x:c r="E61" s="54" t="b">
        <x:v>0</x:v>
      </x:c>
      <x:c r="F61" s="53" t="str"/>
    </x:row>
    <x:row r="62">
      <x:c r="A62" s="53" t="n">
        <x:v>23</x:v>
      </x:c>
      <x:c r="B62" s="53" t="str">
        <x:v>RG</x:v>
      </x:c>
      <x:c r="C62" s="53" t="str">
        <x:v>Gruul Clans</x:v>
      </x:c>
      <x:c r="D62" s="53" t="n">
        <x:v>0.083333</x:v>
      </x:c>
      <x:c r="E62" s="54" t="b">
        <x:v>0</x:v>
      </x:c>
      <x:c r="F62" s="53" t="str"/>
    </x:row>
    <x:row r="63">
      <x:c r="A63" s="53" t="n">
        <x:v>24</x:v>
      </x:c>
      <x:c r="B63" s="53" t="str">
        <x:v>W</x:v>
      </x:c>
      <x:c r="C63" s="53" t="str">
        <x:v>White</x:v>
      </x:c>
      <x:c r="D63" s="53" t="n">
        <x:v>0.083333</x:v>
      </x:c>
      <x:c r="E63" s="54" t="b">
        <x:v>0</x:v>
      </x:c>
      <x:c r="F63" s="53" t="str"/>
    </x:row>
    <x:row r="64">
      <x:c r="A64" s="53" t="n">
        <x:v>25</x:v>
      </x:c>
      <x:c r="B64" s="53" t="str">
        <x:v>WG</x:v>
      </x:c>
      <x:c r="C64" s="53" t="str">
        <x:v>Selesnya Conclave</x:v>
      </x:c>
      <x:c r="D64" s="53" t="n">
        <x:v>0.083333</x:v>
      </x:c>
      <x:c r="E64" s="54" t="b">
        <x:v>0</x:v>
      </x:c>
      <x:c r="F64" s="53" t="str"/>
    </x:row>
    <x:row r="65">
      <x:c r="A65" s="53" t="n">
        <x:v>26</x:v>
      </x:c>
      <x:c r="B65" s="53" t="str">
        <x:v>YORE</x:v>
      </x:c>
      <x:c r="C65" s="53" t="str">
        <x:v>Yore / Artifice</x:v>
      </x:c>
      <x:c r="D65" s="53" t="n">
        <x:v>0.083333</x:v>
      </x:c>
      <x:c r="E65" s="54" t="b">
        <x:v>0</x:v>
      </x:c>
      <x:c r="F65" s="53" t="str"/>
    </x:row>
    <x:row r="66">
      <x:c r="A66" s="53" t="n">
        <x:v>27</x:v>
      </x:c>
      <x:c r="B66" s="53" t="str">
        <x:v>GRIXIS</x:v>
      </x:c>
      <x:c r="C66" s="53" t="str">
        <x:v>Grixis</x:v>
      </x:c>
      <x:c r="D66" s="53" t="n">
        <x:v>0.0625</x:v>
      </x:c>
      <x:c r="E66" s="54" t="b">
        <x:v>0</x:v>
      </x:c>
      <x:c r="F66" s="53" t="str"/>
    </x:row>
    <x:row r="67">
      <x:c r="A67" s="53" t="n">
        <x:v>28</x:v>
      </x:c>
      <x:c r="B67" s="53" t="str">
        <x:v>UB</x:v>
      </x:c>
      <x:c r="C67" s="53" t="str">
        <x:v>House Dimir</x:v>
      </x:c>
      <x:c r="D67" s="53" t="n">
        <x:v>0.0625</x:v>
      </x:c>
      <x:c r="E67" s="54" t="b">
        <x:v>0</x:v>
      </x:c>
      <x:c r="F67" s="53" t="str"/>
    </x:row>
    <x:row r="68">
      <x:c r="A68" s="53" t="n">
        <x:v>29</x:v>
      </x:c>
      <x:c r="B68" s="53" t="str">
        <x:v>WU</x:v>
      </x:c>
      <x:c r="C68" s="53" t="str">
        <x:v>Azorius Senate</x:v>
      </x:c>
      <x:c r="D68" s="53" t="n">
        <x:v>0.0625</x:v>
      </x:c>
      <x:c r="E68" s="54" t="b">
        <x:v>0</x:v>
      </x:c>
      <x:c r="F68" s="53" t="str"/>
    </x:row>
    <x:row r="69">
      <x:c r="A69" s="53" t="n">
        <x:v>30</x:v>
      </x:c>
      <x:c r="B69" s="53" t="str">
        <x:v>B</x:v>
      </x:c>
      <x:c r="C69" s="53" t="str">
        <x:v>Black</x:v>
      </x:c>
      <x:c r="D69" s="53" t="n">
        <x:v>0</x:v>
      </x:c>
      <x:c r="E69" s="54" t="b">
        <x:v>0</x:v>
      </x:c>
      <x:c r="F69" s="53" t="str"/>
    </x:row>
    <x:row r="70">
      <x:c r="A70" s="53" t="n">
        <x:v>31</x:v>
      </x:c>
      <x:c r="B70" s="53" t="str">
        <x:v>BR</x:v>
      </x:c>
      <x:c r="C70" s="53" t="str">
        <x:v>Cult of Rakdos</x:v>
      </x:c>
      <x:c r="D70" s="53" t="n">
        <x:v>0</x:v>
      </x:c>
      <x:c r="E70" s="54" t="b">
        <x:v>0</x:v>
      </x:c>
      <x:c r="F70" s="53" t="str"/>
    </x:row>
    <x:row r="71">
      <x:c r="A71" s="53" t="n">
        <x:v>32</x:v>
      </x:c>
      <x:c r="B71" s="53" t="str">
        <x:v>DUNE</x:v>
      </x:c>
      <x:c r="C71" s="53" t="str">
        <x:v>Dune / Aggression</x:v>
      </x:c>
      <x:c r="D71" s="53" t="n">
        <x:v>0</x:v>
      </x:c>
      <x:c r="E71" s="54" t="b">
        <x:v>0</x:v>
      </x:c>
      <x:c r="F71" s="53" t="str"/>
    </x:row>
    <x:row r="72">
      <x:c r="A72" s="53" t="n">
        <x:v>33</x:v>
      </x:c>
      <x:c r="B72" s="53" t="str">
        <x:v>PRISMARI</x:v>
      </x:c>
      <x:c r="C72" s="53" t="str">
        <x:v>Prismari College</x:v>
      </x:c>
      <x:c r="D72" s="53" t="n">
        <x:v>0</x:v>
      </x:c>
      <x:c r="E72" s="54" t="b">
        <x:v>0</x:v>
      </x:c>
      <x:c r="F72" s="53" t="str"/>
    </x:row>
    <x:row r="73">
      <x:c r="A73" s="53" t="n">
        <x:v>34</x:v>
      </x:c>
      <x:c r="B73" s="53" t="str">
        <x:v>SILVERQUILL</x:v>
      </x:c>
      <x:c r="C73" s="53" t="str">
        <x:v>Silverquill College</x:v>
      </x:c>
      <x:c r="D73" s="53" t="n">
        <x:v>0</x:v>
      </x:c>
      <x:c r="E73" s="54" t="b">
        <x:v>0</x:v>
      </x:c>
      <x:c r="F73" s="53" t="str"/>
    </x:row>
    <x:row r="74">
      <x:c r="A74" s="53" t="n">
        <x:v>35</x:v>
      </x:c>
      <x:c r="B74" s="53" t="str">
        <x:v>WB</x:v>
      </x:c>
      <x:c r="C74" s="53" t="str">
        <x:v>Orzhov Syndicate</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QUANDRIX</x:v>
      </x:c>
      <x:c r="C76" s="53" t="str">
        <x:v>Quandrix College</x:v>
      </x:c>
      <x:c r="D76" s="53" t="n">
        <x:v>-0.395833</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"UG",
  "faction_name": "Simic Combine",
  "institution_type": "guild",
  "world": "Ravnica",
  "identity": {
    "core_color": "U",
    "secondary_colors": [
      "G"
    ],
    "secondary_color": "G",
    "expression_key": "UG",
    "expression_name": "Simic Combine",
    "expression_kind": "guild",
    "purity": null,
    "routing": {
      "edhrec_slug": "simic",
      "mtgdecks_slug": "simic",
      "label": "Simic"
    }
  },
  "decree": "Simic Combine is the clearest current fit from the approved observations.",
  "confidence": 0.046,
  "confidence_gap": 1,
  "mana_scores": {
    "W": 9,
    "U": 9,
    "B": 9,
    "R": 9,
    "G": 10
  },
  "top_matches": [
    {
      "rank": 1,
      "faction": "UG",
      "faction_name": "Simic Combine",
      "institution_type": "guild",
      "world": "Ravnica",
      "identity": {
        "core_color": "U",
        "secondary_colors": [
          "G"
        ],
        "secondary_color": "G",
        "expression_key": "UG",
        "expression_name": "Simic Combine",
        "expression_kind": "guild",
        "purity": null,
        "routing": {
          "edhrec_slug": "simic",
          "mtgdecks_slug": "simic",
          "label": "Simic"
        }
      },
      "score": 0.8125,
      "confidence": 0.046,
      "reason": "Simic Combine remained plausible through C03, C06, C14; identity mapping remains a hypothesis."
    }
  ],
  "adjacent_matches": [],
  "internal_candidate_order": [
    {
      "identity": "UG",
      "score": 0.8125,
      "positive_dependencies": 2,
      "qualification_dependencies": 2,
      "naming_dependencies": 1,
      "positive_constructs": [
        "C06",
        "C14"
      ],
      "satisfied_naming_rule_ids": [
        "baseline_40:b1.crucible.ug.v1.adapt:UG"
      ],
      "naming_qualification": {
        "identity": "UG",
        "qualified": true,
        "satisfied_naming_rule_ids": [
          "baseline_40:b1.crucible.ug.v1.adapt:UG"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"C14"
      ]
    },
    {
      "identity": "BG",
      "score": 0.541667,
      "positive_dependencies": 2,
      "qualification_dependencies": 2,
      "naming_dependencies": 0,
      "positive_constructs": [
        "C06",
        "C14"
      ],
      "satisfied_naming_rule_ids": [],
      "naming_qualification": {
        "identity": "BG",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"WITHERBLOOM",
      "score": 0.541667,
      "positive_dependencies": 2,
      "qualification_dependencies": 2,
      "naming_dependencies": 0,
      "positive_constructs": [
        "C06",
        "C14"
      ],
      "satisfied_naming_rule_ids": [],
      "naming_qualification": {
        "identity": "WITHERBLOOM",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"ABZAN",
      "score": 0.541667,
      "positive_dependencies": 1,
      "qualification_dependencies": 1,
      "naming_dependencies": 0,
      "positive_constructs": [
        "C14"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
      "score": 0.541667,
      "positive_dependencies": 1,
      "qualification_dependencies": 1,
      "naming_dependencies": 0,
      "positive_constructs": [
        "C14"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"JESKAI",
      "score": 0.5,
      "positive_dependencies": 2,
      "qualification_dependencies": 2,
      "naming_dependencies": 0,
      "positive_constructs": [
        "C01",
        "C08"
      ],
      "satisfied_naming_rule_ids": [],
      "naming_qualification": {
        "identity": "JESKAI",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
    },
    {
      "identity": "UR",
      "score": 0.458333,
      "positive_dependencies": 2,
      "qualification_dependencies": 2,
      "naming_dependencies": 0,
      "positive_constructs": [
        "C06",
        "C08"
      ],
      "satisfied_naming_rule_ids": [],
      "naming_qualification": {
        "identity": "UR",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"NAYA",
      "score": 0.375,
      "positive_dependencies": 1,
      "qualification_dependencies": 1,
      "naming_dependencies": 0,
      "positive_constructs": [
        "C14"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
      "score": 0.1875,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
    },
    {
      "identity": "LOREHOLD",
      "score": 0.166667,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"ESPER",
      "score": 0.125,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x:v>
      </x:c>
    </x:row>
    <x:row r="80">
      <x:c r="A80" s="53" t="str">
        <x:v>Part 2/3</x:v>
      </x:c>
      <x:c r="B80" s="53" t="str">
        <x:v>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-0.395833,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"C06",
        "C14"
      ]
    }
  ],
  "candidate_set": [
    "UG",
    "BG",
    "WITHERBLOOM",
    "ABZAN",
    "G"
  ],
  "alternatives": [],
  "refinement": {
    "kind": "no_approved_discriminator",
    "can_reduce_ambiguity": false,
    "remaining_candidates": [
      "UG",
      "BG",
      "WITHERBLOOM",
      "ABZAN",
      "G",
      "JESKAI",
      "UR",
      "NAYA"
    ],
    "unresolved_boundaries": [
      {
        "pair_id": "BG__WITHERBLOOM",
        "identities": [
          "BG",
          "WITHERBLOOM"
        ],
        "distinction": "Direct scenario tests one bounded Commander behavior.",
        "question_ids": [
          "b1.crucible.bg.v1",
          "b1.crucible.disruption-boundary.v1"
        ],
        "coverage_status": "DIRECT-OR-STRUCTURAL-MAPPING-HYPOTHESIS; bounded player validation required"
      },
      {
        "pair_id": "G__NAYA",
        "identities": [
          "G",
          "NAYA"
        ],
        "distinction": "G uses Disruption response evidence; NAYA uses Pressure channel evidence. No direct pair claim is made.",
        "question_ids": [
          "b1.gate.disruption.v1",
          "b1.hall.pressure.v1",
          "b1.crucible.mono-multi.v1",
          "b1.hall.setup.v1",
          "b1.crucible.disruption-boundary.v1"
        ],
        "coverage_status": "DIRECT-OR-STRUCTURAL-MAPPING-HYPOTHESIS; bounded player validation required"
      },
      {
        "pair_id": "JESKAI__NAYA",
        "identities": [
          "JESKAI",
          "NAYA"
        ],
        "distinction": "Direct scenario tests one bounded Commander behavior.",
        "question_ids": [
          "b1.crucible.jeskai.v1",
          "b1.hall.information-to-plan.v1",
          "b1.hall.pressure.v1",
          "b1.hall.interaction-window.v1",
          "b1.hall.setup.v1",
          "b1.gate.initiative.v1"
        ],
        "coverage_status": "DIRECT-OR-STRUCTURAL-MAPPING-HYPOTHESIS; bounded player validation required"
      },
      {
        "pair_id": "JESKAI__UR",
        "identities": [
          "JESKAI",
          "UR"
        ],
        "distinction": "JESKAI uses Mana commitment and interaction window evidence; UR uses Engine concentration evidence. No direct pair claim is made.",
        "question_ids": [
          "b1.hall.interaction-window.v1",
          "b1.hall.engine-shape.v1",
          "b1.crucible.mono-multi.v1",
          "b1.hall.information-to-plan.v1",
          "b1.crucible.ur.v1",
          "b1.crucible.jeskai.v1",
          "b1.hall.pressure.v1",
          "b1.gate.initiative.v1"
        ],
        "coverage_status": "DIRECT-OR-STRUCTURAL-MAPPING-HYPOTHESIS; bounded player validation required"
      }
    ],
    "missing_constructs": [
      "C04",
      "C07",
      "C10",
      "C12"
    ],
    "question_id": null,
    "purpose": "none_for_clean_primary",
    "target_identities": [
      "UG",
      "BG",
      "WITHERBLOOM"
    ],
    "target_pair_ids": [
      "BG__WITHERBLOOM",
      "G__NAYA",
      "JESKAI__NAYA",
      "JESKAI__UR"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"answer_title": "Less exposed in the first place",
      "prompt": "A board wipe—an effect that removes many cards and tokens from the battlefield—is likely next turn. What would you rather have prepared?",
      "observation": "Prefers reduced exposure to broad disruption.",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"answer_title": "Advance with one answer ready",
      "prompt": "An opponent begins a decisive turn, but you do not yet know which card matters most. When do you want your deck to use the card or mana it kept available?",
      "observation": "Prefers split commitment between development and one bounded response.",
      "deltas": [
        {
          "faction": "JESKAI",
          "delta": 0.5
        },
        {
          "faction": "UR",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
      ]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"answer_title": "Let each step matter",
      "prompt": "Your deck becomes much stronger after several setup turns, but the table is already developing threats. What must the setup do along the way?",
      "observation": "Prefers staged cultivation where development contributes along the way.",
      "deltas": [
        {
          "faction": "ABZAN",
          "delta": 0.5
        },
        {
          "faction": "BG",
          "delta": 0.5
        },
        {
          "faction": "G",
          "delta": 0.5
        },
        {
          "faction": "NAYA",
          "delta": 0.5
        },
        {
          "faction": "UG",
          "delta": 0.5
        },
        {
          "faction": "WITHERBLOOM",
          "delta": 0.5
        }
      ]
    },
    {
      "question_id": "b1.crucible.ug.v1",
      "answer_id": "b1.crucible.ug.v1.adapt",
      "stage": "crucible",
      "construct": "C06",
      "bounded_observation": "Prefers modular overlapping engines.",
      "signal": "SIG_C06_MODULAR",
      "dependency_group": "DG_C06",
      "evidence_class": "BEHAVIORAL_OBSERVATION",
      "affected_identities": [
        "QUANDRIX",
        "UG"
      ],
      "positive_support": [
        "UG"
      ],
      "contradiction": [
        "QUANDRIX"
      ],
      "neutral": false,
      "mapping_strength": 1,
      "naming_evidence": true,
      "qualification_eligible": true,
      "qualification_support": [
        "UG"
      ],
      "naming_support": [
        "UG"
      ],
      "naming_rule_ids_by_identity": {
        "UG": [
          "baseline_40:b1.crucible.ug.v1.adapt:UG"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"Several overlapping engines",
      "prompt": "When building an engine, which structure fits your deck?",
      "observation": "Prefers modular overlapping engines.",
      "deltas": [
        {
          "faction": "UG",
          "delta": 1
        },
        {
          "faction": "QUANDRIX",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x:v>
      </x:c>
    </x:row>
    <x:row r="81">
      <x:c r="A81" s="53" t="str">
        <x:v>Part 3/3</x:v>
      </x:c>
      <x:c r="B81" s="53" t="str">
        <x:v>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
    {
      "question_id": "b1.crucible.ug.v1",
      "answer_id": "b1.crucible.ug.v1.adapt",
      "stage": "crucible",
      "construct": "C06",
      "bounded_observation": "Prefers modular overlapping engines.",
      "signal": "SIG_C06_MODULAR",
      "dependency_group": "DG_C06",
      "evidence_class": "BEHAVIORAL_OBSERVATION",
      "affected_identities": [
        "QUANDRIX",
        "UG"
      ],
      "positive_support": [
        "UG"
      ],
      "contradiction": [
        "QUANDRIX"
      ],
      "neutral": false,
      "mapping_strength": 1,
      "naming_evidence": true,
      "qualification_eligible": true,
      "qualification_support": [
        "UG"
      ],
      "naming_support": [
        "UG"
      ],
      "naming_rule_ids_by_identity": {
        "UG": [
          "baseline_40:b1.crucible.ug.v1.adapt:UG"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"b1.gate.visibility.v1.depends",
      "stage": "gate",
      "evidence_class": "BEHAVIORAL_OBSERVATION"
    },
    {
      "question_id": "b1.gate.disruption.v1",
      "answer_id": "b1.gate.disruption.v1.limit",
      "stage": "gate",
      "evidence_class": "BEHAVIORAL_OBSERVATION"
    },
    {
      "question_id": "b1.gate.tempo.v1",
      "answer_id": "b1.gate.tempo.v1.depends",
      "stage": "gate",
      "evidence_class": "BEHAVIORAL_OBSERVATION"
    },
    {
      "question_id": "b1.hall.interaction-window.v1",
      "answer_id": "b1.hall.interaction-window.v1.split",
      "stage": "hall",
      "evidence_class": "BEHAVIORAL_OBSERVATION"
    },
    {
      "question_id": "b1.hall.engine-shape.v1",
      "answer_id": "b1.hall.engine-shape.v1.overlap",
      "stage": "hall",
      "evidence_class": "BEHAVIORAL_OBSERVATION"
    },
    {
      "question_id": "b1.hall.setup.v1",
      "answer_id": "b1.hall.setup.v1.staged",
      "stage": "hall",
      "evidence_class": "BEHAVIORAL_OBSERVATION"
    },
    {
      "question_id": "b1.crucible.ug.v1",
      "answer_id": "b1.crucible.ug.v1.adapt",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Lorehold College — Engine Trace</x:v>
      </x:c>
      <x:c r="B1" s="3"/>
      <x:c r="C1" s="3"/>
      <x:c r="D1" s="3"/>
      <x:c r="E1" s="3"/>
      <x:c r="F1" s="3"/>
      <x:c r="G1" s="3"/>
      <x:c r="H1" s="3"/>
      <x:c r="I1" s="3"/>
      <x:c r="J1" s="3"/>
      <x:c r="K1" s="3"/>
      <x:c r="L1" s="3"/>
      <x:c r="M1" s="3"/>
      <x:c r="N1" s="3"/>
      <x:c r="O1" s="3"/>
      <x:c r="P1" s="3"/>
      <x:c r="Q1" s="3"/>
      <x:c r="R1" s="3"/>
      <x:c r="S1" s="3"/>
      <x:c r="T1" s="3"/>
    </x:row>
    <x:row r="2" ht="30" customHeight="1">
      <x:c r="A2" s="7" t="str">
        <x:v>ENGINE-LOREHOLD • PASS_MATCH • primary • trace 43d12ff4dc17c765205ee39df3a88a72741e221f643e681f9c835856a2a7e1c6</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LOREHOLD</x:v>
      </x:c>
    </x:row>
    <x:row r="6">
      <x:c r="A6" s="53" t="str">
        <x:v>Expected public contract</x:v>
      </x:c>
      <x:c r="B6" s="53" t="str">
        <x:v>NAMED_DOSSIER</x:v>
      </x:c>
    </x:row>
    <x:row r="7">
      <x:c r="A7" s="53" t="str">
        <x:v>Witness status</x:v>
      </x:c>
      <x:c r="B7" s="53" t="str">
        <x:v>CURRENT_COMPATIBLE</x:v>
      </x:c>
    </x:row>
    <x:row r="8">
      <x:c r="A8" s="53" t="str">
        <x:v>Actual result</x:v>
      </x:c>
      <x:c r="B8" s="53" t="str">
        <x:v>LOREHOLD</x:v>
      </x:c>
    </x:row>
    <x:row r="9">
      <x:c r="A9" s="53" t="str">
        <x:v>Directional result</x:v>
      </x:c>
      <x:c r="B9" s="53" t="str">
        <x:v>LOREHOLD</x:v>
      </x:c>
    </x:row>
    <x:row r="10">
      <x:c r="A10" s="53" t="str">
        <x:v>Public state</x:v>
      </x:c>
      <x:c r="B10" s="53" t="str">
        <x:v>current-best-fit</x:v>
      </x:c>
    </x:row>
    <x:row r="11">
      <x:c r="A11" s="53" t="str">
        <x:v>Raw numeric leader</x:v>
      </x:c>
      <x:c r="B11" s="53" t="str">
        <x:v>LOREHOLD</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LOREHOLD</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outputs/01a02cd6-bce7-7832-9558-3075c52f146a/archscry-current-state-2026-08-22/evidence/engine/traces/lorehold.json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b1.gate.disruption.v1.recover</x:v>
      </x:c>
      <x:c r="G31" s="53" t="str">
        <x:v>A way to rebuild</x:v>
      </x:c>
      <x:c r="H31" s="53" t="str">
        <x:v>C03</x:v>
      </x:c>
      <x:c r="I31" s="53" t="str">
        <x:v>SIG_C03_RECOVER</x:v>
      </x:c>
      <x:c r="J31" s="53" t="str">
        <x:v>DG_C03</x:v>
      </x:c>
      <x:c r="K31" s="53" t="str">
        <x:v>BEHAVIORAL_OBSERVATION</x:v>
      </x:c>
      <x:c r="L31" s="53" t="str">
        <x:v>G | RG</x:v>
      </x:c>
      <x:c r="M31" s="53" t="str"/>
      <x:c r="N31" s="53" t="n">
        <x:v>0.5</x:v>
      </x:c>
      <x:c r="O31" s="54" t="b">
        <x:v>0</x:v>
      </x:c>
      <x:c r="P31" s="53" t="str">
        <x:v>REMEDIATION_MAPPING_HYPOTHESIS</x:v>
      </x:c>
      <x:c r="Q31" s="53" t="str">
        <x:v>Prefers recovery after broad disruption.</x:v>
      </x:c>
      <x:c r="R31" s="53" t="str">
        <x:v>Observation wording and identity association require player validation; no weight is authorized.</x:v>
      </x:c>
      <x:c r="S31" s="53" t="str">
        <x:v>RG</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b1.gate.tempo.v1.small</x:v>
      </x:c>
      <x:c r="G32" s="53" t="str">
        <x:v>A little every turn</x:v>
      </x:c>
      <x:c r="H32" s="53" t="str">
        <x:v>C04</x:v>
      </x:c>
      <x:c r="I32" s="53" t="str">
        <x:v>SIG_C04_INCREMENTAL</x:v>
      </x:c>
      <x:c r="J32" s="53" t="str">
        <x:v>DG_C04</x:v>
      </x:c>
      <x:c r="K32" s="53" t="str">
        <x:v>BEHAVIORAL_OBSERVATION</x:v>
      </x:c>
      <x:c r="L32" s="53" t="str"/>
      <x:c r="M32" s="53" t="str"/>
      <x:c r="N32" s="53" t="n">
        <x:v>0</x:v>
      </x:c>
      <x:c r="O32" s="54" t="b">
        <x:v>0</x:v>
      </x:c>
      <x:c r="P32" s="53" t="str">
        <x:v>OBSERVATION_ONLY</x:v>
      </x:c>
      <x:c r="Q32" s="53" t="str">
        <x:v>Prefers incremental advantage.</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RG</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b1.hall.engine-shape.v1.replace</x:v>
      </x:c>
      <x:c r="G34" s="53" t="str">
        <x:v>Make each job replaceable</x:v>
      </x:c>
      <x:c r="H34" s="53" t="str">
        <x:v>C06</x:v>
      </x:c>
      <x:c r="I34" s="53" t="str">
        <x:v>SIG_C06_REDUNDANT</x:v>
      </x:c>
      <x:c r="J34" s="53" t="str">
        <x:v>DG_C06</x:v>
      </x:c>
      <x:c r="K34" s="53" t="str">
        <x:v>BEHAVIORAL_OBSERVATION</x:v>
      </x:c>
      <x:c r="L34" s="53" t="str">
        <x:v>COLORLESS | LOREHOLD | YORE</x:v>
      </x:c>
      <x:c r="M34" s="53" t="str"/>
      <x:c r="N34" s="53" t="n">
        <x:v>0.5</x:v>
      </x:c>
      <x:c r="O34" s="54" t="b">
        <x:v>0</x:v>
      </x:c>
      <x:c r="P34" s="53" t="str">
        <x:v>REMEDIATION_MAPPING_HYPOTHESIS</x:v>
      </x:c>
      <x:c r="Q34" s="53" t="str">
        <x:v>Prefers replaceable functional redundancy.</x:v>
      </x:c>
      <x:c r="R34" s="53" t="str">
        <x:v>Consistency can be a generic deckbuilding goal rather than identity evidence.</x:v>
      </x:c>
      <x:c r="S34" s="53" t="str">
        <x:v>RG</x:v>
      </x:c>
      <x:c r="T34" s="53" t="str">
        <x:v>incomplete / useful_evidence_remains / b1.hall.interaction-window.v1</x:v>
      </x:c>
    </x:row>
    <x:row r="35">
      <x:c r="A35" s="53" t="n">
        <x:v>7</x:v>
      </x:c>
      <x:c r="B35" s="53" t="str">
        <x:v>main</x:v>
      </x:c>
      <x:c r="C35" s="53" t="str">
        <x:v>hall</x:v>
      </x:c>
      <x:c r="D35" s="53" t="str">
        <x:v>b1.hall.interaction-window.v1</x:v>
      </x:c>
      <x:c r="E35" s="53" t="str">
        <x:v>An opponent begins a decisive turn, but you do not yet know which card matters most. When do you want your deck to use the card or mana it kept available?</x:v>
      </x:c>
      <x:c r="F35" s="53" t="str">
        <x:v>b1.hall.interaction-window.v1.before</x:v>
      </x:c>
      <x:c r="G35" s="53" t="str">
        <x:v>Before the turn develops</x:v>
      </x:c>
      <x:c r="H35" s="53" t="str">
        <x:v>C08</x:v>
      </x:c>
      <x:c r="I35" s="53" t="str">
        <x:v>SIG_C08_EARLY_WINDOW</x:v>
      </x:c>
      <x:c r="J35" s="53" t="str">
        <x:v>DG_C08</x:v>
      </x:c>
      <x:c r="K35" s="53" t="str">
        <x:v>BEHAVIORAL_OBSERVATION</x:v>
      </x:c>
      <x:c r="L35" s="53" t="str">
        <x:v>WU</x:v>
      </x:c>
      <x:c r="M35" s="53" t="str"/>
      <x:c r="N35" s="53" t="n">
        <x:v>0.5</x:v>
      </x:c>
      <x:c r="O35" s="54" t="b">
        <x:v>0</x:v>
      </x:c>
      <x:c r="P35" s="53" t="str">
        <x:v>REMEDIATION_MAPPING_HYPOTHESIS</x:v>
      </x:c>
      <x:c r="Q35" s="53" t="str">
        <x:v>Prefers early prevention before the decisive action becomes visible.</x:v>
      </x:c>
      <x:c r="R35" s="53" t="str">
        <x:v>Early action may be forced by card timing rather than preferred information use.</x:v>
      </x:c>
      <x:c r="S35" s="53" t="str">
        <x:v>RG</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b1.crucible.disruption-boundary.v1.reuse</x:v>
      </x:c>
      <x:c r="G36" s="53" t="str">
        <x:v>Reuse what was lost</x:v>
      </x:c>
      <x:c r="H36" s="53" t="str">
        <x:v>C03</x:v>
      </x:c>
      <x:c r="I36" s="53" t="str">
        <x:v>SIG_C03_RECOVER</x:v>
      </x:c>
      <x:c r="J36" s="53" t="str">
        <x:v>DG_C03</x:v>
      </x:c>
      <x:c r="K36" s="53" t="str">
        <x:v>BEHAVIORAL_OBSERVATION</x:v>
      </x:c>
      <x:c r="L36" s="53" t="str">
        <x:v>BG | LOREHOLD</x:v>
      </x:c>
      <x:c r="M36" s="53" t="str"/>
      <x:c r="N36" s="53" t="n">
        <x:v>0.5</x:v>
      </x:c>
      <x:c r="O36" s="54" t="b">
        <x:v>0</x:v>
      </x:c>
      <x:c r="P36" s="53" t="str">
        <x:v>REMEDIATION_MAPPING_HYPOTHESIS</x:v>
      </x:c>
      <x:c r="Q36" s="53" t="str">
        <x:v>Prefers reclamation and continuity after loss.</x:v>
      </x:c>
      <x:c r="R36" s="53" t="str">
        <x:v>The deck may contain recursion for efficiency rather than a stable recovery preference.</x:v>
      </x:c>
      <x:c r="S36" s="53" t="str">
        <x:v>LOREHOLD</x:v>
      </x:c>
      <x:c r="T36" s="53" t="str">
        <x:v>insufficient / no_responsible_named_placement / </x:v>
      </x:c>
    </x:row>
    <x:row r="37">
      <x:c r="A37" s="53" t="n">
        <x:v>9</x:v>
      </x:c>
      <x:c r="B37" s="53" t="str">
        <x:v>refinement</x:v>
      </x:c>
      <x:c r="C37" s="53" t="str">
        <x:v>crucible</x:v>
      </x:c>
      <x:c r="D37" s="53" t="str">
        <x:v>b1.crucible.wr.v1</x:v>
      </x:c>
      <x:c r="E37" s="53" t="str">
        <x:v>An opponent targets an important permanent. Which response would you rather have built toward?</x:v>
      </x:c>
      <x:c r="F37" s="53" t="str">
        <x:v>b1.crucible.wr.v1.recover</x:v>
      </x:c>
      <x:c r="G37" s="53" t="str">
        <x:v>Recover value from the loss</x:v>
      </x:c>
      <x:c r="H37" s="53" t="str">
        <x:v>C03</x:v>
      </x:c>
      <x:c r="I37" s="53" t="str">
        <x:v>SIG_C03_RECOVER</x:v>
      </x:c>
      <x:c r="J37" s="53" t="str">
        <x:v>DG_C03</x:v>
      </x:c>
      <x:c r="K37" s="53" t="str">
        <x:v>BEHAVIORAL_OBSERVATION</x:v>
      </x:c>
      <x:c r="L37" s="53" t="str">
        <x:v>LOREHOLD</x:v>
      </x:c>
      <x:c r="M37" s="53" t="str">
        <x:v>WR</x:v>
      </x:c>
      <x:c r="N37" s="53" t="n">
        <x:v>1</x:v>
      </x:c>
      <x:c r="O37" s="54" t="b">
        <x:v>1</x:v>
      </x:c>
      <x:c r="P37" s="53" t="str">
        <x:v>MAPPING_HYPOTHESIS</x:v>
      </x:c>
      <x:c r="Q37" s="53" t="str">
        <x:v>Prefers recovery from prior resources.</x:v>
      </x:c>
      <x:c r="R37" s="53" t="str">
        <x:v>Use only after prior independent observations leave the stated competitor boundary plausible; the identity association requires player validation.</x:v>
      </x:c>
      <x:c r="S37" s="53" t="str">
        <x:v>LOREHOLD</x:v>
      </x:c>
      <x:c r="T37" s="53" t="str">
        <x:v>primary / clear_separation / </x:v>
      </x:c>
    </x:row>
    <x:row r="39" ht="28" customHeight="1">
      <x:c r="A39" s="45" t="str">
        <x:v>FINAL CANDIDATE INVENTORY</x:v>
      </x:c>
      <x:c r="B39" s="45"/>
      <x:c r="C39" s="45"/>
      <x:c r="D39" s="45"/>
      <x:c r="E39" s="45"/>
      <x:c r="F39" s="45"/>
      <x:c r="G39" s="45"/>
      <x:c r="H39" s="45"/>
      <x:c r="I39" s="45"/>
      <x:c r="J39" s="45"/>
      <x:c r="K39" s="45"/>
      <x:c r="L39" s="45"/>
      <x:c r="M39" s="45"/>
      <x:c r="N39" s="45"/>
      <x:c r="O39" s="45"/>
      <x:c r="P39" s="45"/>
      <x:c r="Q39" s="45"/>
      <x:c r="R39" s="45"/>
      <x:c r="S39" s="45"/>
      <x:c r="T39" s="45"/>
    </x:row>
    <x:row r="40" ht="28" customHeight="1">
      <x:c r="A40" s="45" t="str">
        <x:v>Rank</x:v>
      </x:c>
      <x:c r="B40" s="45" t="str">
        <x:v>Identity</x:v>
      </x:c>
      <x:c r="C40" s="45" t="str">
        <x:v>Name</x:v>
      </x:c>
      <x:c r="D40" s="45" t="str">
        <x:v>Score</x:v>
      </x:c>
      <x:c r="E40" s="45" t="str">
        <x:v>Qualified</x:v>
      </x:c>
      <x:c r="F40" s="45" t="str">
        <x:v>Positive Constructs</x:v>
      </x:c>
    </x:row>
    <x:row r="41">
      <x:c r="A41" s="53" t="n">
        <x:v>1</x:v>
      </x:c>
      <x:c r="B41" s="53" t="str">
        <x:v>LOREHOLD</x:v>
      </x:c>
      <x:c r="C41" s="53" t="str">
        <x:v>Lorehold College</x:v>
      </x:c>
      <x:c r="D41" s="53" t="n">
        <x:v>0.729167</x:v>
      </x:c>
      <x:c r="E41" s="54" t="b">
        <x:v>1</x:v>
      </x:c>
      <x:c r="F41" s="53" t="str">
        <x:v>C03 | C06</x:v>
      </x:c>
    </x:row>
    <x:row r="42">
      <x:c r="A42" s="53" t="n">
        <x:v>2</x:v>
      </x:c>
      <x:c r="B42" s="53" t="str">
        <x:v>RG</x:v>
      </x:c>
      <x:c r="C42" s="53" t="str">
        <x:v>Gruul Clans</x:v>
      </x:c>
      <x:c r="D42" s="53" t="n">
        <x:v>0.541667</x:v>
      </x:c>
      <x:c r="E42" s="54" t="b">
        <x:v>0</x:v>
      </x:c>
      <x:c r="F42" s="53" t="str">
        <x:v>C01 | C03</x:v>
      </x:c>
    </x:row>
    <x:row r="43">
      <x:c r="A43" s="53" t="n">
        <x:v>3</x:v>
      </x:c>
      <x:c r="B43" s="53" t="str">
        <x:v>UR</x:v>
      </x:c>
      <x:c r="C43" s="53" t="str">
        <x:v>Izzet League</x:v>
      </x:c>
      <x:c r="D43" s="53" t="n">
        <x:v>0.541667</x:v>
      </x:c>
      <x:c r="E43" s="54" t="b">
        <x:v>0</x:v>
      </x:c>
      <x:c r="F43" s="53" t="str">
        <x:v>C07</x:v>
      </x:c>
    </x:row>
    <x:row r="44">
      <x:c r="A44" s="53" t="n">
        <x:v>4</x:v>
      </x:c>
      <x:c r="B44" s="53" t="str">
        <x:v>BG</x:v>
      </x:c>
      <x:c r="C44" s="53" t="str">
        <x:v>Golgari Swarm</x:v>
      </x:c>
      <x:c r="D44" s="53" t="n">
        <x:v>0.541667</x:v>
      </x:c>
      <x:c r="E44" s="54" t="b">
        <x:v>0</x:v>
      </x:c>
      <x:c r="F44" s="53" t="str">
        <x:v>C03</x:v>
      </x:c>
    </x:row>
    <x:row r="45">
      <x:c r="A45" s="53" t="n">
        <x:v>5</x:v>
      </x:c>
      <x:c r="B45" s="53" t="str">
        <x:v>JUND</x:v>
      </x:c>
      <x:c r="C45" s="53" t="str">
        <x:v>Jund</x:v>
      </x:c>
      <x:c r="D45" s="53" t="n">
        <x:v>0.541667</x:v>
      </x:c>
      <x:c r="E45" s="54" t="b">
        <x:v>0</x:v>
      </x:c>
      <x:c r="F45" s="53" t="str">
        <x:v>C01</x:v>
      </x:c>
    </x:row>
    <x:row r="46">
      <x:c r="A46" s="53" t="n">
        <x:v>6</x:v>
      </x:c>
      <x:c r="B46" s="53" t="str">
        <x:v>R</x:v>
      </x:c>
      <x:c r="C46" s="53" t="str">
        <x:v>Red</x:v>
      </x:c>
      <x:c r="D46" s="53" t="n">
        <x:v>0.541667</x:v>
      </x:c>
      <x:c r="E46" s="54" t="b">
        <x:v>0</x:v>
      </x:c>
      <x:c r="F46" s="53" t="str">
        <x:v>C01</x:v>
      </x:c>
    </x:row>
    <x:row r="47">
      <x:c r="A47" s="53" t="n">
        <x:v>7</x:v>
      </x:c>
      <x:c r="B47" s="53" t="str">
        <x:v>COLORLESS</x:v>
      </x:c>
      <x:c r="C47" s="53" t="str">
        <x:v>Colorless</x:v>
      </x:c>
      <x:c r="D47" s="53" t="n">
        <x:v>0.458333</x:v>
      </x:c>
      <x:c r="E47" s="54" t="b">
        <x:v>0</x:v>
      </x:c>
      <x:c r="F47" s="53" t="str">
        <x:v>C06 | C07</x:v>
      </x:c>
    </x:row>
    <x:row r="48">
      <x:c r="A48" s="53" t="n">
        <x:v>8</x:v>
      </x:c>
      <x:c r="B48" s="53" t="str">
        <x:v>G</x:v>
      </x:c>
      <x:c r="C48" s="53" t="str">
        <x:v>Green</x:v>
      </x:c>
      <x:c r="D48" s="53" t="n">
        <x:v>0.458333</x:v>
      </x:c>
      <x:c r="E48" s="54" t="b">
        <x:v>0</x:v>
      </x:c>
      <x:c r="F48" s="53" t="str">
        <x:v>C03</x:v>
      </x:c>
    </x:row>
    <x:row r="49">
      <x:c r="A49" s="53" t="n">
        <x:v>9</x:v>
      </x:c>
      <x:c r="B49" s="53" t="str">
        <x:v>YORE</x:v>
      </x:c>
      <x:c r="C49" s="53" t="str">
        <x:v>Yore / Artifice</x:v>
      </x:c>
      <x:c r="D49" s="53" t="n">
        <x:v>0.458333</x:v>
      </x:c>
      <x:c r="E49" s="54" t="b">
        <x:v>0</x:v>
      </x:c>
      <x:c r="F49" s="53" t="str"/>
    </x:row>
    <x:row r="50">
      <x:c r="A50" s="53" t="n">
        <x:v>10</x:v>
      </x:c>
      <x:c r="B50" s="53" t="str">
        <x:v>WU</x:v>
      </x:c>
      <x:c r="C50" s="53" t="str">
        <x:v>Azorius Senate</x:v>
      </x:c>
      <x:c r="D50" s="53" t="n">
        <x:v>0.4375</x:v>
      </x:c>
      <x:c r="E50" s="54" t="b">
        <x:v>0</x:v>
      </x:c>
      <x:c r="F50" s="53" t="str">
        <x:v>C08</x:v>
      </x:c>
    </x:row>
    <x:row r="51">
      <x:c r="A51" s="53" t="n">
        <x:v>11</x:v>
      </x:c>
      <x:c r="B51" s="53" t="str">
        <x:v>U</x:v>
      </x:c>
      <x:c r="C51" s="53" t="str">
        <x:v>Blue</x:v>
      </x:c>
      <x:c r="D51" s="53" t="n">
        <x:v>0.1875</x:v>
      </x:c>
      <x:c r="E51" s="54" t="b">
        <x:v>0</x:v>
      </x:c>
      <x:c r="F51" s="53" t="str"/>
    </x:row>
    <x:row r="52">
      <x:c r="A52" s="53" t="n">
        <x:v>12</x:v>
      </x:c>
      <x:c r="B52" s="53" t="str">
        <x:v>TEMUR</x:v>
      </x:c>
      <x:c r="C52" s="53" t="str">
        <x:v>Temur Frontier</x:v>
      </x:c>
      <x:c r="D52" s="53" t="n">
        <x:v>0.166667</x:v>
      </x:c>
      <x:c r="E52" s="54" t="b">
        <x:v>0</x:v>
      </x:c>
      <x:c r="F52" s="53" t="str"/>
    </x:row>
    <x:row r="53">
      <x:c r="A53" s="53" t="n">
        <x:v>13</x:v>
      </x:c>
      <x:c r="B53" s="53" t="str">
        <x:v>MARDU</x:v>
      </x:c>
      <x:c r="C53" s="53" t="str">
        <x:v>Mardu Horde</x:v>
      </x:c>
      <x:c r="D53" s="53" t="n">
        <x:v>0.166667</x:v>
      </x:c>
      <x:c r="E53" s="54" t="b">
        <x:v>0</x:v>
      </x:c>
      <x:c r="F53" s="53" t="str"/>
    </x:row>
    <x:row r="54">
      <x:c r="A54" s="53" t="n">
        <x:v>14</x:v>
      </x:c>
      <x:c r="B54" s="53" t="str">
        <x:v>UG</x:v>
      </x:c>
      <x:c r="C54" s="53" t="str">
        <x:v>Simic Combine</x:v>
      </x:c>
      <x:c r="D54" s="53" t="n">
        <x:v>0.166667</x:v>
      </x:c>
      <x:c r="E54" s="54" t="b">
        <x:v>0</x:v>
      </x:c>
      <x:c r="F54" s="53" t="str"/>
    </x:row>
    <x:row r="55">
      <x:c r="A55" s="53" t="n">
        <x:v>15</x:v>
      </x:c>
      <x:c r="B55" s="53" t="str">
        <x:v>W</x:v>
      </x:c>
      <x:c r="C55" s="53" t="str">
        <x:v>White</x:v>
      </x:c>
      <x:c r="D55" s="53" t="n">
        <x:v>0.166667</x:v>
      </x:c>
      <x:c r="E55" s="54" t="b">
        <x:v>0</x:v>
      </x:c>
      <x:c r="F55" s="53" t="str"/>
    </x:row>
    <x:row r="56">
      <x:c r="A56" s="53" t="n">
        <x:v>16</x:v>
      </x:c>
      <x:c r="B56" s="53" t="str">
        <x:v>ESPER</x:v>
      </x:c>
      <x:c r="C56" s="53" t="str">
        <x:v>Esper</x:v>
      </x:c>
      <x:c r="D56" s="53" t="n">
        <x:v>0.125</x:v>
      </x:c>
      <x:c r="E56" s="54" t="b">
        <x:v>0</x:v>
      </x:c>
      <x:c r="F56" s="53" t="str"/>
    </x:row>
    <x:row r="57">
      <x:c r="A57" s="53" t="n">
        <x:v>17</x:v>
      </x:c>
      <x:c r="B57" s="53" t="str">
        <x:v>JESKAI</x:v>
      </x:c>
      <x:c r="C57" s="53" t="str">
        <x:v>Jeskai Way</x:v>
      </x:c>
      <x:c r="D57" s="53" t="n">
        <x:v>0.125</x:v>
      </x:c>
      <x:c r="E57" s="54" t="b">
        <x:v>0</x:v>
      </x:c>
      <x:c r="F57" s="53" t="str"/>
    </x:row>
    <x:row r="58">
      <x:c r="A58" s="53" t="n">
        <x:v>18</x:v>
      </x:c>
      <x:c r="B58" s="53" t="str">
        <x:v>ABZAN</x:v>
      </x:c>
      <x:c r="C58" s="53" t="str">
        <x:v>Abzan Houses</x:v>
      </x:c>
      <x:c r="D58" s="53" t="n">
        <x:v>0.083333</x:v>
      </x:c>
      <x:c r="E58" s="54" t="b">
        <x:v>0</x:v>
      </x:c>
      <x:c r="F58" s="53" t="str"/>
    </x:row>
    <x:row r="59">
      <x:c r="A59" s="53" t="n">
        <x:v>19</x:v>
      </x:c>
      <x:c r="B59" s="53" t="str">
        <x:v>BANT</x:v>
      </x:c>
      <x:c r="C59" s="53" t="str">
        <x:v>Bant</x:v>
      </x:c>
      <x:c r="D59" s="53" t="n">
        <x:v>0.083333</x:v>
      </x:c>
      <x:c r="E59" s="54" t="b">
        <x:v>0</x:v>
      </x:c>
      <x:c r="F59" s="53" t="str"/>
    </x:row>
    <x:row r="60">
      <x:c r="A60" s="53" t="n">
        <x:v>20</x:v>
      </x:c>
      <x:c r="B60" s="53" t="str">
        <x:v>BR</x:v>
      </x:c>
      <x:c r="C60" s="53" t="str">
        <x:v>Cult of Rakdos</x:v>
      </x:c>
      <x:c r="D60" s="53" t="n">
        <x:v>0.083333</x:v>
      </x:c>
      <x:c r="E60" s="54" t="b">
        <x:v>0</x:v>
      </x:c>
      <x:c r="F60" s="53" t="str"/>
    </x:row>
    <x:row r="61">
      <x:c r="A61" s="53" t="n">
        <x:v>21</x:v>
      </x:c>
      <x:c r="B61" s="53" t="str">
        <x:v>DUNE</x:v>
      </x:c>
      <x:c r="C61" s="53" t="str">
        <x:v>Dune / Aggression</x:v>
      </x:c>
      <x:c r="D61" s="53" t="n">
        <x:v>0.083333</x:v>
      </x:c>
      <x:c r="E61" s="54" t="b">
        <x:v>0</x:v>
      </x:c>
      <x:c r="F61" s="53" t="str"/>
    </x:row>
    <x:row r="62">
      <x:c r="A62" s="53" t="n">
        <x:v>22</x:v>
      </x:c>
      <x:c r="B62" s="53" t="str">
        <x:v>GLINT</x:v>
      </x:c>
      <x:c r="C62" s="53" t="str">
        <x:v>Glint / Chaos</x:v>
      </x:c>
      <x:c r="D62" s="53" t="n">
        <x:v>0.083333</x:v>
      </x:c>
      <x:c r="E62" s="54" t="b">
        <x:v>0</x:v>
      </x:c>
      <x:c r="F62" s="53" t="str"/>
    </x:row>
    <x:row r="63">
      <x:c r="A63" s="53" t="n">
        <x:v>23</x:v>
      </x:c>
      <x:c r="B63" s="53" t="str">
        <x:v>INK</x:v>
      </x:c>
      <x:c r="C63" s="53" t="str">
        <x:v>Ink / Altruism</x:v>
      </x:c>
      <x:c r="D63" s="53" t="n">
        <x:v>0.083333</x:v>
      </x:c>
      <x:c r="E63" s="54" t="b">
        <x:v>0</x:v>
      </x:c>
      <x:c r="F63" s="53" t="str"/>
    </x:row>
    <x:row r="64">
      <x:c r="A64" s="53" t="n">
        <x:v>24</x:v>
      </x:c>
      <x:c r="B64" s="53" t="str">
        <x:v>NAYA</x:v>
      </x:c>
      <x:c r="C64" s="53" t="str">
        <x:v>Naya</x:v>
      </x:c>
      <x:c r="D64" s="53" t="n">
        <x:v>0.083333</x:v>
      </x:c>
      <x:c r="E64" s="54" t="b">
        <x:v>0</x:v>
      </x:c>
      <x:c r="F64" s="53" t="str"/>
    </x:row>
    <x:row r="65">
      <x:c r="A65" s="53" t="n">
        <x:v>25</x:v>
      </x:c>
      <x:c r="B65" s="53" t="str">
        <x:v>PRISMARI</x:v>
      </x:c>
      <x:c r="C65" s="53" t="str">
        <x:v>Prismari College</x:v>
      </x:c>
      <x:c r="D65" s="53" t="n">
        <x:v>0.083333</x:v>
      </x:c>
      <x:c r="E65" s="54" t="b">
        <x:v>0</x:v>
      </x:c>
      <x:c r="F65" s="53" t="str"/>
    </x:row>
    <x:row r="66">
      <x:c r="A66" s="53" t="n">
        <x:v>26</x:v>
      </x:c>
      <x:c r="B66" s="53" t="str">
        <x:v>QUANDRIX</x:v>
      </x:c>
      <x:c r="C66" s="53" t="str">
        <x:v>Quandrix College</x:v>
      </x:c>
      <x:c r="D66" s="53" t="n">
        <x:v>0.083333</x:v>
      </x:c>
      <x:c r="E66" s="54" t="b">
        <x:v>0</x:v>
      </x:c>
      <x:c r="F66" s="53" t="str"/>
    </x:row>
    <x:row r="67">
      <x:c r="A67" s="53" t="n">
        <x:v>27</x:v>
      </x:c>
      <x:c r="B67" s="53" t="str">
        <x:v>SULTAI</x:v>
      </x:c>
      <x:c r="C67" s="53" t="str">
        <x:v>Sultai Brood</x:v>
      </x:c>
      <x:c r="D67" s="53" t="n">
        <x:v>0.083333</x:v>
      </x:c>
      <x:c r="E67" s="54" t="b">
        <x:v>0</x:v>
      </x:c>
      <x:c r="F67" s="53" t="str"/>
    </x:row>
    <x:row r="68">
      <x:c r="A68" s="53" t="n">
        <x:v>28</x:v>
      </x:c>
      <x:c r="B68" s="53" t="str">
        <x:v>WG</x:v>
      </x:c>
      <x:c r="C68" s="53" t="str">
        <x:v>Selesnya Conclave</x:v>
      </x:c>
      <x:c r="D68" s="53" t="n">
        <x:v>0.083333</x:v>
      </x:c>
      <x:c r="E68" s="54" t="b">
        <x:v>0</x:v>
      </x:c>
      <x:c r="F68" s="53" t="str"/>
    </x:row>
    <x:row r="69">
      <x:c r="A69" s="53" t="n">
        <x:v>29</x:v>
      </x:c>
      <x:c r="B69" s="53" t="str">
        <x:v>WITCH</x:v>
      </x:c>
      <x:c r="C69" s="53" t="str">
        <x:v>Witch / Growth</x:v>
      </x:c>
      <x:c r="D69" s="53" t="n">
        <x:v>0.083333</x:v>
      </x:c>
      <x:c r="E69" s="54" t="b">
        <x:v>0</x:v>
      </x:c>
      <x:c r="F69" s="53" t="str"/>
    </x:row>
    <x:row r="70">
      <x:c r="A70" s="53" t="n">
        <x:v>30</x:v>
      </x:c>
      <x:c r="B70" s="53" t="str">
        <x:v>WITHERBLOOM</x:v>
      </x:c>
      <x:c r="C70" s="53" t="str">
        <x:v>Witherbloom College</x:v>
      </x:c>
      <x:c r="D70" s="53" t="n">
        <x:v>0.083333</x:v>
      </x:c>
      <x:c r="E70" s="54" t="b">
        <x:v>0</x:v>
      </x:c>
      <x:c r="F70" s="53" t="str"/>
    </x:row>
    <x:row r="71">
      <x:c r="A71" s="53" t="n">
        <x:v>31</x:v>
      </x:c>
      <x:c r="B71" s="53" t="str">
        <x:v>GRIXIS</x:v>
      </x:c>
      <x:c r="C71" s="53" t="str">
        <x:v>Grixis</x:v>
      </x:c>
      <x:c r="D71" s="53" t="n">
        <x:v>0.0625</x:v>
      </x:c>
      <x:c r="E71" s="54" t="b">
        <x:v>0</x:v>
      </x:c>
      <x:c r="F71" s="53" t="str"/>
    </x:row>
    <x:row r="72">
      <x:c r="A72" s="53" t="n">
        <x:v>32</x:v>
      </x:c>
      <x:c r="B72" s="53" t="str">
        <x:v>UB</x:v>
      </x:c>
      <x:c r="C72" s="53" t="str">
        <x:v>House Dimir</x:v>
      </x:c>
      <x:c r="D72" s="53" t="n">
        <x:v>0.0625</x:v>
      </x:c>
      <x:c r="E72" s="54" t="b">
        <x:v>0</x:v>
      </x:c>
      <x:c r="F72" s="53" t="str"/>
    </x:row>
    <x:row r="73">
      <x:c r="A73" s="53" t="n">
        <x:v>33</x:v>
      </x:c>
      <x:c r="B73" s="53" t="str">
        <x:v>B</x:v>
      </x:c>
      <x:c r="C73" s="53" t="str">
        <x:v>Black</x:v>
      </x:c>
      <x:c r="D73" s="53" t="n">
        <x:v>0</x:v>
      </x:c>
      <x:c r="E73" s="54" t="b">
        <x:v>0</x:v>
      </x:c>
      <x:c r="F73" s="53" t="str"/>
    </x:row>
    <x:row r="74">
      <x:c r="A74" s="53" t="n">
        <x:v>34</x:v>
      </x:c>
      <x:c r="B74" s="53" t="str">
        <x:v>SILVERQUILL</x:v>
      </x:c>
      <x:c r="C74" s="53" t="str">
        <x:v>Silverquill College</x:v>
      </x:c>
      <x:c r="D74" s="53" t="n">
        <x:v>0</x:v>
      </x:c>
      <x:c r="E74" s="54" t="b">
        <x:v>0</x:v>
      </x:c>
      <x:c r="F74" s="53" t="str"/>
    </x:row>
    <x:row r="75">
      <x:c r="A75" s="53" t="n">
        <x:v>35</x:v>
      </x:c>
      <x:c r="B75" s="53" t="str">
        <x:v>WB</x:v>
      </x:c>
      <x:c r="C75" s="53" t="str">
        <x:v>Orzhov Syndicate</x:v>
      </x:c>
      <x:c r="D75" s="53" t="n">
        <x:v>0</x:v>
      </x:c>
      <x:c r="E75" s="54" t="b">
        <x:v>0</x:v>
      </x:c>
      <x:c r="F75" s="53" t="str"/>
    </x:row>
    <x:row r="76">
      <x:c r="A76" s="53" t="n">
        <x:v>36</x:v>
      </x:c>
      <x:c r="B76" s="53" t="str">
        <x:v>WUBRG</x:v>
      </x:c>
      <x:c r="C76" s="53" t="str">
        <x:v>Five-Color / WUBRG</x:v>
      </x:c>
      <x:c r="D76" s="53" t="n">
        <x:v>0</x:v>
      </x:c>
      <x:c r="E76" s="54" t="b">
        <x:v>0</x:v>
      </x:c>
      <x:c r="F76" s="53" t="str"/>
    </x:row>
    <x:row r="77">
      <x:c r="A77" s="53" t="n">
        <x:v>37</x:v>
      </x:c>
      <x:c r="B77" s="53" t="str">
        <x:v>WR</x:v>
      </x:c>
      <x:c r="C77" s="53" t="str">
        <x:v>Boros Legion</x:v>
      </x:c>
      <x:c r="D77" s="53" t="n">
        <x:v>-0.3125</x:v>
      </x:c>
      <x:c r="E77" s="54" t="b">
        <x:v>0</x:v>
      </x:c>
      <x:c r="F77" s="53" t="str"/>
    </x:row>
    <x:row r="79" ht="28" customHeight="1">
      <x:c r="A79" s="45" t="str">
        <x:v>FINAL RESULT JSON — CHUNKED ONLY FOR XLSX CELL LIMIT</x:v>
      </x:c>
      <x:c r="B79" s="45"/>
      <x:c r="C79" s="45"/>
      <x:c r="D79" s="45"/>
      <x:c r="E79" s="45"/>
      <x:c r="F79" s="45"/>
      <x:c r="G79" s="45"/>
      <x:c r="H79" s="45"/>
      <x:c r="I79" s="45"/>
      <x:c r="J79" s="45"/>
      <x:c r="K79" s="45"/>
      <x:c r="L79" s="45"/>
      <x:c r="M79" s="45"/>
      <x:c r="N79" s="45"/>
      <x:c r="O79" s="45"/>
      <x:c r="P79" s="45"/>
      <x:c r="Q79" s="45"/>
      <x:c r="R79" s="45"/>
      <x:c r="S79" s="45"/>
      <x:c r="T79" s="45"/>
    </x:row>
    <x:row r="80">
      <x:c r="A80" s="53" t="str">
        <x:v>Part 1/3</x:v>
      </x:c>
      <x:c r="B80" s="53" t="str">
        <x:v>{
  "version": "2026-08-09-gate-b1-v1",
  "model_version": "vm551-gate-b1-placement-engine-v1",
  "instrument_version": "vm551-gate-b1-instrument-v2",
  "mapping_version": "vm551-gate-b1-mapping-v2-instrument-completion",
  "source_mode": "quick",
  "faction": "LOREHOLD",
  "faction_name": "Lorehold College",
  "institution_type": "college",
  "world": "Strixhaven",
  "identity": {
    "core_color": "W",
    "secondary_colors": [
      "R"
    ],
    "secondary_color": "R",
    "expression_key": "LOREHOLD",
    "expression_name": "Lorehold College",
    "expression_kind": "college",
    "purity": null,
    "routing": {
      "edhrec_slug": "boros",
      "mtgdecks_slug": "boros",
      "label": "Boros"
    }
  },
  "decree": "Lorehold College is the clearest current fit from the approved observations.",
  "confidence": 0.042,
  "confidence_gap": 1,
  "mana_scores": {
    "W": 9,
    "U": 9,
    "B": 9,
    "R": 10,
    "G": 10
  },
  "top_matches": [
    {
      "rank": 1,
      "faction": "LOREHOLD",
      "faction_name": "Lorehold College",
      "institution_type": "college",
      "world": "Strixhaven",
      "identity": {
        "core_color": "W",
        "secondary_colors": [
          "R"
        ],
        "secondary_color": "R",
        "expression_key": "LOREHOLD",
        "expression_name": "Lorehold College",
        "expression_kind": "college",
        "purity": null,
        "routing": {
          "edhrec_slug": "boros",
          "mtgdecks_slug": "boros",
          "label": "Boros"
        }
      },
      "score": 0.729167,
      "confidence": 0.042,
      "reason": "Lorehold College remained plausible through C03, C06; identity mapping remains a hypothesis."
    }
  ],
  "adjacent_matches": [],
  "internal_candidate_order": [
    {
      "identity": "LOREHOLD",
      "score": 0.729167,
      "positive_dependencies": 2,
      "qualification_dependencies": 2,
      "naming_dependencies": 1,
      "positive_constructs": [
        "C03",
        "C06"
      ],
      "satisfied_naming_rule_ids": [
        "baseline_40:b1.crucible.wr.v1.recover:LOREHOLD"
      ],
      "naming_qualification": {
        "identity": "LOREHOLD",
        "qualified": true,
        "satisfied_naming_rule_ids": [
          "baseline_40:b1.crucible.wr.v1.recover:LOREHOLD"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"RG",
      "score": 0.541667,
      "positive_dependencies": 2,
      "qualification_dependencies": 2,
      "naming_dependencies": 0,
      "positive_constructs": [
        "C01",
        "C03"
      ],
      "satisfied_naming_rule_ids": [],
      "naming_qualification": {
        "identity": "RG",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"UR",
      "score": 0.541667,
      "positive_dependencies": 1,
      "qualification_dependencies": 1,
      "naming_dependencies": 0,
      "positive_constructs": [
        "C07"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"C06"
      ]
    },
    {
      "identity": "BG",
      "score": 0.541667,
      "positive_dependencies": 1,
      "qualification_dependencies": 1,
      "naming_dependencies": 0,
      "positive_constructs": [
        "C03"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"COLORLESS",
      "score": 0.458333,
      "positive_dependencies": 2,
      "qualification_dependencies": 2,
      "naming_dependencies": 0,
      "positive_constructs": [
        "C06",
        "C07"
      ],
      "satisfied_naming_rule_ids": [],
      "naming_qualification": {
        "identity": "COLORLESS",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
      "score": 0.458333,
      "positive_dependencies": 1,
      "qualification_dependencies": 1,
      "naming_dependencies": 0,
      "positive_constructs": [
        "C03"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"YORE",
      "score": 0.458333,
      "positive_dependencies": 1,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"WU",
      "score": 0.4375,
      "positive_dependencies": 1,
      "qualification_dependencies": 1,
      "naming_dependencies": 0,
      "positive_constructs": [
        "C08"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"U",
      "score": 0.1875,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"ESPER",
      "score": 0.125,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
    },
    {
      "identity": "JESKAI",
      "score": 0.125,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"SULTAI",
      "score": 0.083333,
      "positive_dependencies": 0,
      "qualification_dependencies": 0,
      "naming_dependencies": 0,
      "positive_constructs": [],
      "satisfied_naming_rule_ids": [],
      "naming_qualification": {
        "identity": "SULTAI",
        "qualified": false,
        "satisfied_naming_rule_ids": [],
        "requirements": {
   </x:v>
      </x:c>
    </x:row>
    <x:row r="81">
      <x:c r="A81" s="53" t="str">
        <x:v>Part 2/3</x:v>
      </x:c>
      <x:c r="B81" s="53" t="str">
        <x:v>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"WR",
      "score": -0.3125,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"C01",
        "C03",
        "C07"
      ]
    }
  ],
  "candidate_set": [
    "LOREHOLD",
    "RG",
    "UR",
    "BG",
    "JUND",
    "R",
    "COLORLESS",
    "G"
  ],
  "alternatives": [],
  "refinement": {
    "kind": "no_approved_discriminator",
    "can_reduce_ambiguity": false,
    "remaining_candidates": [
      "LOREHOLD",
      "RG",
      "UR",
      "BG",
      "JUND",
      "R",
      "COLORLESS",
      "G"
    ],
    "unresolved_boundaries": [
      {
        "pair_id": "G__R",
        "identities": [
          "G",
          "R"
        ],
        "distinction": "G uses Disruption response evidence; R uses Initiative posture evidence. No direct pair claim is made.",
        "question_ids": [
          "b1.gate.disruption.v1",
          "b1.gate.initiative.v1",
          "b1.crucible.mono-multi.v1",
          "b1.hall.pressure.v1",
          "b1.hall.setup.v1",
          "b1.crucible.disruption-boundary.v1"
        ],
        "coverage_status": "DIRECT-OR-STRUCTURAL-MAPPING-HYPOTHESIS; bounded player validation required"
      },
      {
        "pair_id": "LOREHOLD__R",
        "identities": [
          "LOREHOLD",
          "R"
        ],
        "distinction": "LOREHOLD uses Disruption response evidence; R uses Initiative posture evidence. No direct pair claim is made.",
        "question_ids": [
          "b1.gate.disruption.v1",
          "b1.gate.initiative.v1",
          "b1.crucible.mono-multi.v1",
          "b1.crucible.wr.v1",
          "b1.hall.pressure.v1",
          "b1.hall.engine-shape.v1",
          "b1.crucible.disruption-boundary.v1"
        ],
        "coverage_status": "DIRECT-OR-STRUCTURAL-MAPPING-HYPOTHESIS; bounded player validation required"
      }
    ],
    "missing_constructs": [
      "C12",
      "C14",
      "C15"
    ],
    "question_id": null,
    "purpose": "none_for_clean_primary",
    "target_identities": [
      "LOREHOLD",
      "RG",
      "UR"
    ],
    "target_pair_ids": [
      "G__R",
      "LOREHOLD__R"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rebuild",
      "prompt": "A board wipe—an effect that removes many cards and tokens from the battlefield—is likely next turn. What would you rather have prepared?",
      "observation": "Prefers recovery after broad disruption.",
      "deltas": [
        {
          "faction": "G",
          "delta": 0.5
        },
        {
          "faction": "RG",
          "delta": 0.5
        }
      ]
    },
    {
      "question_id": "b1.gate.tempo.v1",
      "answer_id": "b1.gate.tempo.v1.small",
      "stage": "gate",
      "construct": "C04",
      "bounded_observation": "Prefers incremental advantage.",
      "signal": "SIG_C04_INCREMENTAL",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"A little every turn",
      "prompt": "When your Commander deck is doing what you built it to do, how do you want the advantage to arrive?",
      "observation": "Prefers incremental advantage.",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"answer_title": "Make each job replaceable",
      "prompt": "Opponents have learned how to stop your main engine. When you revise the deck, what structure do you want next?",
      "observation": "Prefers replaceable functional redundancy.",
      "deltas": [
        {
          "faction": "COLORLESS",
          "delta": 0.5
        },
        {
          "faction": "LOREHOLD",
          "delta": 0.5
        },
        {
          "faction": "YORE",
          "delta": 0.5
        }
      ]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"answer_title": "Before the turn develops",
      "prompt": "An opponent begins a decisive turn, but you do not yet know which card matters most. When do you want your deck to use the card or mana it kept available?",
      "observation": "Prefers early prevention before the decisive action becomes visible.",
      "deltas": [
        {
          "faction": "WU",
          "delta": 0.5
        }
      ]
    },
    {
      "question_id": "b1.crucible.disruption-boundary.v1",
      "answer_id": "b1.crucible.disruption-boundary.v1.reuse",
      "stage": "crucible",
      "construct": "C03",
      "bounded_observation": "Prefers reclamation and continuity after loss.",
      "signal": "SIG_C03_RECOVER",
      "dependency_group": "DG_C03",
      "evidence_class": "BEHAVIORAL_OBSERVATION",
      "affected_identities": [
        "BG",
        "LOREHOLD"
      ],
      "positive_support": [
        "BG",
        "LOREHOLD"
      ],
      "contradiction": [],
      "neutral": false,
      "mapping_strength": 0.5,
      "naming_evidence": false,
      "qualification_eligible": true,
      "qualification_support": [
        "BG",
        "LOREHOLD"
      ],
      "naming_support": [],
      "naming_rule_ids_by_identity": {},
      "mapping_role": "completion_corroboration_direction",
      "mapping_status": "REMEDIATION_MAPPING_HYPOTHESIS",
      "mapping_provenance": "docs/plans/vm551-gate-b1-instrument-completion/instrument-change-adjudication.tsv#b1.crucible.disruption-boundary.v1.reuse;docs/audits/vm555-b1-identity-evidence-gap-bridge/identity-evidence-gap-matrix.tsv",
      "evidence_provenance": "E-VM555;E-CERTIFIED;E-CECOS;E-PLAYER-LANGUAGE",
      "limitation": "The deck may contain recursion for efficiency rather than a stable recovery preference.",
      "behavioral_vs_lens": "behavioral",
      "answer_title": "Reuse what was lost",
      "prompt": "An opponent removes the piece your deck was built around after using most of their mana and cards. Your turn begins with the rest of your board still available. What do you try first?",
      "observation": "Prefers reclamation and continuity after loss.",
      "deltas": [
        {
          "faction": "BG",
          "delta": 0.5
        },
        {
          "faction": "LOREHOLD",
          "delta": 0.5
        }
      ]
    },
    {
      "question_id": "b1.crucible.wr.v1",
      "answer_id": "b1.crucible.wr.v1.recover",
      "stage": "crucible",
      "construct": "C03",
      "bounded_observation": "Prefers recovery from prior resources.",
      "signal": "SIG_C03_RECOVER",
      "dependency_group": "DG_C03",
      "evidence_class": "BEHAVIORAL_OBSERVATION",
      "affected_identities": [
        "LOREHOLD",
        "WR"
      ],
      "positive_support": [
        "LOREHOLD"
      ],
      "contradiction": [
        "WR"
      ],
      "neutral": false,
      "mapping_strength": 1,
      "naming_evidence": true,
      "qualification_eligible": true,
      "qualification_support": [
        "LOREHOLD"
      ],
      "naming_support": [
        "LOREHOLD"
      ],
      "naming_rule_ids_by_identity": {
        "LOREHOLD": [
          "baseline_40:b1.crucible.wr.v1.recover:LOREHOLD"
        ]
      },
      "mapping_role": "exact_pair_direction",
      "mapping_status": "MAPPING_HYPOTHESIS",
      "mapping_provenance": "answer-semantic-adjudication.tsv WR vs LOREHOLD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"Recover value from the loss",
      "prompt": "An opponent targets an important permanent. Which response</x:v>
      </x:c>
    </x:row>
    <x:row r="82">
      <x:c r="A82" s="53" t="str">
        <x:v>Part 3/3</x:v>
      </x:c>
      <x:c r="B82" s="53" t="str">
        <x:v> would you rather have built toward?",
      "observation": "Prefers recovery from prior resources.",
      "deltas": [
        {
          "faction": "LOREHOLD",
          "delta": 1
        },
        {
          "faction": "WR",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"b1.gate.tempo.v1.small",
      "stage": "gate",
      "construct": "C04",
      "bounded_observation": "Prefers incremental advantage.",
      "signal": "SIG_C04_INCREMENTAL",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
    {
      "question_id": "b1.crucible.disruption-boundary.v1",
      "answer_id": "b1.crucible.disruption-boundary.v1.reuse",
      "stage": "crucible",
      "construct": "C03",
      "bounded_observation": "Prefers reclamation and continuity after loss.",
      "signal": "SIG_C03_RECOVER",
      "dependency_group": "DG_C03",
      "evidence_class": "BEHAVIORAL_OBSERVATION",
      "affected_identities": [
        "BG",
        "LOREHOLD"
      ],
      "positive_support": [
        "BG",
        "LOREHOLD"
      ],
      "contradiction": [],
      "neutral": false,
      "mapping_strength": 0.5,
      "naming_evidence": false,
      "qualification_eligible": true,
      "qualification_support": [
        "BG",
        "LOREHOLD"
      ],
      "naming_support": [],
      "naming_rule_ids_by_identity": {},
      "mapping_role": "completion_corroboration_direction",
      "mapping_status": "REMEDIATION_MAPPING_HYPOTHESIS",
      "mapping_provenance": "docs/plans/vm551-gate-b1-instrument-completion/instrument-change-adjudication.tsv#b1.crucible.disruption-boundary.v1.reuse;docs/audits/vm555-b1-identity-evidence-gap-bridge/identity-evidence-gap-matrix.tsv",
      "evidence_provenance": "E-VM555;E-CERTIFIED;E-CECOS;E-PLAYER-LANGUAGE",
      "limitation": "The deck may contain recursion for efficiency rather than a stable recovery preference.",
      "behavioral_vs_lens": "behavioral"
    },
    {
      "question_id": "b1.crucible.wr.v1",
      "answer_id": "b1.crucible.wr.v1.recover",
      "stage": "crucible",
      "construct": "C03",
      "bounded_observation": "Prefers recovery from prior resources.",
      "signal": "SIG_C03_RECOVER",
      "dependency_group": "DG_C03",
      "evidence_class": "BEHAVIORAL_OBSERVATION",
      "affected_identities": [
        "LOREHOLD",
        "WR"
      ],
      "positive_support": [
        "LOREHOLD"
      ],
      "contradiction": [
        "WR"
      ],
      "neutral": false,
      "mapping_strength": 1,
      "naming_evidence": true,
      "qualification_eligible": true,
      "qualification_support": [
        "LOREHOLD"
      ],
      "naming_support": [
        "LOREHOLD"
      ],
      "naming_rule_ids_by_identity": {
        "LOREHOLD": [
          "baseline_40:b1.crucible.wr.v1.recover:LOREHOLD"
        ]
      },
      "mapping_role": "exact_pair_direction",
      "mapping_status": "MAPPING_HYPOTHESIS",
      "mapping_provenance": "answer-semantic-adjudication.tsv WR vs LOREHOLD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"b1.gate.visibility.v1.depends",
      "stage": "gate",
      "evidence_class": "BEHAVIORAL_OBSERVATION"
    },
    {
      "question_id": "b1.gate.disruption.v1",
      "answer_id": "b1.gate.disruption.v1.recover",
      "stage": "gate",
      "evidence_class": "BEHAVIORAL_OBSERVATION"
    },
    {
      "question_id": "b1.gate.tempo.v1",
      "answer_id": "b1.gate.tempo.v1.small",
      "stage": "gate",
      "evidence_class": "BEHAVIORAL_OBSERVATION"
    },
    {
      "question_id": "b1.hall.pressure.v1",
      "answer_id": "b1.hall.pressure.v1.engine",
      "stage": "hall",
      "evidence_class": "BEHAVIORAL_OBSERVATION"
    },
    {
      "question_id": "b1.hall.engine-shape.v1",
      "answer_id": "b1.hall.engine-shape.v1.replace",
      "stage": "hall",
      "evidence_class": "BEHAVIORAL_OBSERVATION"
    },
    {
      "question_id": "b1.hall.interaction-window.v1",
      "answer_id": "b1.hall.interaction-window.v1.before",
      "stage": "hall",
      "evidence_class": "BEHAVIORAL_OBSERVATION"
    },
    {
      "question_id": "b1.crucible.disruption-boundary.v1",
      "answer_id": "b1.crucible.disruption-boundary.v1.reuse",
      "stage": "crucible",
      "evidence_class": "BEHAVIORAL_OBSERVATION"
    },
    {
      "question_id": "b1.crucible.wr.v1",
      "answer_id": "b1.crucible.wr.v1.recover",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9:T39"/>
    <x:mergeCell ref="A79:T79"/>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Prismari College — Engine Trace</x:v>
      </x:c>
      <x:c r="B1" s="3"/>
      <x:c r="C1" s="3"/>
      <x:c r="D1" s="3"/>
      <x:c r="E1" s="3"/>
      <x:c r="F1" s="3"/>
      <x:c r="G1" s="3"/>
      <x:c r="H1" s="3"/>
      <x:c r="I1" s="3"/>
      <x:c r="J1" s="3"/>
      <x:c r="K1" s="3"/>
      <x:c r="L1" s="3"/>
      <x:c r="M1" s="3"/>
      <x:c r="N1" s="3"/>
      <x:c r="O1" s="3"/>
      <x:c r="P1" s="3"/>
      <x:c r="Q1" s="3"/>
      <x:c r="R1" s="3"/>
      <x:c r="S1" s="3"/>
      <x:c r="T1" s="3"/>
    </x:row>
    <x:row r="2" ht="30" customHeight="1">
      <x:c r="A2" s="7" t="str">
        <x:v>ENGINE-PRISMARI • PASS_MATCH • primary • trace 7830018d7b7b5ac91a888db0834f1fff3c00cb19aca77c466524a8bcaaef77bb</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PRISMARI</x:v>
      </x:c>
    </x:row>
    <x:row r="6">
      <x:c r="A6" s="53" t="str">
        <x:v>Expected public contract</x:v>
      </x:c>
      <x:c r="B6" s="53" t="str">
        <x:v>NAMED_DOSSIER</x:v>
      </x:c>
    </x:row>
    <x:row r="7">
      <x:c r="A7" s="53" t="str">
        <x:v>Witness status</x:v>
      </x:c>
      <x:c r="B7" s="53" t="str">
        <x:v>CURRENT_COMPATIBLE</x:v>
      </x:c>
    </x:row>
    <x:row r="8">
      <x:c r="A8" s="53" t="str">
        <x:v>Actual result</x:v>
      </x:c>
      <x:c r="B8" s="53" t="str">
        <x:v>PRISMARI</x:v>
      </x:c>
    </x:row>
    <x:row r="9">
      <x:c r="A9" s="53" t="str">
        <x:v>Directional result</x:v>
      </x:c>
      <x:c r="B9" s="53" t="str">
        <x:v>PRISMARI</x:v>
      </x:c>
    </x:row>
    <x:row r="10">
      <x:c r="A10" s="53" t="str">
        <x:v>Public state</x:v>
      </x:c>
      <x:c r="B10" s="53" t="str">
        <x:v>current-best-fit</x:v>
      </x:c>
    </x:row>
    <x:row r="11">
      <x:c r="A11" s="53" t="str">
        <x:v>Raw numeric leader</x:v>
      </x:c>
      <x:c r="B11" s="53" t="str">
        <x:v>PRISMARI</x:v>
      </x:c>
    </x:row>
    <x:row r="12">
      <x:c r="A12" s="53" t="str">
        <x:v>Raw score</x:v>
      </x:c>
      <x:c r="B12" s="53" t="n">
        <x:v>1</x:v>
      </x:c>
    </x:row>
    <x:row r="13">
      <x:c r="A13" s="53" t="str">
        <x:v>Raw leader qualified</x:v>
      </x:c>
      <x:c r="B13" s="54" t="b">
        <x:v>1</x:v>
      </x:c>
    </x:row>
    <x:row r="14">
      <x:c r="A14" s="53" t="str">
        <x:v>Selected qualified</x:v>
      </x:c>
      <x:c r="B14" s="54" t="b">
        <x:v>1</x:v>
      </x:c>
    </x:row>
    <x:row r="15">
      <x:c r="A15" s="53" t="str">
        <x:v>Frontier</x:v>
      </x:c>
      <x:c r="B15" s="53" t="str">
        <x:v>PRISMARI</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outputs/01a02cd6-bce7-7832-9558-3075c52f146a/archscry-current-state-2026-08-22/evidence/engine/traces/prismari.json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b1.gate.initiative.v1.respond</x:v>
      </x:c>
      <x:c r="G29" s="53" t="str">
        <x:v>Keep options open</x:v>
      </x:c>
      <x:c r="H29" s="53" t="str">
        <x:v>C01</x:v>
      </x:c>
      <x:c r="I29" s="53" t="str">
        <x:v>SIG_C01_REACTIVE</x:v>
      </x:c>
      <x:c r="J29" s="53" t="str">
        <x:v>DG_C01</x:v>
      </x:c>
      <x:c r="K29" s="53" t="str">
        <x:v>BEHAVIORAL_OBSERVATION</x:v>
      </x:c>
      <x:c r="L29" s="53" t="str"/>
      <x:c r="M29" s="53" t="str"/>
      <x:c r="N29" s="53" t="n">
        <x:v>0</x:v>
      </x:c>
      <x:c r="O29" s="54" t="b">
        <x:v>0</x:v>
      </x:c>
      <x:c r="P29" s="53" t="str">
        <x:v>OBSERVATION_ONLY</x:v>
      </x:c>
      <x:c r="Q29" s="53" t="str">
        <x:v>Prefers reactive optionality on an open turn.</x:v>
      </x:c>
      <x:c r="R29" s="53" t="str">
        <x:v>Initiative posture may vary across calm, behind, and disrupted contexts; every C01 response shares DG_C01 and cannot stack.</x:v>
      </x:c>
      <x:c r="S29" s="53" t="str">
        <x:v>GLINT</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GRIXIS</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b1.hall.pressure.v1.burst</x:v>
      </x:c>
      <x:c r="G33" s="53" t="str">
        <x:v>Make one visible turn count</x:v>
      </x:c>
      <x:c r="H33" s="53" t="str">
        <x:v>C07</x:v>
      </x:c>
      <x:c r="I33" s="53" t="str">
        <x:v>SIG_C07_VISIBLE_BURST</x:v>
      </x:c>
      <x:c r="J33" s="53" t="str">
        <x:v>DG_C07</x:v>
      </x:c>
      <x:c r="K33" s="53" t="str">
        <x:v>BEHAVIORAL_OBSERVATION</x:v>
      </x:c>
      <x:c r="L33" s="53" t="str">
        <x:v>BR | PRISMARI</x:v>
      </x:c>
      <x:c r="M33" s="53" t="str"/>
      <x:c r="N33" s="53" t="n">
        <x:v>1</x:v>
      </x:c>
      <x:c r="O33" s="54" t="b">
        <x:v>1</x:v>
      </x:c>
      <x:c r="P33" s="53" t="str">
        <x:v>REMEDIATION_MAPPING_HYPOTHESIS</x:v>
      </x:c>
      <x:c r="Q33" s="53" t="str">
        <x:v>Prefers a concentrated exposed payoff during the opening.</x:v>
      </x:c>
      <x:c r="R33" s="53" t="str">
        <x:v>Combo and efficient decks may also concentrate resources into one turn for unrelated reasons.</x:v>
      </x:c>
      <x:c r="S33" s="53" t="str">
        <x:v>BR</x:v>
      </x:c>
      <x:c r="T33" s="53" t="str">
        <x:v>incomplete / minimum_questions / b1.hall.threat.v1</x:v>
      </x:c>
    </x:row>
    <x:row r="34">
      <x:c r="A34" s="53" t="n">
        <x:v>6</x:v>
      </x:c>
      <x:c r="B34" s="53" t="str">
        <x:v>main</x:v>
      </x:c>
      <x:c r="C34" s="53" t="str">
        <x:v>hall</x:v>
      </x:c>
      <x:c r="D34" s="53" t="str">
        <x:v>b1.hall.threat.v1</x:v>
      </x:c>
      <x:c r="E34" s="53" t="str">
        <x:v>If your board becomes the clearest threat, how do you want the deck to handle that attention?</x:v>
      </x:c>
      <x:c r="F34" s="53" t="str">
        <x:v>b1.hall.threat.v1.avoid</x:v>
      </x:c>
      <x:c r="G34" s="53" t="str">
        <x:v>Stay useful without leading</x:v>
      </x:c>
      <x:c r="H34" s="53" t="str">
        <x:v>C11</x:v>
      </x:c>
      <x:c r="I34" s="53" t="str">
        <x:v>SIG_C11_AVOID</x:v>
      </x:c>
      <x:c r="J34" s="53" t="str">
        <x:v>DG_C11</x:v>
      </x:c>
      <x:c r="K34" s="53" t="str">
        <x:v>BEHAVIORAL_OBSERVATION</x:v>
      </x:c>
      <x:c r="L34" s="53" t="str"/>
      <x:c r="M34" s="53" t="str"/>
      <x:c r="N34" s="53" t="n">
        <x:v>0</x:v>
      </x:c>
      <x:c r="O34" s="54" t="b">
        <x:v>0</x:v>
      </x:c>
      <x:c r="P34" s="53" t="str">
        <x:v>OBSERVATION_ONLY</x:v>
      </x:c>
      <x:c r="Q34" s="53" t="str">
        <x:v>Prefers lower visible threat.</x:v>
      </x:c>
      <x:c r="R34" s="53" t="str">
        <x:v>Observation wording and identity association require player validation; no weight is authorized.</x:v>
      </x:c>
      <x:c r="S34" s="53" t="str">
        <x:v>BR</x:v>
      </x:c>
      <x:c r="T34" s="53" t="str">
        <x:v>incomplete / useful_evidence_remains / b1.hall.theme.v1</x:v>
      </x:c>
    </x:row>
    <x:row r="35">
      <x:c r="A35" s="53" t="n">
        <x:v>7</x:v>
      </x:c>
      <x:c r="B35" s="53" t="str">
        <x:v>main</x:v>
      </x:c>
      <x:c r="C35" s="53" t="str">
        <x:v>hall</x:v>
      </x:c>
      <x:c r="D35" s="53" t="str">
        <x:v>b1.hall.theme.v1</x:v>
      </x:c>
      <x:c r="E35" s="53" t="str">
        <x:v>For one deck slot, assume you can’t get both: one card fits your theme better, while another does the same job more reliably. Which do you keep?</x:v>
      </x:c>
      <x:c r="F35" s="53" t="str">
        <x:v>b1.hall.theme.v1.reliable</x:v>
      </x:c>
      <x:c r="G35" s="53" t="str">
        <x:v>Keep the reliable card</x:v>
      </x:c>
      <x:c r="H35" s="53" t="str">
        <x:v>C10</x:v>
      </x:c>
      <x:c r="I35" s="53" t="str">
        <x:v>SIG_C10_EFFICIENCY_FIRST</x:v>
      </x:c>
      <x:c r="J35" s="53" t="str">
        <x:v>DG_C10</x:v>
      </x:c>
      <x:c r="K35" s="53" t="str">
        <x:v>BEHAVIORAL_OBSERVATION</x:v>
      </x:c>
      <x:c r="L35" s="53" t="str"/>
      <x:c r="M35" s="53" t="str"/>
      <x:c r="N35" s="53" t="n">
        <x:v>0</x:v>
      </x:c>
      <x:c r="O35" s="54" t="b">
        <x:v>0</x:v>
      </x:c>
      <x:c r="P35" s="53" t="str">
        <x:v>OBSERVATION_ONLY</x:v>
      </x:c>
      <x:c r="Q35" s="53" t="str">
        <x:v>Prefers role reliability over theme.</x:v>
      </x:c>
      <x:c r="R35" s="53" t="str">
        <x:v>Theme is an explanatory deckbuilding layer only; the observation cannot name or exclude an identity.</x:v>
      </x:c>
      <x:c r="S35" s="53" t="str">
        <x:v>PRISMARI</x:v>
      </x:c>
      <x:c r="T35" s="53" t="str">
        <x:v>incomplete / useful_evidence_remains / b1.crucible.ur.v1</x:v>
      </x:c>
    </x:row>
    <x:row r="36">
      <x:c r="A36" s="53" t="n">
        <x:v>8</x:v>
      </x:c>
      <x:c r="B36" s="53" t="str">
        <x:v>main</x:v>
      </x:c>
      <x:c r="C36" s="53" t="str">
        <x:v>crucible</x:v>
      </x:c>
      <x:c r="D36" s="53" t="str">
        <x:v>b1.crucible.ur.v1</x:v>
      </x:c>
      <x:c r="E36" s="53" t="str">
        <x:v>Your spell-heavy deck has mana for a major turn. Which payoff sounds more like the plan?</x:v>
      </x:c>
      <x:c r="F36" s="53" t="str">
        <x:v>b1.crucible.ur.v1.showcase</x:v>
      </x:c>
      <x:c r="G36" s="53" t="str">
        <x:v>Build toward the showcase</x:v>
      </x:c>
      <x:c r="H36" s="53" t="str">
        <x:v>C04</x:v>
      </x:c>
      <x:c r="I36" s="53" t="str">
        <x:v>SIG_C04_CONCENTRATED</x:v>
      </x:c>
      <x:c r="J36" s="53" t="str">
        <x:v>DG_C04</x:v>
      </x:c>
      <x:c r="K36" s="53" t="str">
        <x:v>BEHAVIORAL_OBSERVATION</x:v>
      </x:c>
      <x:c r="L36" s="53" t="str">
        <x:v>PRISMARI</x:v>
      </x:c>
      <x:c r="M36" s="53" t="str">
        <x:v>UR</x:v>
      </x:c>
      <x:c r="N36" s="53" t="n">
        <x:v>1</x:v>
      </x:c>
      <x:c r="O36" s="54" t="b">
        <x:v>1</x:v>
      </x:c>
      <x:c r="P36" s="53" t="str">
        <x:v>MAPPING_HYPOTHESIS</x:v>
      </x:c>
      <x:c r="Q36" s="53" t="str">
        <x:v>Prefers concentrated expressive payoff.</x:v>
      </x:c>
      <x:c r="R36" s="53" t="str">
        <x:v>Use only after prior independent observations leave the stated competitor boundary plausible; the identity association requires player validation.</x:v>
      </x:c>
      <x:c r="S36" s="53" t="str">
        <x:v>PRISMARI</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PRISMARI</x:v>
      </x:c>
      <x:c r="C40" s="53" t="str">
        <x:v>Prismari College</x:v>
      </x:c>
      <x:c r="D40" s="53" t="n">
        <x:v>1</x:v>
      </x:c>
      <x:c r="E40" s="54" t="b">
        <x:v>1</x:v>
      </x:c>
      <x:c r="F40" s="53" t="str">
        <x:v>C04 | C07</x:v>
      </x:c>
    </x:row>
    <x:row r="41">
      <x:c r="A41" s="53" t="n">
        <x:v>2</x:v>
      </x:c>
      <x:c r="B41" s="53" t="str">
        <x:v>BR</x:v>
      </x:c>
      <x:c r="C41" s="53" t="str">
        <x:v>Cult of Rakdos</x:v>
      </x:c>
      <x:c r="D41" s="53" t="n">
        <x:v>0.916667</x:v>
      </x:c>
      <x:c r="E41" s="54" t="b">
        <x:v>0</x:v>
      </x:c>
      <x:c r="F41" s="53" t="str">
        <x:v>C07</x:v>
      </x:c>
    </x:row>
    <x:row r="42">
      <x:c r="A42" s="53" t="n">
        <x:v>3</x:v>
      </x:c>
      <x:c r="B42" s="53" t="str">
        <x:v>NAYA</x:v>
      </x:c>
      <x:c r="C42" s="53" t="str">
        <x:v>Naya</x:v>
      </x:c>
      <x:c r="D42" s="53" t="n">
        <x:v>0.25</x:v>
      </x:c>
      <x:c r="E42" s="54" t="b">
        <x:v>0</x:v>
      </x:c>
      <x:c r="F42" s="53" t="str"/>
    </x:row>
    <x:row r="43">
      <x:c r="A43" s="53" t="n">
        <x:v>4</x:v>
      </x:c>
      <x:c r="B43" s="53" t="str">
        <x:v>R</x:v>
      </x:c>
      <x:c r="C43" s="53" t="str">
        <x:v>Red</x:v>
      </x:c>
      <x:c r="D43" s="53" t="n">
        <x:v>0.25</x:v>
      </x:c>
      <x:c r="E43" s="54" t="b">
        <x:v>0</x:v>
      </x:c>
      <x:c r="F43" s="53" t="str"/>
    </x:row>
    <x:row r="44">
      <x:c r="A44" s="53" t="n">
        <x:v>5</x:v>
      </x:c>
      <x:c r="B44" s="53" t="str">
        <x:v>RG</x:v>
      </x:c>
      <x:c r="C44" s="53" t="str">
        <x:v>Gruul Clans</x:v>
      </x:c>
      <x:c r="D44" s="53" t="n">
        <x:v>0.25</x:v>
      </x:c>
      <x:c r="E44" s="54" t="b">
        <x:v>0</x:v>
      </x:c>
      <x:c r="F44" s="53" t="str"/>
    </x:row>
    <x:row r="45">
      <x:c r="A45" s="53" t="n">
        <x:v>6</x:v>
      </x:c>
      <x:c r="B45" s="53" t="str">
        <x:v>DUNE</x:v>
      </x:c>
      <x:c r="C45" s="53" t="str">
        <x:v>Dune / Aggression</x:v>
      </x:c>
      <x:c r="D45" s="53" t="n">
        <x:v>0.166667</x:v>
      </x:c>
      <x:c r="E45" s="54" t="b">
        <x:v>0</x:v>
      </x:c>
      <x:c r="F45" s="53" t="str"/>
    </x:row>
    <x:row r="46">
      <x:c r="A46" s="53" t="n">
        <x:v>7</x:v>
      </x:c>
      <x:c r="B46" s="53" t="str">
        <x:v>GLINT</x:v>
      </x:c>
      <x:c r="C46" s="53" t="str">
        <x:v>Glint / Chaos</x:v>
      </x:c>
      <x:c r="D46" s="53" t="n">
        <x:v>0.166667</x:v>
      </x:c>
      <x:c r="E46" s="54" t="b">
        <x:v>0</x:v>
      </x:c>
      <x:c r="F46" s="53" t="str"/>
    </x:row>
    <x:row r="47">
      <x:c r="A47" s="53" t="n">
        <x:v>8</x:v>
      </x:c>
      <x:c r="B47" s="53" t="str">
        <x:v>JUND</x:v>
      </x:c>
      <x:c r="C47" s="53" t="str">
        <x:v>Jund</x:v>
      </x:c>
      <x:c r="D47" s="53" t="n">
        <x:v>0.166667</x:v>
      </x:c>
      <x:c r="E47" s="54" t="b">
        <x:v>0</x:v>
      </x:c>
      <x:c r="F47" s="53" t="str"/>
    </x:row>
    <x:row r="48">
      <x:c r="A48" s="53" t="n">
        <x:v>9</x:v>
      </x:c>
      <x:c r="B48" s="53" t="str">
        <x:v>MARDU</x:v>
      </x:c>
      <x:c r="C48" s="53" t="str">
        <x:v>Mardu Horde</x:v>
      </x:c>
      <x:c r="D48" s="53" t="n">
        <x:v>0.166667</x:v>
      </x:c>
      <x:c r="E48" s="54" t="b">
        <x:v>0</x:v>
      </x:c>
      <x:c r="F48" s="53" t="str"/>
    </x:row>
    <x:row r="49">
      <x:c r="A49" s="53" t="n">
        <x:v>10</x:v>
      </x:c>
      <x:c r="B49" s="53" t="str">
        <x:v>SILVERQUILL</x:v>
      </x:c>
      <x:c r="C49" s="53" t="str">
        <x:v>Silverquill College</x:v>
      </x:c>
      <x:c r="D49" s="53" t="n">
        <x:v>0.166667</x:v>
      </x:c>
      <x:c r="E49" s="54" t="b">
        <x:v>0</x:v>
      </x:c>
      <x:c r="F49" s="53" t="str"/>
    </x:row>
    <x:row r="50">
      <x:c r="A50" s="53" t="n">
        <x:v>11</x:v>
      </x:c>
      <x:c r="B50" s="53" t="str">
        <x:v>TEMUR</x:v>
      </x:c>
      <x:c r="C50" s="53" t="str">
        <x:v>Temur Frontier</x:v>
      </x:c>
      <x:c r="D50" s="53" t="n">
        <x:v>0.166667</x:v>
      </x:c>
      <x:c r="E50" s="54" t="b">
        <x:v>0</x:v>
      </x:c>
      <x:c r="F50" s="53" t="str"/>
    </x:row>
    <x:row r="51">
      <x:c r="A51" s="53" t="n">
        <x:v>12</x:v>
      </x:c>
      <x:c r="B51" s="53" t="str">
        <x:v>WR</x:v>
      </x:c>
      <x:c r="C51" s="53" t="str">
        <x:v>Boros Legion</x:v>
      </x:c>
      <x:c r="D51" s="53" t="n">
        <x:v>0.166667</x:v>
      </x:c>
      <x:c r="E51" s="54" t="b">
        <x:v>0</x:v>
      </x:c>
      <x:c r="F51" s="53" t="str"/>
    </x:row>
    <x:row r="52">
      <x:c r="A52" s="53" t="n">
        <x:v>13</x:v>
      </x:c>
      <x:c r="B52" s="53" t="str">
        <x:v>GRIXIS</x:v>
      </x:c>
      <x:c r="C52" s="53" t="str">
        <x:v>Grixis</x:v>
      </x:c>
      <x:c r="D52" s="53" t="n">
        <x:v>0.125</x:v>
      </x:c>
      <x:c r="E52" s="54" t="b">
        <x:v>0</x:v>
      </x:c>
      <x:c r="F52" s="53" t="str"/>
    </x:row>
    <x:row r="53">
      <x:c r="A53" s="53" t="n">
        <x:v>14</x:v>
      </x:c>
      <x:c r="B53" s="53" t="str">
        <x:v>UB</x:v>
      </x:c>
      <x:c r="C53" s="53" t="str">
        <x:v>House Dimir</x:v>
      </x:c>
      <x:c r="D53" s="53" t="n">
        <x:v>0.125</x:v>
      </x:c>
      <x:c r="E53" s="54" t="b">
        <x:v>0</x:v>
      </x:c>
      <x:c r="F53" s="53" t="str"/>
    </x:row>
    <x:row r="54">
      <x:c r="A54" s="53" t="n">
        <x:v>15</x:v>
      </x:c>
      <x:c r="B54" s="53" t="str">
        <x:v>COLORLESS</x:v>
      </x:c>
      <x:c r="C54" s="53" t="str">
        <x:v>Colorless</x:v>
      </x:c>
      <x:c r="D54" s="53" t="n">
        <x:v>0.083333</x:v>
      </x:c>
      <x:c r="E54" s="54" t="b">
        <x:v>0</x:v>
      </x:c>
      <x:c r="F54" s="53" t="str"/>
    </x:row>
    <x:row r="55">
      <x:c r="A55" s="53" t="n">
        <x:v>16</x:v>
      </x:c>
      <x:c r="B55" s="53" t="str">
        <x:v>G</x:v>
      </x:c>
      <x:c r="C55" s="53" t="str">
        <x:v>Green</x:v>
      </x:c>
      <x:c r="D55" s="53" t="n">
        <x:v>0.083333</x:v>
      </x:c>
      <x:c r="E55" s="54" t="b">
        <x:v>0</x:v>
      </x:c>
      <x:c r="F55" s="53" t="str"/>
    </x:row>
    <x:row r="56">
      <x:c r="A56" s="53" t="n">
        <x:v>17</x:v>
      </x:c>
      <x:c r="B56" s="53" t="str">
        <x:v>INK</x:v>
      </x:c>
      <x:c r="C56" s="53" t="str">
        <x:v>Ink / Altruism</x:v>
      </x:c>
      <x:c r="D56" s="53" t="n">
        <x:v>0.083333</x:v>
      </x:c>
      <x:c r="E56" s="54" t="b">
        <x:v>0</x:v>
      </x:c>
      <x:c r="F56" s="53" t="str"/>
    </x:row>
    <x:row r="57">
      <x:c r="A57" s="53" t="n">
        <x:v>18</x:v>
      </x:c>
      <x:c r="B57" s="53" t="str">
        <x:v>LOREHOLD</x:v>
      </x:c>
      <x:c r="C57" s="53" t="str">
        <x:v>Lorehold College</x:v>
      </x:c>
      <x:c r="D57" s="53" t="n">
        <x:v>0.083333</x:v>
      </x:c>
      <x:c r="E57" s="54" t="b">
        <x:v>0</x:v>
      </x:c>
      <x:c r="F57" s="53" t="str"/>
    </x:row>
    <x:row r="58">
      <x:c r="A58" s="53" t="n">
        <x:v>19</x:v>
      </x:c>
      <x:c r="B58" s="53" t="str">
        <x:v>W</x:v>
      </x:c>
      <x:c r="C58" s="53" t="str">
        <x:v>White</x:v>
      </x:c>
      <x:c r="D58" s="53" t="n">
        <x:v>0.083333</x:v>
      </x:c>
      <x:c r="E58" s="54" t="b">
        <x:v>0</x:v>
      </x:c>
      <x:c r="F58" s="53" t="str"/>
    </x:row>
    <x:row r="59">
      <x:c r="A59" s="53" t="n">
        <x:v>20</x:v>
      </x:c>
      <x:c r="B59" s="53" t="str">
        <x:v>WG</x:v>
      </x:c>
      <x:c r="C59" s="53" t="str">
        <x:v>Selesnya Conclave</x:v>
      </x:c>
      <x:c r="D59" s="53" t="n">
        <x:v>0.083333</x:v>
      </x:c>
      <x:c r="E59" s="54" t="b">
        <x:v>0</x:v>
      </x:c>
      <x:c r="F59" s="53" t="str"/>
    </x:row>
    <x:row r="60">
      <x:c r="A60" s="53" t="n">
        <x:v>21</x:v>
      </x:c>
      <x:c r="B60" s="53" t="str">
        <x:v>WUBRG</x:v>
      </x:c>
      <x:c r="C60" s="53" t="str">
        <x:v>Five-Color / WUBRG</x:v>
      </x:c>
      <x:c r="D60" s="53" t="n">
        <x:v>0.083333</x:v>
      </x:c>
      <x:c r="E60" s="54" t="b">
        <x:v>0</x:v>
      </x:c>
      <x:c r="F60" s="53" t="str"/>
    </x:row>
    <x:row r="61">
      <x:c r="A61" s="53" t="n">
        <x:v>22</x:v>
      </x:c>
      <x:c r="B61" s="53" t="str">
        <x:v>B</x:v>
      </x:c>
      <x:c r="C61" s="53" t="str">
        <x:v>Black</x:v>
      </x:c>
      <x:c r="D61" s="53" t="n">
        <x:v>0.0625</x:v>
      </x:c>
      <x:c r="E61" s="54" t="b">
        <x:v>0</x:v>
      </x:c>
      <x:c r="F61" s="53" t="str"/>
    </x:row>
    <x:row r="62">
      <x:c r="A62" s="53" t="n">
        <x:v>23</x:v>
      </x:c>
      <x:c r="B62" s="53" t="str">
        <x:v>JESKAI</x:v>
      </x:c>
      <x:c r="C62" s="53" t="str">
        <x:v>Jeskai Way</x:v>
      </x:c>
      <x:c r="D62" s="53" t="n">
        <x:v>0.0625</x:v>
      </x:c>
      <x:c r="E62" s="54" t="b">
        <x:v>0</x:v>
      </x:c>
      <x:c r="F62" s="53" t="str"/>
    </x:row>
    <x:row r="63">
      <x:c r="A63" s="53" t="n">
        <x:v>24</x:v>
      </x:c>
      <x:c r="B63" s="53" t="str">
        <x:v>U</x:v>
      </x:c>
      <x:c r="C63" s="53" t="str">
        <x:v>Blue</x:v>
      </x:c>
      <x:c r="D63" s="53" t="n">
        <x:v>0.0625</x:v>
      </x:c>
      <x:c r="E63" s="54" t="b">
        <x:v>0</x:v>
      </x:c>
      <x:c r="F63" s="53" t="str"/>
    </x:row>
    <x:row r="64">
      <x:c r="A64" s="53" t="n">
        <x:v>25</x:v>
      </x:c>
      <x:c r="B64" s="53" t="str">
        <x:v>ABZAN</x:v>
      </x:c>
      <x:c r="C64" s="53" t="str">
        <x:v>Abzan Houses</x:v>
      </x:c>
      <x:c r="D64" s="53" t="n">
        <x:v>0</x:v>
      </x:c>
      <x:c r="E64" s="54" t="b">
        <x:v>0</x:v>
      </x:c>
      <x:c r="F64" s="53" t="str"/>
    </x:row>
    <x:row r="65">
      <x:c r="A65" s="53" t="n">
        <x:v>26</x:v>
      </x:c>
      <x:c r="B65" s="53" t="str">
        <x:v>BANT</x:v>
      </x:c>
      <x:c r="C65" s="53" t="str">
        <x:v>Bant</x:v>
      </x:c>
      <x:c r="D65" s="53" t="n">
        <x:v>0</x:v>
      </x:c>
      <x:c r="E65" s="54" t="b">
        <x:v>0</x:v>
      </x:c>
      <x:c r="F65" s="53" t="str"/>
    </x:row>
    <x:row r="66">
      <x:c r="A66" s="53" t="n">
        <x:v>27</x:v>
      </x:c>
      <x:c r="B66" s="53" t="str">
        <x:v>BG</x:v>
      </x:c>
      <x:c r="C66" s="53" t="str">
        <x:v>Golgari Swarm</x:v>
      </x:c>
      <x:c r="D66" s="53" t="n">
        <x:v>0</x:v>
      </x:c>
      <x:c r="E66" s="54" t="b">
        <x:v>0</x:v>
      </x:c>
      <x:c r="F66" s="53" t="str"/>
    </x:row>
    <x:row r="67">
      <x:c r="A67" s="53" t="n">
        <x:v>28</x:v>
      </x:c>
      <x:c r="B67" s="53" t="str">
        <x:v>ESPER</x:v>
      </x:c>
      <x:c r="C67" s="53" t="str">
        <x:v>Esper</x:v>
      </x:c>
      <x:c r="D67" s="53" t="n">
        <x:v>0</x:v>
      </x:c>
      <x:c r="E67" s="54" t="b">
        <x:v>0</x:v>
      </x:c>
      <x:c r="F67" s="53" t="str"/>
    </x:row>
    <x:row r="68">
      <x:c r="A68" s="53" t="n">
        <x:v>29</x:v>
      </x:c>
      <x:c r="B68" s="53" t="str">
        <x:v>QUANDRIX</x:v>
      </x:c>
      <x:c r="C68" s="53" t="str">
        <x:v>Quandrix College</x:v>
      </x:c>
      <x:c r="D68" s="53" t="n">
        <x:v>0</x:v>
      </x:c>
      <x:c r="E68" s="54" t="b">
        <x:v>0</x:v>
      </x:c>
      <x:c r="F68" s="53" t="str"/>
    </x:row>
    <x:row r="69">
      <x:c r="A69" s="53" t="n">
        <x:v>30</x:v>
      </x:c>
      <x:c r="B69" s="53" t="str">
        <x:v>SULTAI</x:v>
      </x:c>
      <x:c r="C69" s="53" t="str">
        <x:v>Sultai Brood</x:v>
      </x:c>
      <x:c r="D69" s="53" t="n">
        <x:v>0</x:v>
      </x:c>
      <x:c r="E69" s="54" t="b">
        <x:v>0</x:v>
      </x:c>
      <x:c r="F69" s="53" t="str"/>
    </x:row>
    <x:row r="70">
      <x:c r="A70" s="53" t="n">
        <x:v>31</x:v>
      </x:c>
      <x:c r="B70" s="53" t="str">
        <x:v>UG</x:v>
      </x:c>
      <x:c r="C70" s="53" t="str">
        <x:v>Simic Combine</x:v>
      </x:c>
      <x:c r="D70" s="53" t="n">
        <x:v>0</x:v>
      </x:c>
      <x:c r="E70" s="54" t="b">
        <x:v>0</x:v>
      </x:c>
      <x:c r="F70" s="53" t="str"/>
    </x:row>
    <x:row r="71">
      <x:c r="A71" s="53" t="n">
        <x:v>32</x:v>
      </x:c>
      <x:c r="B71" s="53" t="str">
        <x:v>WB</x:v>
      </x:c>
      <x:c r="C71" s="53" t="str">
        <x:v>Orzhov Syndicate</x:v>
      </x:c>
      <x:c r="D71" s="53" t="n">
        <x:v>0</x:v>
      </x:c>
      <x:c r="E71" s="54" t="b">
        <x:v>0</x:v>
      </x:c>
      <x:c r="F71" s="53" t="str"/>
    </x:row>
    <x:row r="72">
      <x:c r="A72" s="53" t="n">
        <x:v>33</x:v>
      </x:c>
      <x:c r="B72" s="53" t="str">
        <x:v>WITCH</x:v>
      </x:c>
      <x:c r="C72" s="53" t="str">
        <x:v>Witch / Growth</x:v>
      </x:c>
      <x:c r="D72" s="53" t="n">
        <x:v>0</x:v>
      </x:c>
      <x:c r="E72" s="54" t="b">
        <x:v>0</x:v>
      </x:c>
      <x:c r="F72" s="53" t="str"/>
    </x:row>
    <x:row r="73">
      <x:c r="A73" s="53" t="n">
        <x:v>34</x:v>
      </x:c>
      <x:c r="B73" s="53" t="str">
        <x:v>WITHERBLOOM</x:v>
      </x:c>
      <x:c r="C73" s="53" t="str">
        <x:v>Witherbloom College</x:v>
      </x:c>
      <x:c r="D73" s="53" t="n">
        <x:v>0</x:v>
      </x:c>
      <x:c r="E73" s="54" t="b">
        <x:v>0</x:v>
      </x:c>
      <x:c r="F73" s="53" t="str"/>
    </x:row>
    <x:row r="74">
      <x:c r="A74" s="53" t="n">
        <x:v>35</x:v>
      </x:c>
      <x:c r="B74" s="53" t="str">
        <x:v>WU</x:v>
      </x:c>
      <x:c r="C74" s="53" t="str">
        <x:v>Azorius Senate</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UR</x:v>
      </x:c>
      <x:c r="C76" s="53" t="str">
        <x:v>Izzet League</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"PRISMARI",
  "faction_name": "Prismari College",
  "institution_type": "college",
  "world": "Strixhaven",
  "identity": {
    "core_color": "U",
    "secondary_colors": [
      "R"
    ],
    "secondary_color": "R",
    "expression_key": "PRISMARI",
    "expression_name": "Prismari College",
    "expression_kind": "college",
    "purity": null,
    "routing": {
      "edhrec_slug": "izzet",
      "mtgdecks_slug": "izzet",
      "label": "Izzet"
    }
  },
  "decree": "Prismari College is the clearest current fit from the approved observations.",
  "confidence": 0.054,
  "confidence_gap": 1,
  "mana_scores": {
    "W": 9,
    "U": 9,
    "B": 9,
    "R": 10,
    "G": 9
  },
  "top_matches": [
    {
      "rank": 1,
      "faction": "PRISMARI",
      "faction_name": "Prismari College",
      "institution_type": "college",
      "world": "Strixhaven",
      "identity": {
        "core_color": "U",
        "secondary_colors": [
          "R"
        ],
        "secondary_color": "R",
        "expression_key": "PRISMARI",
        "expression_name": "Prismari College",
        "expression_kind": "college",
        "purity": null,
        "routing": {
          "edhrec_slug": "izzet",
          "mtgdecks_slug": "izzet",
          "label": "Izzet"
        }
      },
      "score": 1,
      "confidence": 0.054,
      "reason": "Prismari College remained plausible through C04, C10, C11; identity mapping remains a hypothesis."
    }
  ],
  "adjacent_matches": [],
  "internal_candidate_order": [
    {
      "identity": "PRISMARI",
      "score": 1,
      "positive_dependencies": 2,
      "qualification_dependencies": 2,
      "naming_dependencies": 1,
      "positive_constructs": [
        "C04",
        "C07"
      ],
      "satisfied_naming_rule_ids": [
        "baseline_40:b1.crucible.ur.v1.showcase:PRISMARI"
      ],
      "naming_qualification": {
        "identity": "PRISMARI",
        "qualified": true,
        "satisfied_naming_rule_ids": [
          "baseline_40:b1.crucible.ur.v1.showcase:PRISMARI"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"C10",
        "C11"
      ]
    },
    {
      "identity": "BR",
      "score": 0.916667,
      "positive_dependencies": 1,
      "qualification_dependencies": 1,
      "naming_dependencies": 1,
      "positive_constructs": [
        "C07"
      ],
      "satisfied_naming_rule_ids": [
        "instrument_completion_overlay:b1.hall.pressure.v1.burst:BR"
      ],
      "naming_qualification": {
        "identity": "BR",
        "qualified": false,
        "satisfied_naming_rule_ids": [
          "instrument_completion_overlay:b1.hall.pressure.v1.burst:BR"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"NAYA",
      "score": 0.25,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"C10",
        "C11"
      ]
    },
    {
      "identity": "R",
      "score": 0.25,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"C11"
      ]
    },
    {
      "identity": "RG",
      "score": 0.25,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"C10"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"GLINT",
      "score": 0.166667,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"SILVERQUILL",
      "score": 0.166667,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"C11"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"WUBRG",
      "score": 0.083333,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"C10"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x:v>
      </x:c>
    </x:row>
    <x:row r="80">
      <x:c r="A80" s="53" t="str">
        <x:v>Part 2/3</x:v>
      </x:c>
      <x:c r="B80" s="53" t="str">
        <x:v>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-0.479167,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"C04"
      ]
    }
  ],
  "candidate_set": [
    "PRISMARI",
    "BR"
  ],
  "alternatives": [],
  "refinement": {
    "kind": "no_approved_discriminator",
    "can_reduce_ambiguity": false,
    "remaining_candidates": [
      "PRISMARI",
      "BR"
    ],
    "unresolved_boundaries": [],
    "missing_constructs": [
      "C12"
    ],
    "question_id": null,
    "purpose": "none_for_clean_primary",
    "target_identities": [
      "PRISMARI",
      "BR"
    ],
    "target_pair_ids":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"answer_title": "Keep options open",
      "prompt": "Your turn begins, no urgent threat needs an answer, and you have enough mana to act. What feels best?",
      "observation": "Prefers reactive optionality on an open turn.",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"b1.hall.pressure.v1.burst",
      "stage": "hall",
      "construct": "C07",
      "bounded_observation": "Prefers a concentrated exposed payoff during the opening.",
      "signal": "SIG_C07_VISIBLE_BURST",
      "dependency_group": "DG_C07",
      "evidence_class": "BEHAVIORAL_OBSERVATION",
      "affected_identities": [
        "BR",
        "PRISMARI"
      ],
      "positive_support": [
        "BR",
        "PRISMARI"
      ],
      "contradiction": [],
      "neutral": false,
      "mapping_strength": 1,
      "naming_evidence": true,
      "qualification_eligible": true,
      "qualification_support": [
        "BR",
        "PRISMARI"
      ],
      "naming_support": [
        "BR"
      ],
      "naming_rule_ids_by_identity": {
        "BR": [
          "instrument_completion_overlay:b1.hall.pressure.v1.burst:BR"
        ]
      },
      "mapping_role": "completion_boundary_direction",
      "mapping_status": "REMEDIATION_MAPPING_HYPOTHESIS",
      "mapping_provenance": "docs/plans/vm551-gate-b1-instrument-completion/instrument-change-adjudication.tsv#b1.hall.pressure.v1.burst;docs/audits/vm555-b1-identity-evidence-gap-bridge/identity-evidence-gap-matrix.tsv",
      "evidence_provenance": "E-VM555;E-CERTIFIED;E-CECOS;E-PLAYER-LANGUAGE",
      "limitation": "Combo and efficient decks may also concentrate resources into one turn for unrelated reasons.",
      "behavioral_vs_lens": "behavioral",
      "answer_title": "Make one visible turn count",
      "prompt": "The player ahead uses all their mana and leaves one turn where the table can take control. Which kind of pressure do you want your deck to create?",
      "observation": "Prefers a concentrated exposed payoff during the opening.",
      "deltas": [
        {
          "faction": "BR",
          "delta": 1
        },
        {
          "faction": "PRISMARI",
          "delta": 1
        }
      ]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"answer_title": "Stay useful without leading",
      "prompt": "If your board becomes the clearest threat, how do you want the deck to handle that attention?",
      "observation": "Prefers lower visible threat.",
      "deltas": []
    },
    {
      "question_id": "b1.hall.theme.v1",
      "answer_id": "b1.hall.theme.v1.reliable",
      "stage": "hall",
      "construct": "C10",
      "bounded_observation": "Prefers role reliability over theme.",
      "signal": "SIG_C10_EFFICIENCY_FIRST",
      "dependency_group": "DG_C10",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"E-PLAYER-THEME;E-PLAYER-COMMANDER;E-PLAYER-PACE;E-CECOS;E-VOICE",
      "evidence_provenance": "E-PLAYER-THEME;E-PLAYER-COMMANDER;E-PLAYER-PACE;E-CECOS;E-VOICE",
      "limitation": "Theme is an explanatory deckbuilding layer only; the observation cannot name or exclude an identity.",
      "behavioral_vs_lens": "behavioral",
      "answer_title": "Keep the reliable card",
      "prompt": "For one deck slot, assume you can’t get both: one card fits your theme better, while another does the same job more reliably. Which do you keep?",
      "observation": "Prefers role reliability over theme.",
      "deltas": []
    },
    {
      "question_id": "b1.crucible.ur.v1",
      "answer_id": "b1.crucible.ur.v1.showcase",
      "stage": "crucible",
      "construct": "C04",
      "bounded_observation": "Prefers concentrated expressive payoff.",
      "signal": "SIG_C04_CONCENTRATED",
      "dependency_group": "DG_C04",
      "evidence_class": "BEHAVIORAL_OBSERVATION",
      "affected_identities": [
        "PRISMARI",
        "UR"
      ],
      "positive_support": [
        "PRISMARI"
      ],
      "contradiction": [
        "UR"
      ],
      "neutral": false,
      "mapping_strength": 1,
      "naming_evidence": true,
      "qualification_eligible": true,
      "qualification_support": [
        "PRISMARI"
      ],
      "naming_support": [
        "PRISMARI"
      ],
      "naming_rule_ids_by_identity": {
        "PRISMARI": [
          "baseline_40:b1.crucible.ur.v1.showcase:PRISMARI"
        ]
      },
      "mapping_role": "exact_pair_direction",
      "mapping_status": "MAPPING_HYPOTHESIS",
      "mapping_provenance": "answer-semantic-adjudication.tsv UR vs PRISMARI evidence-required hypothesis",
      "evidence_provenance": "E-CERTIFIED;E-PLAYER-THEME;E-PLAYER-PACE;E-AUDIT;E-CECOS;E-VOICE",
      "limitation": "Use only after prior independent observations leave the stated competitor boundary plausible; the identity association requires player validation.",
      "behavioral_vs_lens": "behavioral",
      "answer_title": "Build toward the showcase",
      "prompt": "Your spell-heavy deck has mana for a major turn. Which payoff sounds more like the plan?",
      "observation": "Prefers concentrated expressive payoff.",
      "deltas": [
        {
          "faction": "PRISMARI",
          "delta": 1
        },
        {
          "faction": "UR",
          "delta": -1
        }
      ]
    }
  ],
  "evidence_ledger":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"b1.hall.pressure.v1.burst",
      "stage": "hall",
      "construct": "C07",
      "bounded_observation": "Prefers a concentrated exposed payoff during the opening.",
      "signal": "SIG_C07_VISIBLE_BURST",
      "dependency_group": "DG_C07",
      "evidence_class": "BEHAVIORAL_OBSERVATION",
      "affected_identities": [
        "BR",
        "PRISMARI"
      ],
      "positive_support": [
        "BR",
        "PRISMARI"
      ],
      "contradiction": [],
      "neutral": false,
      "mapping_strength": 1,
      "naming_evidence": true,
      "qualification_eligible": true,
      "qualification_support": [
        "BR",
        "PRISMARI"
      ],
      "naming_support": [
        </x:v>
      </x:c>
    </x:row>
    <x:row r="81">
      <x:c r="A81" s="53" t="str">
        <x:v>Part 3/3</x:v>
      </x:c>
      <x:c r="B81" s="53" t="str">
        <x:v>"BR"
      ],
      "naming_rule_ids_by_identity": {
        "BR": [
          "instrument_completion_overlay:b1.hall.pressure.v1.burst:BR"
        ]
      },
      "mapping_role": "completion_boundary_direction",
      "mapping_status": "REMEDIATION_MAPPING_HYPOTHESIS",
      "mapping_provenance": "docs/plans/vm551-gate-b1-instrument-completion/instrument-change-adjudication.tsv#b1.hall.pressure.v1.burst;docs/audits/vm555-b1-identity-evidence-gap-bridge/identity-evidence-gap-matrix.tsv",
      "evidence_provenance": "E-VM555;E-CERTIFIED;E-CECOS;E-PLAYER-LANGUAGE",
      "limitation": "Combo and efficient decks may also concentrate resources into one turn for unrelated reasons.",
      "behavioral_vs_lens": "behavioral"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
    {
      "question_id": "b1.hall.theme.v1",
      "answer_id": "b1.hall.theme.v1.reliable",
      "stage": "hall",
      "construct": "C10",
      "bounded_observation": "Prefers role reliability over theme.",
      "signal": "SIG_C10_EFFICIENCY_FIRST",
      "dependency_group": "DG_C10",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"E-PLAYER-THEME;E-PLAYER-COMMANDER;E-PLAYER-PACE;E-CECOS;E-VOICE",
      "evidence_provenance": "E-PLAYER-THEME;E-PLAYER-COMMANDER;E-PLAYER-PACE;E-CECOS;E-VOICE",
      "limitation": "Theme is an explanatory deckbuilding layer only; the observation cannot name or exclude an identity.",
      "behavioral_vs_lens": "behavioral"
    },
    {
      "question_id": "b1.crucible.ur.v1",
      "answer_id": "b1.crucible.ur.v1.showcase",
      "stage": "crucible",
      "construct": "C04",
      "bounded_observation": "Prefers concentrated expressive payoff.",
      "signal": "SIG_C04_CONCENTRATED",
      "dependency_group": "DG_C04",
      "evidence_class": "BEHAVIORAL_OBSERVATION",
      "affected_identities": [
        "PRISMARI",
        "UR"
      ],
      "positive_support": [
        "PRISMARI"
      ],
      "contradiction": [
        "UR"
      ],
      "neutral": false,
      "mapping_strength": 1,
      "naming_evidence": true,
      "qualification_eligible": true,
      "qualification_support": [
        "PRISMARI"
      ],
      "naming_support": [
        "PRISMARI"
      ],
      "naming_rule_ids_by_identity": {
        "PRISMARI": [
          "baseline_40:b1.crucible.ur.v1.showcase:PRISMARI"
        ]
      },
      "mapping_role": "exact_pair_direction",
      "mapping_status": "MAPPING_HYPOTHESIS",
      "mapping_provenance": "answer-semantic-adjudication.tsv UR vs PRISMARI evidence-required hypothesis",
      "evidence_provenance": "E-CERTIFIED;E-PLAYER-THEME;E-PLAYER-PACE;E-AUDIT;E-CECOS;E-VOICE",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"b1.gate.initiative.v1.respond",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"b1.hall.pressure.v1.burst",
      "stage": "hall",
      "evidence_class": "BEHAVIORAL_OBSERVATION"
    },
    {
      "question_id": "b1.hall.threat.v1",
      "answer_id": "b1.hall.threat.v1.avoid",
      "stage": "hall",
      "evidence_class": "BEHAVIORAL_OBSERVATION"
    },
    {
      "question_id": "b1.hall.theme.v1",
      "answer_id": "b1.hall.theme.v1.reliable",
      "stage": "hall",
      "evidence_class": "BEHAVIORAL_OBSERVATION"
    },
    {
      "question_id": "b1.crucible.ur.v1",
      "answer_id": "b1.crucible.ur.v1.showcase",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Quandrix College — Engine Trace</x:v>
      </x:c>
      <x:c r="B1" s="3"/>
      <x:c r="C1" s="3"/>
      <x:c r="D1" s="3"/>
      <x:c r="E1" s="3"/>
      <x:c r="F1" s="3"/>
      <x:c r="G1" s="3"/>
      <x:c r="H1" s="3"/>
      <x:c r="I1" s="3"/>
      <x:c r="J1" s="3"/>
      <x:c r="K1" s="3"/>
      <x:c r="L1" s="3"/>
      <x:c r="M1" s="3"/>
      <x:c r="N1" s="3"/>
      <x:c r="O1" s="3"/>
      <x:c r="P1" s="3"/>
      <x:c r="Q1" s="3"/>
      <x:c r="R1" s="3"/>
      <x:c r="S1" s="3"/>
      <x:c r="T1" s="3"/>
    </x:row>
    <x:row r="2" ht="30" customHeight="1">
      <x:c r="A2" s="7" t="str">
        <x:v>ENGINE-QUANDRIX • PASS_MATCH • primary • trace 418cb3e641647cca8371d2f7220496f6c6038a12bee917b4dcc4428c58eb6e61</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QUANDRIX</x:v>
      </x:c>
    </x:row>
    <x:row r="6">
      <x:c r="A6" s="53" t="str">
        <x:v>Expected public contract</x:v>
      </x:c>
      <x:c r="B6" s="53" t="str">
        <x:v>NAMED_DOSSIER</x:v>
      </x:c>
    </x:row>
    <x:row r="7">
      <x:c r="A7" s="53" t="str">
        <x:v>Witness status</x:v>
      </x:c>
      <x:c r="B7" s="53" t="str">
        <x:v>CURRENT_COMPATIBLE</x:v>
      </x:c>
    </x:row>
    <x:row r="8">
      <x:c r="A8" s="53" t="str">
        <x:v>Actual result</x:v>
      </x:c>
      <x:c r="B8" s="53" t="str">
        <x:v>QUANDRIX</x:v>
      </x:c>
    </x:row>
    <x:row r="9">
      <x:c r="A9" s="53" t="str">
        <x:v>Directional result</x:v>
      </x:c>
      <x:c r="B9" s="53" t="str">
        <x:v>QUANDRIX</x:v>
      </x:c>
    </x:row>
    <x:row r="10">
      <x:c r="A10" s="53" t="str">
        <x:v>Public state</x:v>
      </x:c>
      <x:c r="B10" s="53" t="str">
        <x:v>current-best-fit</x:v>
      </x:c>
    </x:row>
    <x:row r="11">
      <x:c r="A11" s="53" t="str">
        <x:v>Raw numeric leader</x:v>
      </x:c>
      <x:c r="B11" s="53" t="str">
        <x:v>QUANDRIX</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QUANDRIX</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outputs/01a02cd6-bce7-7832-9558-3075c52f146a/archscry-current-state-2026-08-22/evidence/engine/traces/quandrix.json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b1.gate.initiative.v1.respond</x:v>
      </x:c>
      <x:c r="G29" s="53" t="str">
        <x:v>Keep options open</x:v>
      </x:c>
      <x:c r="H29" s="53" t="str">
        <x:v>C01</x:v>
      </x:c>
      <x:c r="I29" s="53" t="str">
        <x:v>SIG_C01_REACTIVE</x:v>
      </x:c>
      <x:c r="J29" s="53" t="str">
        <x:v>DG_C01</x:v>
      </x:c>
      <x:c r="K29" s="53" t="str">
        <x:v>BEHAVIORAL_OBSERVATION</x:v>
      </x:c>
      <x:c r="L29" s="53" t="str"/>
      <x:c r="M29" s="53" t="str"/>
      <x:c r="N29" s="53" t="n">
        <x:v>0</x:v>
      </x:c>
      <x:c r="O29" s="54" t="b">
        <x:v>0</x:v>
      </x:c>
      <x:c r="P29" s="53" t="str">
        <x:v>OBSERVATION_ONLY</x:v>
      </x:c>
      <x:c r="Q29" s="53" t="str">
        <x:v>Prefers reactive optionality on an open turn.</x:v>
      </x:c>
      <x:c r="R29" s="53" t="str">
        <x:v>Initiative posture may vary across calm, behind, and disrupted contexts; every C01 response shares DG_C01 and cannot stack.</x:v>
      </x:c>
      <x:c r="S29" s="53" t="str">
        <x:v>GLINT</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GLINT</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GLINT</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GLINT</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COLORLESS</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b1.hall.engine-shape.v1.overlap</x:v>
      </x:c>
      <x:c r="G34" s="53" t="str">
        <x:v>Let smaller engines overlap</x:v>
      </x:c>
      <x:c r="H34" s="53" t="str">
        <x:v>C06</x:v>
      </x:c>
      <x:c r="I34" s="53" t="str">
        <x:v>SIG_C06_MODULAR</x:v>
      </x:c>
      <x:c r="J34" s="53" t="str">
        <x:v>DG_C06</x:v>
      </x:c>
      <x:c r="K34" s="53" t="str">
        <x:v>BEHAVIORAL_OBSERVATION</x:v>
      </x:c>
      <x:c r="L34" s="53" t="str">
        <x:v>BG | UR | WITHERBLOOM</x:v>
      </x:c>
      <x:c r="M34" s="53" t="str"/>
      <x:c r="N34" s="53" t="n">
        <x:v>0.5</x:v>
      </x:c>
      <x:c r="O34" s="54" t="b">
        <x:v>0</x:v>
      </x:c>
      <x:c r="P34" s="53" t="str">
        <x:v>REMEDIATION_MAPPING_HYPOTHESIS</x:v>
      </x:c>
      <x:c r="Q34" s="53" t="str">
        <x:v>Prefers modular engines whose functions overlap.</x:v>
      </x:c>
      <x:c r="R34" s="53" t="str">
        <x:v>Overlapping packages may be required by singleton deck construction.</x:v>
      </x:c>
      <x:c r="S34" s="53" t="str">
        <x:v>UR</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b1.hall.setup.v1.long</x:v>
      </x:c>
      <x:c r="G35" s="53" t="str">
        <x:v>Protect the long pattern</x:v>
      </x:c>
      <x:c r="H35" s="53" t="str">
        <x:v>C14</x:v>
      </x:c>
      <x:c r="I35" s="53" t="str">
        <x:v>SIG_C14_LONG_SETUP</x:v>
      </x:c>
      <x:c r="J35" s="53" t="str">
        <x:v>DG_C14</x:v>
      </x:c>
      <x:c r="K35" s="53" t="str">
        <x:v>BEHAVIORAL_OBSERVATION</x:v>
      </x:c>
      <x:c r="L35" s="53" t="str">
        <x:v>QUANDRIX | WITCH</x:v>
      </x:c>
      <x:c r="M35" s="53" t="str"/>
      <x:c r="N35" s="53" t="n">
        <x:v>0.5</x:v>
      </x:c>
      <x:c r="O35" s="54" t="b">
        <x:v>0</x:v>
      </x:c>
      <x:c r="P35" s="53" t="str">
        <x:v>REMEDIATION_MAPPING_HYPOTHESIS</x:v>
      </x:c>
      <x:c r="Q35" s="53" t="str">
        <x:v>Accepts concentrated long development before the main payoff.</x:v>
      </x:c>
      <x:c r="R35" s="53" t="str">
        <x:v>Budget, card speed, and table power can force a longer horizon.</x:v>
      </x:c>
      <x:c r="S35" s="53" t="str">
        <x:v>QUANDRIX</x:v>
      </x:c>
      <x:c r="T35" s="53" t="str">
        <x:v>incomplete / useful_evidence_remains / b1.crucible.ug.v1</x:v>
      </x:c>
    </x:row>
    <x:row r="36">
      <x:c r="A36" s="53" t="n">
        <x:v>8</x:v>
      </x:c>
      <x:c r="B36" s="53" t="str">
        <x:v>main</x:v>
      </x:c>
      <x:c r="C36" s="53" t="str">
        <x:v>crucible</x:v>
      </x:c>
      <x:c r="D36" s="53" t="str">
        <x:v>b1.crucible.ug.v1</x:v>
      </x:c>
      <x:c r="E36" s="53" t="str">
        <x:v>When building an engine, which structure fits your deck?</x:v>
      </x:c>
      <x:c r="F36" s="53" t="str">
        <x:v>b1.crucible.ug.v1.scale</x:v>
      </x:c>
      <x:c r="G36" s="53" t="str">
        <x:v>One central engine</x:v>
      </x:c>
      <x:c r="H36" s="53" t="str">
        <x:v>C06</x:v>
      </x:c>
      <x:c r="I36" s="53" t="str">
        <x:v>SIG_C06_CENTRAL</x:v>
      </x:c>
      <x:c r="J36" s="53" t="str">
        <x:v>DG_C06</x:v>
      </x:c>
      <x:c r="K36" s="53" t="str">
        <x:v>BEHAVIORAL_OBSERVATION</x:v>
      </x:c>
      <x:c r="L36" s="53" t="str">
        <x:v>QUANDRIX</x:v>
      </x:c>
      <x:c r="M36" s="53" t="str">
        <x:v>UG</x:v>
      </x:c>
      <x:c r="N36" s="53" t="n">
        <x:v>1</x:v>
      </x:c>
      <x:c r="O36" s="54" t="b">
        <x:v>1</x:v>
      </x:c>
      <x:c r="P36" s="53" t="str">
        <x:v>MAPPING_HYPOTHESIS</x:v>
      </x:c>
      <x:c r="Q36" s="53" t="str">
        <x:v>Accepts a concentrated central engine.</x:v>
      </x:c>
      <x:c r="R36" s="53" t="str">
        <x:v>Use only after prior independent observations leave the stated competitor boundary plausible; the identity association requires player validation.</x:v>
      </x:c>
      <x:c r="S36" s="53" t="str">
        <x:v>QUANDRIX</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QUANDRIX</x:v>
      </x:c>
      <x:c r="C40" s="53" t="str">
        <x:v>Quandrix College</x:v>
      </x:c>
      <x:c r="D40" s="53" t="n">
        <x:v>0.729167</x:v>
      </x:c>
      <x:c r="E40" s="54" t="b">
        <x:v>1</x:v>
      </x:c>
      <x:c r="F40" s="53" t="str">
        <x:v>C06 | C14</x:v>
      </x:c>
    </x:row>
    <x:row r="41">
      <x:c r="A41" s="53" t="n">
        <x:v>2</x:v>
      </x:c>
      <x:c r="B41" s="53" t="str">
        <x:v>WITCH</x:v>
      </x:c>
      <x:c r="C41" s="53" t="str">
        <x:v>Witch / Growth</x:v>
      </x:c>
      <x:c r="D41" s="53" t="n">
        <x:v>0.541667</x:v>
      </x:c>
      <x:c r="E41" s="54" t="b">
        <x:v>0</x:v>
      </x:c>
      <x:c r="F41" s="53" t="str">
        <x:v>C14</x:v>
      </x:c>
    </x:row>
    <x:row r="42">
      <x:c r="A42" s="53" t="n">
        <x:v>3</x:v>
      </x:c>
      <x:c r="B42" s="53" t="str">
        <x:v>WITHERBLOOM</x:v>
      </x:c>
      <x:c r="C42" s="53" t="str">
        <x:v>Witherbloom College</x:v>
      </x:c>
      <x:c r="D42" s="53" t="n">
        <x:v>0.541667</x:v>
      </x:c>
      <x:c r="E42" s="54" t="b">
        <x:v>0</x:v>
      </x:c>
      <x:c r="F42" s="53" t="str">
        <x:v>C06</x:v>
      </x:c>
    </x:row>
    <x:row r="43">
      <x:c r="A43" s="53" t="n">
        <x:v>4</x:v>
      </x:c>
      <x:c r="B43" s="53" t="str">
        <x:v>UR</x:v>
      </x:c>
      <x:c r="C43" s="53" t="str">
        <x:v>Izzet League</x:v>
      </x:c>
      <x:c r="D43" s="53" t="n">
        <x:v>0.458333</x:v>
      </x:c>
      <x:c r="E43" s="54" t="b">
        <x:v>0</x:v>
      </x:c>
      <x:c r="F43" s="53" t="str">
        <x:v>C06 | C07</x:v>
      </x:c>
    </x:row>
    <x:row r="44">
      <x:c r="A44" s="53" t="n">
        <x:v>5</x:v>
      </x:c>
      <x:c r="B44" s="53" t="str">
        <x:v>BG</x:v>
      </x:c>
      <x:c r="C44" s="53" t="str">
        <x:v>Golgari Swarm</x:v>
      </x:c>
      <x:c r="D44" s="53" t="n">
        <x:v>0.458333</x:v>
      </x:c>
      <x:c r="E44" s="54" t="b">
        <x:v>0</x:v>
      </x:c>
      <x:c r="F44" s="53" t="str">
        <x:v>C06</x:v>
      </x:c>
    </x:row>
    <x:row r="45">
      <x:c r="A45" s="53" t="n">
        <x:v>6</x:v>
      </x:c>
      <x:c r="B45" s="53" t="str">
        <x:v>COLORLESS</x:v>
      </x:c>
      <x:c r="C45" s="53" t="str">
        <x:v>Colorless</x:v>
      </x:c>
      <x:c r="D45" s="53" t="n">
        <x:v>0.458333</x:v>
      </x:c>
      <x:c r="E45" s="54" t="b">
        <x:v>0</x:v>
      </x:c>
      <x:c r="F45" s="53" t="str">
        <x:v>C07</x:v>
      </x:c>
    </x:row>
    <x:row r="46">
      <x:c r="A46" s="53" t="n">
        <x:v>7</x:v>
      </x:c>
      <x:c r="B46" s="53" t="str">
        <x:v>TEMUR</x:v>
      </x:c>
      <x:c r="C46" s="53" t="str">
        <x:v>Temur Frontier</x:v>
      </x:c>
      <x:c r="D46" s="53" t="n">
        <x:v>0.25</x:v>
      </x:c>
      <x:c r="E46" s="54" t="b">
        <x:v>0</x:v>
      </x:c>
      <x:c r="F46" s="53" t="str"/>
    </x:row>
    <x:row r="47">
      <x:c r="A47" s="53" t="n">
        <x:v>8</x:v>
      </x:c>
      <x:c r="B47" s="53" t="str">
        <x:v>JUND</x:v>
      </x:c>
      <x:c r="C47" s="53" t="str">
        <x:v>Jund</x:v>
      </x:c>
      <x:c r="D47" s="53" t="n">
        <x:v>0.166667</x:v>
      </x:c>
      <x:c r="E47" s="54" t="b">
        <x:v>0</x:v>
      </x:c>
      <x:c r="F47" s="53" t="str"/>
    </x:row>
    <x:row r="48">
      <x:c r="A48" s="53" t="n">
        <x:v>9</x:v>
      </x:c>
      <x:c r="B48" s="53" t="str">
        <x:v>MARDU</x:v>
      </x:c>
      <x:c r="C48" s="53" t="str">
        <x:v>Mardu Horde</x:v>
      </x:c>
      <x:c r="D48" s="53" t="n">
        <x:v>0.166667</x:v>
      </x:c>
      <x:c r="E48" s="54" t="b">
        <x:v>0</x:v>
      </x:c>
      <x:c r="F48" s="53" t="str"/>
    </x:row>
    <x:row r="49">
      <x:c r="A49" s="53" t="n">
        <x:v>10</x:v>
      </x:c>
      <x:c r="B49" s="53" t="str">
        <x:v>RG</x:v>
      </x:c>
      <x:c r="C49" s="53" t="str">
        <x:v>Gruul Clans</x:v>
      </x:c>
      <x:c r="D49" s="53" t="n">
        <x:v>0.166667</x:v>
      </x:c>
      <x:c r="E49" s="54" t="b">
        <x:v>0</x:v>
      </x:c>
      <x:c r="F49" s="53" t="str"/>
    </x:row>
    <x:row r="50">
      <x:c r="A50" s="53" t="n">
        <x:v>11</x:v>
      </x:c>
      <x:c r="B50" s="53" t="str">
        <x:v>SULTAI</x:v>
      </x:c>
      <x:c r="C50" s="53" t="str">
        <x:v>Sultai Brood</x:v>
      </x:c>
      <x:c r="D50" s="53" t="n">
        <x:v>0.166667</x:v>
      </x:c>
      <x:c r="E50" s="54" t="b">
        <x:v>0</x:v>
      </x:c>
      <x:c r="F50" s="53" t="str"/>
    </x:row>
    <x:row r="51">
      <x:c r="A51" s="53" t="n">
        <x:v>12</x:v>
      </x:c>
      <x:c r="B51" s="53" t="str">
        <x:v>WR</x:v>
      </x:c>
      <x:c r="C51" s="53" t="str">
        <x:v>Boros Legion</x:v>
      </x:c>
      <x:c r="D51" s="53" t="n">
        <x:v>0.166667</x:v>
      </x:c>
      <x:c r="E51" s="54" t="b">
        <x:v>0</x:v>
      </x:c>
      <x:c r="F51" s="53" t="str"/>
    </x:row>
    <x:row r="52">
      <x:c r="A52" s="53" t="n">
        <x:v>13</x:v>
      </x:c>
      <x:c r="B52" s="53" t="str">
        <x:v>U</x:v>
      </x:c>
      <x:c r="C52" s="53" t="str">
        <x:v>Blue</x:v>
      </x:c>
      <x:c r="D52" s="53" t="n">
        <x:v>0.125</x:v>
      </x:c>
      <x:c r="E52" s="54" t="b">
        <x:v>0</x:v>
      </x:c>
      <x:c r="F52" s="53" t="str"/>
    </x:row>
    <x:row r="53">
      <x:c r="A53" s="53" t="n">
        <x:v>14</x:v>
      </x:c>
      <x:c r="B53" s="53" t="str">
        <x:v>ABZAN</x:v>
      </x:c>
      <x:c r="C53" s="53" t="str">
        <x:v>Abzan Houses</x:v>
      </x:c>
      <x:c r="D53" s="53" t="n">
        <x:v>0.083333</x:v>
      </x:c>
      <x:c r="E53" s="54" t="b">
        <x:v>0</x:v>
      </x:c>
      <x:c r="F53" s="53" t="str"/>
    </x:row>
    <x:row r="54">
      <x:c r="A54" s="53" t="n">
        <x:v>15</x:v>
      </x:c>
      <x:c r="B54" s="53" t="str">
        <x:v>DUNE</x:v>
      </x:c>
      <x:c r="C54" s="53" t="str">
        <x:v>Dune / Aggression</x:v>
      </x:c>
      <x:c r="D54" s="53" t="n">
        <x:v>0.083333</x:v>
      </x:c>
      <x:c r="E54" s="54" t="b">
        <x:v>0</x:v>
      </x:c>
      <x:c r="F54" s="53" t="str"/>
    </x:row>
    <x:row r="55">
      <x:c r="A55" s="53" t="n">
        <x:v>16</x:v>
      </x:c>
      <x:c r="B55" s="53" t="str">
        <x:v>G</x:v>
      </x:c>
      <x:c r="C55" s="53" t="str">
        <x:v>Green</x:v>
      </x:c>
      <x:c r="D55" s="53" t="n">
        <x:v>0.083333</x:v>
      </x:c>
      <x:c r="E55" s="54" t="b">
        <x:v>0</x:v>
      </x:c>
      <x:c r="F55" s="53" t="str"/>
    </x:row>
    <x:row r="56">
      <x:c r="A56" s="53" t="n">
        <x:v>17</x:v>
      </x:c>
      <x:c r="B56" s="53" t="str">
        <x:v>GLINT</x:v>
      </x:c>
      <x:c r="C56" s="53" t="str">
        <x:v>Glint / Chaos</x:v>
      </x:c>
      <x:c r="D56" s="53" t="n">
        <x:v>0.083333</x:v>
      </x:c>
      <x:c r="E56" s="54" t="b">
        <x:v>0</x:v>
      </x:c>
      <x:c r="F56" s="53" t="str"/>
    </x:row>
    <x:row r="57">
      <x:c r="A57" s="53" t="n">
        <x:v>18</x:v>
      </x:c>
      <x:c r="B57" s="53" t="str">
        <x:v>LOREHOLD</x:v>
      </x:c>
      <x:c r="C57" s="53" t="str">
        <x:v>Lorehold College</x:v>
      </x:c>
      <x:c r="D57" s="53" t="n">
        <x:v>0.083333</x:v>
      </x:c>
      <x:c r="E57" s="54" t="b">
        <x:v>0</x:v>
      </x:c>
      <x:c r="F57" s="53" t="str"/>
    </x:row>
    <x:row r="58">
      <x:c r="A58" s="53" t="n">
        <x:v>19</x:v>
      </x:c>
      <x:c r="B58" s="53" t="str">
        <x:v>NAYA</x:v>
      </x:c>
      <x:c r="C58" s="53" t="str">
        <x:v>Naya</x:v>
      </x:c>
      <x:c r="D58" s="53" t="n">
        <x:v>0.083333</x:v>
      </x:c>
      <x:c r="E58" s="54" t="b">
        <x:v>0</x:v>
      </x:c>
      <x:c r="F58" s="53" t="str"/>
    </x:row>
    <x:row r="59">
      <x:c r="A59" s="53" t="n">
        <x:v>20</x:v>
      </x:c>
      <x:c r="B59" s="53" t="str">
        <x:v>R</x:v>
      </x:c>
      <x:c r="C59" s="53" t="str">
        <x:v>Red</x:v>
      </x:c>
      <x:c r="D59" s="53" t="n">
        <x:v>0.083333</x:v>
      </x:c>
      <x:c r="E59" s="54" t="b">
        <x:v>0</x:v>
      </x:c>
      <x:c r="F59" s="53" t="str"/>
    </x:row>
    <x:row r="60">
      <x:c r="A60" s="53" t="n">
        <x:v>21</x:v>
      </x:c>
      <x:c r="B60" s="53" t="str">
        <x:v>W</x:v>
      </x:c>
      <x:c r="C60" s="53" t="str">
        <x:v>White</x:v>
      </x:c>
      <x:c r="D60" s="53" t="n">
        <x:v>0.083333</x:v>
      </x:c>
      <x:c r="E60" s="54" t="b">
        <x:v>0</x:v>
      </x:c>
      <x:c r="F60" s="53" t="str"/>
    </x:row>
    <x:row r="61">
      <x:c r="A61" s="53" t="n">
        <x:v>22</x:v>
      </x:c>
      <x:c r="B61" s="53" t="str">
        <x:v>YORE</x:v>
      </x:c>
      <x:c r="C61" s="53" t="str">
        <x:v>Yore / Artifice</x:v>
      </x:c>
      <x:c r="D61" s="53" t="n">
        <x:v>0.083333</x:v>
      </x:c>
      <x:c r="E61" s="54" t="b">
        <x:v>0</x:v>
      </x:c>
      <x:c r="F61" s="53" t="str"/>
    </x:row>
    <x:row r="62">
      <x:c r="A62" s="53" t="n">
        <x:v>23</x:v>
      </x:c>
      <x:c r="B62" s="53" t="str">
        <x:v>ESPER</x:v>
      </x:c>
      <x:c r="C62" s="53" t="str">
        <x:v>Esper</x:v>
      </x:c>
      <x:c r="D62" s="53" t="n">
        <x:v>0.0625</x:v>
      </x:c>
      <x:c r="E62" s="54" t="b">
        <x:v>0</x:v>
      </x:c>
      <x:c r="F62" s="53" t="str"/>
    </x:row>
    <x:row r="63">
      <x:c r="A63" s="53" t="n">
        <x:v>24</x:v>
      </x:c>
      <x:c r="B63" s="53" t="str">
        <x:v>GRIXIS</x:v>
      </x:c>
      <x:c r="C63" s="53" t="str">
        <x:v>Grixis</x:v>
      </x:c>
      <x:c r="D63" s="53" t="n">
        <x:v>0.0625</x:v>
      </x:c>
      <x:c r="E63" s="54" t="b">
        <x:v>0</x:v>
      </x:c>
      <x:c r="F63" s="53" t="str"/>
    </x:row>
    <x:row r="64">
      <x:c r="A64" s="53" t="n">
        <x:v>25</x:v>
      </x:c>
      <x:c r="B64" s="53" t="str">
        <x:v>JESKAI</x:v>
      </x:c>
      <x:c r="C64" s="53" t="str">
        <x:v>Jeskai Way</x:v>
      </x:c>
      <x:c r="D64" s="53" t="n">
        <x:v>0.0625</x:v>
      </x:c>
      <x:c r="E64" s="54" t="b">
        <x:v>0</x:v>
      </x:c>
      <x:c r="F64" s="53" t="str"/>
    </x:row>
    <x:row r="65">
      <x:c r="A65" s="53" t="n">
        <x:v>26</x:v>
      </x:c>
      <x:c r="B65" s="53" t="str">
        <x:v>B</x:v>
      </x:c>
      <x:c r="C65" s="53" t="str">
        <x:v>Black</x:v>
      </x:c>
      <x:c r="D65" s="53" t="n">
        <x:v>0</x:v>
      </x:c>
      <x:c r="E65" s="54" t="b">
        <x:v>0</x:v>
      </x:c>
      <x:c r="F65" s="53" t="str"/>
    </x:row>
    <x:row r="66">
      <x:c r="A66" s="53" t="n">
        <x:v>27</x:v>
      </x:c>
      <x:c r="B66" s="53" t="str">
        <x:v>BANT</x:v>
      </x:c>
      <x:c r="C66" s="53" t="str">
        <x:v>Bant</x:v>
      </x:c>
      <x:c r="D66" s="53" t="n">
        <x:v>0</x:v>
      </x:c>
      <x:c r="E66" s="54" t="b">
        <x:v>0</x:v>
      </x:c>
      <x:c r="F66" s="53" t="str"/>
    </x:row>
    <x:row r="67">
      <x:c r="A67" s="53" t="n">
        <x:v>28</x:v>
      </x:c>
      <x:c r="B67" s="53" t="str">
        <x:v>BR</x:v>
      </x:c>
      <x:c r="C67" s="53" t="str">
        <x:v>Cult of Rakdos</x:v>
      </x:c>
      <x:c r="D67" s="53" t="n">
        <x:v>0</x:v>
      </x:c>
      <x:c r="E67" s="54" t="b">
        <x:v>0</x:v>
      </x:c>
      <x:c r="F67" s="53" t="str"/>
    </x:row>
    <x:row r="68">
      <x:c r="A68" s="53" t="n">
        <x:v>29</x:v>
      </x:c>
      <x:c r="B68" s="53" t="str">
        <x:v>INK</x:v>
      </x:c>
      <x:c r="C68" s="53" t="str">
        <x:v>Ink / Altruism</x:v>
      </x:c>
      <x:c r="D68" s="53" t="n">
        <x:v>0</x:v>
      </x:c>
      <x:c r="E68" s="54" t="b">
        <x:v>0</x:v>
      </x:c>
      <x:c r="F68" s="53" t="str"/>
    </x:row>
    <x:row r="69">
      <x:c r="A69" s="53" t="n">
        <x:v>30</x:v>
      </x:c>
      <x:c r="B69" s="53" t="str">
        <x:v>PRISMARI</x:v>
      </x:c>
      <x:c r="C69" s="53" t="str">
        <x:v>Prismari College</x:v>
      </x:c>
      <x:c r="D69" s="53" t="n">
        <x:v>0</x:v>
      </x:c>
      <x:c r="E69" s="54" t="b">
        <x:v>0</x:v>
      </x:c>
      <x:c r="F69" s="53" t="str"/>
    </x:row>
    <x:row r="70">
      <x:c r="A70" s="53" t="n">
        <x:v>31</x:v>
      </x:c>
      <x:c r="B70" s="53" t="str">
        <x:v>SILVERQUILL</x:v>
      </x:c>
      <x:c r="C70" s="53" t="str">
        <x:v>Silverquill College</x:v>
      </x:c>
      <x:c r="D70" s="53" t="n">
        <x:v>0</x:v>
      </x:c>
      <x:c r="E70" s="54" t="b">
        <x:v>0</x:v>
      </x:c>
      <x:c r="F70" s="53" t="str"/>
    </x:row>
    <x:row r="71">
      <x:c r="A71" s="53" t="n">
        <x:v>32</x:v>
      </x:c>
      <x:c r="B71" s="53" t="str">
        <x:v>UB</x:v>
      </x:c>
      <x:c r="C71" s="53" t="str">
        <x:v>House Dimir</x:v>
      </x:c>
      <x:c r="D71" s="53" t="n">
        <x:v>0</x:v>
      </x:c>
      <x:c r="E71" s="54" t="b">
        <x:v>0</x:v>
      </x:c>
      <x:c r="F71" s="53" t="str"/>
    </x:row>
    <x:row r="72">
      <x:c r="A72" s="53" t="n">
        <x:v>33</x:v>
      </x:c>
      <x:c r="B72" s="53" t="str">
        <x:v>WB</x:v>
      </x:c>
      <x:c r="C72" s="53" t="str">
        <x:v>Orzhov Syndicate</x:v>
      </x:c>
      <x:c r="D72" s="53" t="n">
        <x:v>0</x:v>
      </x:c>
      <x:c r="E72" s="54" t="b">
        <x:v>0</x:v>
      </x:c>
      <x:c r="F72" s="53" t="str"/>
    </x:row>
    <x:row r="73">
      <x:c r="A73" s="53" t="n">
        <x:v>34</x:v>
      </x:c>
      <x:c r="B73" s="53" t="str">
        <x:v>WG</x:v>
      </x:c>
      <x:c r="C73" s="53" t="str">
        <x:v>Selesnya Conclave</x:v>
      </x:c>
      <x:c r="D73" s="53" t="n">
        <x:v>0</x:v>
      </x:c>
      <x:c r="E73" s="54" t="b">
        <x:v>0</x:v>
      </x:c>
      <x:c r="F73" s="53" t="str"/>
    </x:row>
    <x:row r="74">
      <x:c r="A74" s="53" t="n">
        <x:v>35</x:v>
      </x:c>
      <x:c r="B74" s="53" t="str">
        <x:v>WU</x:v>
      </x:c>
      <x:c r="C74" s="53" t="str">
        <x:v>Azorius Senate</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UG</x:v>
      </x:c>
      <x:c r="C76" s="53" t="str">
        <x:v>Simic Combine</x:v>
      </x:c>
      <x:c r="D76" s="53" t="n">
        <x:v>-0.395833</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"QUANDRIX",
  "faction_name": "Quandrix College",
  "institution_type": "college",
  "world": "Strixhaven",
  "identity": {
    "core_color": "U",
    "secondary_colors": [
      "G"
    ],
    "secondary_color": "G",
    "expression_key": "QUANDRIX",
    "expression_name": "Quandrix College",
    "expression_kind": "college",
    "purity": null,
    "routing": {
      "edhrec_slug": "simic",
      "mtgdecks_slug": "simic",
      "label": "Simic"
    }
  },
  "decree": "Quandrix College is the clearest current fit from the approved observations.",
  "confidence": 0.045,
  "confidence_gap": 1,
  "mana_scores": {
    "W": 9,
    "U": 10,
    "B": 10,
    "R": 9,
    "G": 10
  },
  "top_matches": [
    {
      "rank": 1,
      "faction": "QUANDRIX",
      "faction_name": "Quandrix College",
      "institution_type": "college",
      "world": "Strixhaven",
      "identity": {
        "core_color": "U",
        "secondary_colors": [
          "G"
        ],
        "secondary_color": "G",
        "expression_key": "QUANDRIX",
        "expression_name": "Quandrix College",
        "expression_kind": "college",
        "purity": null,
        "routing": {
          "edhrec_slug": "simic",
          "mtgdecks_slug": "simic",
          "label": "Simic"
        }
      },
      "score": 0.729167,
      "confidence": 0.045,
      "reason": "Quandrix College remained plausible through C06, C14; identity mapping remains a hypothesis."
    }
  ],
  "adjacent_matches": [],
  "internal_candidate_order": [
    {
      "identity": "QUANDRIX",
      "score": 0.729167,
      "positive_dependencies": 2,
      "qualification_dependencies": 2,
      "naming_dependencies": 1,
      "positive_constructs": [
        "C06",
        "C14"
      ],
      "satisfied_naming_rule_ids": [
        "baseline_40:b1.crucible.ug.v1.scale:QUANDRIX"
      ],
      "naming_qualification": {
        "identity": "QUANDRIX",
        "qualified": true,
        "satisfied_naming_rule_ids": [
          "baseline_40:b1.crucible.ug.v1.scale:QUANDRIX"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"WITCH",
      "score": 0.541667,
      "positive_dependencies": 1,
      "qualification_dependencies": 1,
      "naming_dependencies": 0,
      "positive_constructs": [
        "C14"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"WITHERBLOOM",
      "score": 0.541667,
      "positive_dependencies": 1,
      "qualification_dependencies": 1,
      "naming_dependencies": 0,
      "positive_constructs": [
        "C06"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"UR",
      "score": 0.458333,
      "positive_dependencies": 2,
      "qualification_dependencies": 2,
      "naming_dependencies": 0,
      "positive_constructs": [
        "C06",
        "C07"
      ],
      "satisfied_naming_rule_ids": [],
      "naming_qualification": {
        "identity": "UR",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"BG",
      "score": 0.458333,
      "positive_dependencies": 1,
      "qualification_dependencies": 1,
      "naming_dependencies": 0,
      "positive_constructs": [
        "C06"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0.458333,
      "positive_dependencies": 1,
      "qualification_dependencies": 1,
      "naming_dependencies": 0,
      "positive_constructs": [
        "C07"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0.25,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"RG",
      "score": 0.166667,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x:v>
      </x:c>
    </x:row>
    <x:row r="80">
      <x:c r="A80" s="53" t="str">
        <x:v>Part 2/3</x:v>
      </x:c>
      <x:c r="B80" s="53" t="str">
        <x:v>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"UB",
      "score": 0,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-0.395833,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"C06",
        "C14"
      ]
    }
  ],
  "candidate_set": [
    "QUANDRIX",
    "WITCH",
    "WITHERBLOOM",
    "UR",
    "BG",
    "COLORLESS"
  ],
  "alternatives": [],
  "refinement": {
    "kind": "no_approved_discriminator",
    "can_reduce_ambiguity": false,
    "remaining_candidates": [
      "QUANDRIX",
      "WITCH",
      "WITHERBLOOM",
      "UR",
      "BG",
      "COLORLESS"
    ],
    "unresolved_boundaries": [
      {
        "pair_id": "BG__WITHERBLOOM",
        "identities": [
          "BG",
          "WITHERBLOOM"
        ],
        "distinction": "Direct scenario tests one bounded Commander behavior.",
        "question_ids": [
          "b1.crucible.bg.v1",
          "b1.crucible.disruption-boundary.v1"
        ],
        "coverage_status": "DIRECT-OR-STRUCTURAL-MAPPING-HYPOTHESIS; bounded player validation required"
      },
      {
        "pair_id": "QUANDRIX__WITCH",
        "identities": [
          "QUANDRIX",
          "WITCH"
        ],
        "distinction": "QUANDRIX uses Engine concentration evidence; WITCH uses Setup tolerance evidence. No direct pair claim is made.",
        "question_ids": [
          "b1.hall.engine-shape.v1",
          "b1.hall.setup.v1",
          "b1.crucible.mono-multi.v1",
          "b1.crucible.ug.v1",
          "b1.crucible.ink-witch.v1",
          "b1.crucible.witch-yore.v1",
          "b1.hall.repeatability.v1"
        ],
        "coverage_status": "DIRECT-OR-STRUCTURAL-MAPPING-HYPOTHESIS; bounded player validation required"
      }
    ],
    "missing_constructs": [
      "C03",
      "C04",
      "C09",
      "C12",
      "C15"
    ],
    "question_id": null,
    "purpose": "none_for_clean_primary",
    "target_identities": [
      "QUANDRIX",
      "WITCH",
      "WITHERBLOOM"
    ],
    "target_pair_ids": [
      "BG__WITHERBLOOM",
      "QUANDRIX__WITCH"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"answer_title": "Keep options open",
      "prompt": "Your turn begins, no urgent threat needs an answer, and you have enough mana to act. What feels best?",
      "observation": "Prefers reactive optionality on an open turn.",
      "deltas":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
      ]
    },
    {
      "question_id": "b1.hall.setup.v1",
      "answer_id": "b1.hall.setup.v1.long",
      "stage": "hall",
      "construct": "C14",
      "bounded_observation": "Accepts concentrated long development before the main payoff.",
      "signal": "SIG_C14_LONG_SETUP",
      "dependency_group": "DG_C14",
      "evidence_class": "BEHAVIORAL_OBSERVATION",
      "affected_identities": [
        "QUANDRIX",
        "WITCH"
      ],
      "positive_support": [
        "QUANDRIX",
        "WITCH"
      ],
      "contradiction": [],
      "neutral": false,
      "mapping_strength": 0.5,
      "naming_evidence": false,
      "qualification_eligible": true,
      "qualification_support": [
        "QUANDRIX",
        "WITCH"
      ],
      "naming_support": [],
      "naming_rule_ids_by_identity": {},
      "mapping_role": "completion_corroboration_direction",
      "mapping_status": "REMEDIATION_MAPPING_HYPOTHESIS",
      "mapping_provenance": "docs/plans/vm551-gate-b1-instrument-completion/instrument-change-adjudication.tsv#b1.hall.setup.v1.long;docs/audits/vm555-b1-identity-evidence-gap-bridge/identity-evidence-gap-matrix.tsv",
      "evidence_provenance": "E-VM555;E-CERTIFIED;E-CECOS;E-PLAYER-LANGUAGE",
      "limitation": "Budget, card speed, and table power can force a longer horizon.",
      "behavioral_vs_lens": "behavioral",
      "answer_title": "Protect the long pattern",
      "prompt": "Your deck becomes much stronger after several setup turns, but the table is already developing threats. What must the setup do along the way?",
      "observation": "Accepts concentrated long development before the main payoff.",
      "deltas": [
        {
          "faction": "QUANDRIX",
          "delta": 0.5
        },
        {
          "faction": "WITCH",
          "delta": 0.5
        }
      ]
    },
    {
      "question_id": "b1.crucible.ug.v1",
      "answer_id": "b1.crucible.ug.v1.scale",
      "stage": "crucible",
      "construct": "C06",
      "bounded_observation": "Accepts a concentrated central engine.",
      "signal": "SIG_C06_CENTRAL",
      "dependency_group": "DG_C06",
      "evidence_class": "BEHAVIORAL_OBSERVATION",
      "affected_identities": [
        "QUANDRIX",
        "UG"
      ],
      "positive_support": [
        "QUANDRIX"
      ],
      "contradiction": [
        "UG"
      ],
      "neutral": false,
      "mapping_strength": 1,
      "naming_evidence": true,
      "qualification_eligible": true,
      "qualification_support": [
        "QUANDRIX"
      ],
      "naming_support": [
        "QUANDRIX"
      ],
      "naming_rule_ids_by_identity": {
        "QUANDRIX": [
          "baseline_40:b1.crucible.ug.v1.scale:QUANDRIX"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"One central engine",
      "prompt": "When building an engine, which structure fits your deck?",
      "observation": "Accepts a concentrated central engine.",
      "deltas": [
        {
          "faction": "QUANDRIX",
          "delta": 1
        },
        {
          "faction": "UG",
          "delta": -1
        }
      ]
    }
  ],
  "evidence_ledger":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x:v>
      </x:c>
    </x:row>
    <x:row r="81">
      <x:c r="A81" s="53" t="str">
        <x:v>Part 3/3</x:v>
      </x:c>
      <x:c r="B81" s="53" t="str">
        <x:v>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"b1.hall.setup.v1",
      "answer_id": "b1.hall.setup.v1.long",
      "stage": "hall",
      "construct": "C14",
      "bounded_observation": "Accepts concentrated long development before the main payoff.",
      "signal": "SIG_C14_LONG_SETUP",
      "dependency_group": "DG_C14",
      "evidence_class": "BEHAVIORAL_OBSERVATION",
      "affected_identities": [
        "QUANDRIX",
        "WITCH"
      ],
      "positive_support": [
        "QUANDRIX",
        "WITCH"
      ],
      "contradiction": [],
      "neutral": false,
      "mapping_strength": 0.5,
      "naming_evidence": false,
      "qualification_eligible": true,
      "qualification_support": [
        "QUANDRIX",
        "WITCH"
      ],
      "naming_support": [],
      "naming_rule_ids_by_identity": {},
      "mapping_role": "completion_corroboration_direction",
      "mapping_status": "REMEDIATION_MAPPING_HYPOTHESIS",
      "mapping_provenance": "docs/plans/vm551-gate-b1-instrument-completion/instrument-change-adjudication.tsv#b1.hall.setup.v1.long;docs/audits/vm555-b1-identity-evidence-gap-bridge/identity-evidence-gap-matrix.tsv",
      "evidence_provenance": "E-VM555;E-CERTIFIED;E-CECOS;E-PLAYER-LANGUAGE",
      "limitation": "Budget, card speed, and table power can force a longer horizon.",
      "behavioral_vs_lens": "behavioral"
    },
    {
      "question_id": "b1.crucible.ug.v1",
      "answer_id": "b1.crucible.ug.v1.scale",
      "stage": "crucible",
      "construct": "C06",
      "bounded_observation": "Accepts a concentrated central engine.",
      "signal": "SIG_C06_CENTRAL",
      "dependency_group": "DG_C06",
      "evidence_class": "BEHAVIORAL_OBSERVATION",
      "affected_identities": [
        "QUANDRIX",
        "UG"
      ],
      "positive_support": [
        "QUANDRIX"
      ],
      "contradiction": [
        "UG"
      ],
      "neutral": false,
      "mapping_strength": 1,
      "naming_evidence": true,
      "qualification_eligible": true,
      "qualification_support": [
        "QUANDRIX"
      ],
      "naming_support": [
        "QUANDRIX"
      ],
      "naming_rule_ids_by_identity": {
        "QUANDRIX": [
          "baseline_40:b1.crucible.ug.v1.scale:QUANDRIX"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"b1.gate.initiative.v1.respond",
      "stage": "gate",
      "evidence_class": "BEHAVIORAL_OBSERVATION"
    },
    {
      "question_id": "b1.gate.visibility.v1",
      "answer_id": "b1.gate.visibility.v1.depends",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"b1.hall.pressure.v1",
      "answer_id": "b1.hall.pressure.v1.engine",
      "stage": "hall",
      "evidence_class": "BEHAVIORAL_OBSERVATION"
    },
    {
      "question_id": "b1.hall.engine-shape.v1",
      "answer_id": "b1.hall.engine-shape.v1.overlap",
      "stage": "hall",
      "evidence_class": "BEHAVIORAL_OBSERVATION"
    },
    {
      "question_id": "b1.hall.setup.v1",
      "answer_id": "b1.hall.setup.v1.long",
      "stage": "hall",
      "evidence_class": "BEHAVIORAL_OBSERVATION"
    },
    {
      "question_id": "b1.crucible.ug.v1",
      "answer_id": "b1.crucible.ug.v1.scale",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Silverquill College — Engine Trace</x:v>
      </x:c>
      <x:c r="B1" s="3"/>
      <x:c r="C1" s="3"/>
      <x:c r="D1" s="3"/>
      <x:c r="E1" s="3"/>
      <x:c r="F1" s="3"/>
      <x:c r="G1" s="3"/>
      <x:c r="H1" s="3"/>
      <x:c r="I1" s="3"/>
      <x:c r="J1" s="3"/>
      <x:c r="K1" s="3"/>
      <x:c r="L1" s="3"/>
      <x:c r="M1" s="3"/>
      <x:c r="N1" s="3"/>
      <x:c r="O1" s="3"/>
      <x:c r="P1" s="3"/>
      <x:c r="Q1" s="3"/>
      <x:c r="R1" s="3"/>
      <x:c r="S1" s="3"/>
      <x:c r="T1" s="3"/>
    </x:row>
    <x:row r="2" ht="30" customHeight="1">
      <x:c r="A2" s="7" t="str">
        <x:v>ENGINE-SILVERQUILL • PASS_MATCH • primary • trace 19e3d10f036fccf42e49dda7e07be702f127aa6aeb2a249b5da28e85e513a425</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SILVERQUILL</x:v>
      </x:c>
    </x:row>
    <x:row r="6">
      <x:c r="A6" s="53" t="str">
        <x:v>Expected public contract</x:v>
      </x:c>
      <x:c r="B6" s="53" t="str">
        <x:v>NAMED_DOSSIER</x:v>
      </x:c>
    </x:row>
    <x:row r="7">
      <x:c r="A7" s="53" t="str">
        <x:v>Witness status</x:v>
      </x:c>
      <x:c r="B7" s="53" t="str">
        <x:v>CURRENT_COMPATIBLE</x:v>
      </x:c>
    </x:row>
    <x:row r="8">
      <x:c r="A8" s="53" t="str">
        <x:v>Actual result</x:v>
      </x:c>
      <x:c r="B8" s="53" t="str">
        <x:v>SILVERQUILL</x:v>
      </x:c>
    </x:row>
    <x:row r="9">
      <x:c r="A9" s="53" t="str">
        <x:v>Directional result</x:v>
      </x:c>
      <x:c r="B9" s="53" t="str">
        <x:v>SILVERQUILL</x:v>
      </x:c>
    </x:row>
    <x:row r="10">
      <x:c r="A10" s="53" t="str">
        <x:v>Public state</x:v>
      </x:c>
      <x:c r="B10" s="53" t="str">
        <x:v>current-best-fit</x:v>
      </x:c>
    </x:row>
    <x:row r="11">
      <x:c r="A11" s="53" t="str">
        <x:v>Raw numeric leader</x:v>
      </x:c>
      <x:c r="B11" s="53" t="str">
        <x:v>SILVERQUILL</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SILVERQUILL</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outputs/01a02cd6-bce7-7832-9558-3075c52f146a/archscry-current-state-2026-08-22/evidence/engine/traces/silverquill.json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b1.gate.disruption.v1.protect</x:v>
      </x:c>
      <x:c r="G31" s="53" t="str">
        <x:v>A way to keep the board</x:v>
      </x:c>
      <x:c r="H31" s="53" t="str">
        <x:v>C03</x:v>
      </x:c>
      <x:c r="I31" s="53" t="str">
        <x:v>SIG_C03_PROTECT</x:v>
      </x:c>
      <x:c r="J31" s="53" t="str">
        <x:v>DG_C03</x:v>
      </x:c>
      <x:c r="K31" s="53" t="str">
        <x:v>BEHAVIORAL_OBSERVATION</x:v>
      </x:c>
      <x:c r="L31" s="53" t="str">
        <x:v>ABZAN | W | WG</x:v>
      </x:c>
      <x:c r="M31" s="53" t="str"/>
      <x:c r="N31" s="53" t="n">
        <x:v>0.5</x:v>
      </x:c>
      <x:c r="O31" s="54" t="b">
        <x:v>0</x:v>
      </x:c>
      <x:c r="P31" s="53" t="str">
        <x:v>REMEDIATION_MAPPING_HYPOTHESIS</x:v>
      </x:c>
      <x:c r="Q31" s="53" t="str">
        <x:v>Prefers protection before broad disruption.</x:v>
      </x:c>
      <x:c r="R31" s="53" t="str">
        <x:v>Observation wording and identity association require player validation; no weight is authorized.</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ABZAN</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b1.hall.commitment.v1.reopen</x:v>
      </x:c>
      <x:c r="G33" s="53" t="str">
        <x:v>Reopen the agreement</x:v>
      </x:c>
      <x:c r="H33" s="53" t="str">
        <x:v>C13</x:v>
      </x:c>
      <x:c r="I33" s="53" t="str">
        <x:v>SIG_C13_REVISABLE</x:v>
      </x:c>
      <x:c r="J33" s="53" t="str">
        <x:v>DG_C13</x:v>
      </x:c>
      <x:c r="K33" s="53" t="str">
        <x:v>BEHAVIORAL_OBSERVATION</x:v>
      </x:c>
      <x:c r="L33" s="53" t="str">
        <x:v>SILVERQUILL</x:v>
      </x:c>
      <x:c r="M33" s="53" t="str"/>
      <x:c r="N33" s="53" t="n">
        <x:v>0.5</x:v>
      </x:c>
      <x:c r="O33" s="54" t="b">
        <x:v>0</x:v>
      </x:c>
      <x:c r="P33" s="53" t="str">
        <x:v>REMEDIATION_MAPPING_HYPOTHESIS</x:v>
      </x:c>
      <x:c r="Q33" s="53" t="str">
        <x:v>Prefers revisable present influence over a binding future commitment.</x:v>
      </x:c>
      <x:c r="R33" s="53" t="str">
        <x:v>Players may reopen a deal because it became impossible, not because they prefer revisable influence.</x:v>
      </x:c>
      <x:c r="S33" s="53" t="str">
        <x:v>ABZAN</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b1.hall.setup.v1.early</x:v>
      </x:c>
      <x:c r="G34" s="53" t="str">
        <x:v>Contribute right away</x:v>
      </x:c>
      <x:c r="H34" s="53" t="str">
        <x:v>C14</x:v>
      </x:c>
      <x:c r="I34" s="53" t="str">
        <x:v>SIG_C14_EARLY_IMPACT</x:v>
      </x:c>
      <x:c r="J34" s="53" t="str">
        <x:v>DG_C14</x:v>
      </x:c>
      <x:c r="K34" s="53" t="str">
        <x:v>BEHAVIORAL_OBSERVATION</x:v>
      </x:c>
      <x:c r="L34" s="53" t="str">
        <x:v>BANT | INK | WG</x:v>
      </x:c>
      <x:c r="M34" s="53" t="str"/>
      <x:c r="N34" s="53" t="n">
        <x:v>0.5</x:v>
      </x:c>
      <x:c r="O34" s="54" t="b">
        <x:v>0</x:v>
      </x:c>
      <x:c r="P34" s="53" t="str">
        <x:v>REMEDIATION_MAPPING_HYPOTHESIS</x:v>
      </x:c>
      <x:c r="Q34" s="53" t="str">
        <x:v>Requires useful early participation while a longer plan develops.</x:v>
      </x:c>
      <x:c r="R34" s="53" t="str">
        <x:v>Early utility may be incidental to efficient cards rather than a community preference.</x:v>
      </x:c>
      <x:c r="S34" s="53" t="str">
        <x:v>ABZAN</x:v>
      </x:c>
      <x:c r="T34" s="53" t="str">
        <x:v>incomplete / useful_evidence_remains / b1.hall.threat.v1</x:v>
      </x:c>
    </x:row>
    <x:row r="35">
      <x:c r="A35" s="53" t="n">
        <x:v>7</x:v>
      </x:c>
      <x:c r="B35" s="53" t="str">
        <x:v>main</x:v>
      </x:c>
      <x:c r="C35" s="53" t="str">
        <x:v>hall</x:v>
      </x:c>
      <x:c r="D35" s="53" t="str">
        <x:v>b1.hall.threat.v1</x:v>
      </x:c>
      <x:c r="E35" s="53" t="str">
        <x:v>If your board becomes the clearest threat, how do you want the deck to handle that attention?</x:v>
      </x:c>
      <x:c r="F35" s="53" t="str">
        <x:v>b1.hall.threat.v1.pivot</x:v>
      </x:c>
      <x:c r="G35" s="53" t="str">
        <x:v>Change posture as attention shifts</x:v>
      </x:c>
      <x:c r="H35" s="53" t="str">
        <x:v>C11</x:v>
      </x:c>
      <x:c r="I35" s="53" t="str">
        <x:v>SIG_C11_ADAPTIVE</x:v>
      </x:c>
      <x:c r="J35" s="53" t="str">
        <x:v>DG_C11</x:v>
      </x:c>
      <x:c r="K35" s="53" t="str">
        <x:v>BEHAVIORAL_OBSERVATION</x:v>
      </x:c>
      <x:c r="L35" s="53" t="str">
        <x:v>SILVERQUILL</x:v>
      </x:c>
      <x:c r="M35" s="53" t="str"/>
      <x:c r="N35" s="53" t="n">
        <x:v>0.5</x:v>
      </x:c>
      <x:c r="O35" s="54" t="b">
        <x:v>0</x:v>
      </x:c>
      <x:c r="P35" s="53" t="str">
        <x:v>REMEDIATION_MAPPING_HYPOTHESIS</x:v>
      </x:c>
      <x:c r="Q35" s="53" t="str">
        <x:v>Prefers adaptive threat posture.</x:v>
      </x:c>
      <x:c r="R35" s="53" t="str">
        <x:v>Observation wording and identity association require player validation; no weight is authorized.</x:v>
      </x:c>
      <x:c r="S35" s="53" t="str">
        <x:v>ABZAN</x:v>
      </x:c>
      <x:c r="T35" s="53" t="str">
        <x:v>incomplete / useful_evidence_remains / b1.crucible.wb.v1</x:v>
      </x:c>
    </x:row>
    <x:row r="36">
      <x:c r="A36" s="53" t="n">
        <x:v>8</x:v>
      </x:c>
      <x:c r="B36" s="53" t="str">
        <x:v>main</x:v>
      </x:c>
      <x:c r="C36" s="53" t="str">
        <x:v>crucible</x:v>
      </x:c>
      <x:c r="D36" s="53" t="str">
        <x:v>b1.crucible.wb.v1</x:v>
      </x:c>
      <x:c r="E36" s="53" t="str">
        <x:v>A table deal could solve the immediate problem facing both you and another player. What makes it worth accepting?</x:v>
      </x:c>
      <x:c r="F36" s="53" t="str">
        <x:v>b1.crucible.wb.v1.influence</x:v>
      </x:c>
      <x:c r="G36" s="53" t="str">
        <x:v>Change the situation now</x:v>
      </x:c>
      <x:c r="H36" s="53" t="str">
        <x:v>C13</x:v>
      </x:c>
      <x:c r="I36" s="53" t="str">
        <x:v>SIG_C13_REVISABLE</x:v>
      </x:c>
      <x:c r="J36" s="53" t="str">
        <x:v>DG_C13</x:v>
      </x:c>
      <x:c r="K36" s="53" t="str">
        <x:v>BEHAVIORAL_OBSERVATION</x:v>
      </x:c>
      <x:c r="L36" s="53" t="str">
        <x:v>SILVERQUILL</x:v>
      </x:c>
      <x:c r="M36" s="53" t="str">
        <x:v>WB</x:v>
      </x:c>
      <x:c r="N36" s="53" t="n">
        <x:v>1</x:v>
      </x:c>
      <x:c r="O36" s="54" t="b">
        <x:v>1</x:v>
      </x:c>
      <x:c r="P36" s="53" t="str">
        <x:v>MAPPING_HYPOTHESIS</x:v>
      </x:c>
      <x:c r="Q36" s="53" t="str">
        <x:v>Prefers an influence-centered agreement that changes the current situation without binding later choices.</x:v>
      </x:c>
      <x:c r="R36" s="53" t="str">
        <x:v>Use only after prior independent observations leave the stated competitor boundary plausible; the identity association requires player validation.</x:v>
      </x:c>
      <x:c r="S36" s="53" t="str">
        <x:v>SILVERQUILL</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SILVERQUILL</x:v>
      </x:c>
      <x:c r="C40" s="53" t="str">
        <x:v>Silverquill College</x:v>
      </x:c>
      <x:c r="D40" s="53" t="n">
        <x:v>0.729167</x:v>
      </x:c>
      <x:c r="E40" s="54" t="b">
        <x:v>1</x:v>
      </x:c>
      <x:c r="F40" s="53" t="str">
        <x:v>C11 | C13</x:v>
      </x:c>
    </x:row>
    <x:row r="41">
      <x:c r="A41" s="53" t="n">
        <x:v>2</x:v>
      </x:c>
      <x:c r="B41" s="53" t="str">
        <x:v>ABZAN</x:v>
      </x:c>
      <x:c r="C41" s="53" t="str">
        <x:v>Abzan Houses</x:v>
      </x:c>
      <x:c r="D41" s="53" t="n">
        <x:v>0.625</x:v>
      </x:c>
      <x:c r="E41" s="54" t="b">
        <x:v>0</x:v>
      </x:c>
      <x:c r="F41" s="53" t="str">
        <x:v>C03</x:v>
      </x:c>
    </x:row>
    <x:row r="42">
      <x:c r="A42" s="53" t="n">
        <x:v>3</x:v>
      </x:c>
      <x:c r="B42" s="53" t="str">
        <x:v>WG</x:v>
      </x:c>
      <x:c r="C42" s="53" t="str">
        <x:v>Selesnya Conclave</x:v>
      </x:c>
      <x:c r="D42" s="53" t="n">
        <x:v>0.541667</x:v>
      </x:c>
      <x:c r="E42" s="54" t="b">
        <x:v>0</x:v>
      </x:c>
      <x:c r="F42" s="53" t="str">
        <x:v>C03 | C14</x:v>
      </x:c>
    </x:row>
    <x:row r="43">
      <x:c r="A43" s="53" t="n">
        <x:v>4</x:v>
      </x:c>
      <x:c r="B43" s="53" t="str">
        <x:v>INK</x:v>
      </x:c>
      <x:c r="C43" s="53" t="str">
        <x:v>Ink / Altruism</x:v>
      </x:c>
      <x:c r="D43" s="53" t="n">
        <x:v>0.541667</x:v>
      </x:c>
      <x:c r="E43" s="54" t="b">
        <x:v>0</x:v>
      </x:c>
      <x:c r="F43" s="53" t="str">
        <x:v>C14</x:v>
      </x:c>
    </x:row>
    <x:row r="44">
      <x:c r="A44" s="53" t="n">
        <x:v>5</x:v>
      </x:c>
      <x:c r="B44" s="53" t="str">
        <x:v>W</x:v>
      </x:c>
      <x:c r="C44" s="53" t="str">
        <x:v>White</x:v>
      </x:c>
      <x:c r="D44" s="53" t="n">
        <x:v>0.541667</x:v>
      </x:c>
      <x:c r="E44" s="54" t="b">
        <x:v>0</x:v>
      </x:c>
      <x:c r="F44" s="53" t="str">
        <x:v>C03</x:v>
      </x:c>
    </x:row>
    <x:row r="45">
      <x:c r="A45" s="53" t="n">
        <x:v>6</x:v>
      </x:c>
      <x:c r="B45" s="53" t="str">
        <x:v>BANT</x:v>
      </x:c>
      <x:c r="C45" s="53" t="str">
        <x:v>Bant</x:v>
      </x:c>
      <x:c r="D45" s="53" t="n">
        <x:v>0.458333</x:v>
      </x:c>
      <x:c r="E45" s="54" t="b">
        <x:v>0</x:v>
      </x:c>
      <x:c r="F45" s="53" t="str">
        <x:v>C14</x:v>
      </x:c>
    </x:row>
    <x:row r="46">
      <x:c r="A46" s="53" t="n">
        <x:v>7</x:v>
      </x:c>
      <x:c r="B46" s="53" t="str">
        <x:v>JESKAI</x:v>
      </x:c>
      <x:c r="C46" s="53" t="str">
        <x:v>Jeskai Way</x:v>
      </x:c>
      <x:c r="D46" s="53" t="n">
        <x:v>0.4375</x:v>
      </x:c>
      <x:c r="E46" s="54" t="b">
        <x:v>0</x:v>
      </x:c>
      <x:c r="F46" s="53" t="str">
        <x:v>C01</x:v>
      </x:c>
    </x:row>
    <x:row r="47">
      <x:c r="A47" s="53" t="n">
        <x:v>8</x:v>
      </x:c>
      <x:c r="B47" s="53" t="str">
        <x:v>R</x:v>
      </x:c>
      <x:c r="C47" s="53" t="str">
        <x:v>Red</x:v>
      </x:c>
      <x:c r="D47" s="53" t="n">
        <x:v>0.25</x:v>
      </x:c>
      <x:c r="E47" s="54" t="b">
        <x:v>0</x:v>
      </x:c>
      <x:c r="F47" s="53" t="str"/>
    </x:row>
    <x:row r="48">
      <x:c r="A48" s="53" t="n">
        <x:v>9</x:v>
      </x:c>
      <x:c r="B48" s="53" t="str">
        <x:v>GLINT</x:v>
      </x:c>
      <x:c r="C48" s="53" t="str">
        <x:v>Glint / Chaos</x:v>
      </x:c>
      <x:c r="D48" s="53" t="n">
        <x:v>0.166667</x:v>
      </x:c>
      <x:c r="E48" s="54" t="b">
        <x:v>0</x:v>
      </x:c>
      <x:c r="F48" s="53" t="str"/>
    </x:row>
    <x:row r="49">
      <x:c r="A49" s="53" t="n">
        <x:v>10</x:v>
      </x:c>
      <x:c r="B49" s="53" t="str">
        <x:v>PRISMARI</x:v>
      </x:c>
      <x:c r="C49" s="53" t="str">
        <x:v>Prismari College</x:v>
      </x:c>
      <x:c r="D49" s="53" t="n">
        <x:v>0.166667</x:v>
      </x:c>
      <x:c r="E49" s="54" t="b">
        <x:v>0</x:v>
      </x:c>
      <x:c r="F49" s="53" t="str"/>
    </x:row>
    <x:row r="50">
      <x:c r="A50" s="53" t="n">
        <x:v>11</x:v>
      </x:c>
      <x:c r="B50" s="53" t="str">
        <x:v>WR</x:v>
      </x:c>
      <x:c r="C50" s="53" t="str">
        <x:v>Boros Legion</x:v>
      </x:c>
      <x:c r="D50" s="53" t="n">
        <x:v>0.166667</x:v>
      </x:c>
      <x:c r="E50" s="54" t="b">
        <x:v>0</x:v>
      </x:c>
      <x:c r="F50" s="53" t="str"/>
    </x:row>
    <x:row r="51">
      <x:c r="A51" s="53" t="n">
        <x:v>12</x:v>
      </x:c>
      <x:c r="B51" s="53" t="str">
        <x:v>BR</x:v>
      </x:c>
      <x:c r="C51" s="53" t="str">
        <x:v>Cult of Rakdos</x:v>
      </x:c>
      <x:c r="D51" s="53" t="n">
        <x:v>0.166667</x:v>
      </x:c>
      <x:c r="E51" s="54" t="b">
        <x:v>0</x:v>
      </x:c>
      <x:c r="F51" s="53" t="str"/>
    </x:row>
    <x:row r="52">
      <x:c r="A52" s="53" t="n">
        <x:v>13</x:v>
      </x:c>
      <x:c r="B52" s="53" t="str">
        <x:v>DUNE</x:v>
      </x:c>
      <x:c r="C52" s="53" t="str">
        <x:v>Dune / Aggression</x:v>
      </x:c>
      <x:c r="D52" s="53" t="n">
        <x:v>0.166667</x:v>
      </x:c>
      <x:c r="E52" s="54" t="b">
        <x:v>0</x:v>
      </x:c>
      <x:c r="F52" s="53" t="str"/>
    </x:row>
    <x:row r="53">
      <x:c r="A53" s="53" t="n">
        <x:v>14</x:v>
      </x:c>
      <x:c r="B53" s="53" t="str">
        <x:v>G</x:v>
      </x:c>
      <x:c r="C53" s="53" t="str">
        <x:v>Green</x:v>
      </x:c>
      <x:c r="D53" s="53" t="n">
        <x:v>0.166667</x:v>
      </x:c>
      <x:c r="E53" s="54" t="b">
        <x:v>0</x:v>
      </x:c>
      <x:c r="F53" s="53" t="str"/>
    </x:row>
    <x:row r="54">
      <x:c r="A54" s="53" t="n">
        <x:v>15</x:v>
      </x:c>
      <x:c r="B54" s="53" t="str">
        <x:v>MARDU</x:v>
      </x:c>
      <x:c r="C54" s="53" t="str">
        <x:v>Mardu Horde</x:v>
      </x:c>
      <x:c r="D54" s="53" t="n">
        <x:v>0.166667</x:v>
      </x:c>
      <x:c r="E54" s="54" t="b">
        <x:v>0</x:v>
      </x:c>
      <x:c r="F54" s="53" t="str"/>
    </x:row>
    <x:row r="55">
      <x:c r="A55" s="53" t="n">
        <x:v>16</x:v>
      </x:c>
      <x:c r="B55" s="53" t="str">
        <x:v>TEMUR</x:v>
      </x:c>
      <x:c r="C55" s="53" t="str">
        <x:v>Temur Frontier</x:v>
      </x:c>
      <x:c r="D55" s="53" t="n">
        <x:v>0.166667</x:v>
      </x:c>
      <x:c r="E55" s="54" t="b">
        <x:v>0</x:v>
      </x:c>
      <x:c r="F55" s="53" t="str"/>
    </x:row>
    <x:row r="56">
      <x:c r="A56" s="53" t="n">
        <x:v>17</x:v>
      </x:c>
      <x:c r="B56" s="53" t="str">
        <x:v>UG</x:v>
      </x:c>
      <x:c r="C56" s="53" t="str">
        <x:v>Simic Combine</x:v>
      </x:c>
      <x:c r="D56" s="53" t="n">
        <x:v>0.166667</x:v>
      </x:c>
      <x:c r="E56" s="54" t="b">
        <x:v>0</x:v>
      </x:c>
      <x:c r="F56" s="53" t="str"/>
    </x:row>
    <x:row r="57">
      <x:c r="A57" s="53" t="n">
        <x:v>18</x:v>
      </x:c>
      <x:c r="B57" s="53" t="str">
        <x:v>GRIXIS</x:v>
      </x:c>
      <x:c r="C57" s="53" t="str">
        <x:v>Grixis</x:v>
      </x:c>
      <x:c r="D57" s="53" t="n">
        <x:v>0.125</x:v>
      </x:c>
      <x:c r="E57" s="54" t="b">
        <x:v>0</x:v>
      </x:c>
      <x:c r="F57" s="53" t="str"/>
    </x:row>
    <x:row r="58">
      <x:c r="A58" s="53" t="n">
        <x:v>19</x:v>
      </x:c>
      <x:c r="B58" s="53" t="str">
        <x:v>UB</x:v>
      </x:c>
      <x:c r="C58" s="53" t="str">
        <x:v>House Dimir</x:v>
      </x:c>
      <x:c r="D58" s="53" t="n">
        <x:v>0.125</x:v>
      </x:c>
      <x:c r="E58" s="54" t="b">
        <x:v>0</x:v>
      </x:c>
      <x:c r="F58" s="53" t="str"/>
    </x:row>
    <x:row r="59">
      <x:c r="A59" s="53" t="n">
        <x:v>20</x:v>
      </x:c>
      <x:c r="B59" s="53" t="str">
        <x:v>BG</x:v>
      </x:c>
      <x:c r="C59" s="53" t="str">
        <x:v>Golgari Swarm</x:v>
      </x:c>
      <x:c r="D59" s="53" t="n">
        <x:v>0.083333</x:v>
      </x:c>
      <x:c r="E59" s="54" t="b">
        <x:v>0</x:v>
      </x:c>
      <x:c r="F59" s="53" t="str"/>
    </x:row>
    <x:row r="60">
      <x:c r="A60" s="53" t="n">
        <x:v>21</x:v>
      </x:c>
      <x:c r="B60" s="53" t="str">
        <x:v>JUND</x:v>
      </x:c>
      <x:c r="C60" s="53" t="str">
        <x:v>Jund</x:v>
      </x:c>
      <x:c r="D60" s="53" t="n">
        <x:v>0.083333</x:v>
      </x:c>
      <x:c r="E60" s="54" t="b">
        <x:v>0</x:v>
      </x:c>
      <x:c r="F60" s="53" t="str"/>
    </x:row>
    <x:row r="61">
      <x:c r="A61" s="53" t="n">
        <x:v>22</x:v>
      </x:c>
      <x:c r="B61" s="53" t="str">
        <x:v>LOREHOLD</x:v>
      </x:c>
      <x:c r="C61" s="53" t="str">
        <x:v>Lorehold College</x:v>
      </x:c>
      <x:c r="D61" s="53" t="n">
        <x:v>0.083333</x:v>
      </x:c>
      <x:c r="E61" s="54" t="b">
        <x:v>0</x:v>
      </x:c>
      <x:c r="F61" s="53" t="str"/>
    </x:row>
    <x:row r="62">
      <x:c r="A62" s="53" t="n">
        <x:v>23</x:v>
      </x:c>
      <x:c r="B62" s="53" t="str">
        <x:v>NAYA</x:v>
      </x:c>
      <x:c r="C62" s="53" t="str">
        <x:v>Naya</x:v>
      </x:c>
      <x:c r="D62" s="53" t="n">
        <x:v>0.083333</x:v>
      </x:c>
      <x:c r="E62" s="54" t="b">
        <x:v>0</x:v>
      </x:c>
      <x:c r="F62" s="53" t="str"/>
    </x:row>
    <x:row r="63">
      <x:c r="A63" s="53" t="n">
        <x:v>24</x:v>
      </x:c>
      <x:c r="B63" s="53" t="str">
        <x:v>QUANDRIX</x:v>
      </x:c>
      <x:c r="C63" s="53" t="str">
        <x:v>Quandrix College</x:v>
      </x:c>
      <x:c r="D63" s="53" t="n">
        <x:v>0.083333</x:v>
      </x:c>
      <x:c r="E63" s="54" t="b">
        <x:v>0</x:v>
      </x:c>
      <x:c r="F63" s="53" t="str"/>
    </x:row>
    <x:row r="64">
      <x:c r="A64" s="53" t="n">
        <x:v>25</x:v>
      </x:c>
      <x:c r="B64" s="53" t="str">
        <x:v>RG</x:v>
      </x:c>
      <x:c r="C64" s="53" t="str">
        <x:v>Gruul Clans</x:v>
      </x:c>
      <x:c r="D64" s="53" t="n">
        <x:v>0.083333</x:v>
      </x:c>
      <x:c r="E64" s="54" t="b">
        <x:v>0</x:v>
      </x:c>
      <x:c r="F64" s="53" t="str"/>
    </x:row>
    <x:row r="65">
      <x:c r="A65" s="53" t="n">
        <x:v>26</x:v>
      </x:c>
      <x:c r="B65" s="53" t="str">
        <x:v>SULTAI</x:v>
      </x:c>
      <x:c r="C65" s="53" t="str">
        <x:v>Sultai Brood</x:v>
      </x:c>
      <x:c r="D65" s="53" t="n">
        <x:v>0.083333</x:v>
      </x:c>
      <x:c r="E65" s="54" t="b">
        <x:v>0</x:v>
      </x:c>
      <x:c r="F65" s="53" t="str"/>
    </x:row>
    <x:row r="66">
      <x:c r="A66" s="53" t="n">
        <x:v>27</x:v>
      </x:c>
      <x:c r="B66" s="53" t="str">
        <x:v>UR</x:v>
      </x:c>
      <x:c r="C66" s="53" t="str">
        <x:v>Izzet League</x:v>
      </x:c>
      <x:c r="D66" s="53" t="n">
        <x:v>0.083333</x:v>
      </x:c>
      <x:c r="E66" s="54" t="b">
        <x:v>0</x:v>
      </x:c>
      <x:c r="F66" s="53" t="str"/>
    </x:row>
    <x:row r="67">
      <x:c r="A67" s="53" t="n">
        <x:v>28</x:v>
      </x:c>
      <x:c r="B67" s="53" t="str">
        <x:v>WITCH</x:v>
      </x:c>
      <x:c r="C67" s="53" t="str">
        <x:v>Witch / Growth</x:v>
      </x:c>
      <x:c r="D67" s="53" t="n">
        <x:v>0.083333</x:v>
      </x:c>
      <x:c r="E67" s="54" t="b">
        <x:v>0</x:v>
      </x:c>
      <x:c r="F67" s="53" t="str"/>
    </x:row>
    <x:row r="68">
      <x:c r="A68" s="53" t="n">
        <x:v>29</x:v>
      </x:c>
      <x:c r="B68" s="53" t="str">
        <x:v>WITHERBLOOM</x:v>
      </x:c>
      <x:c r="C68" s="53" t="str">
        <x:v>Witherbloom College</x:v>
      </x:c>
      <x:c r="D68" s="53" t="n">
        <x:v>0.083333</x:v>
      </x:c>
      <x:c r="E68" s="54" t="b">
        <x:v>0</x:v>
      </x:c>
      <x:c r="F68" s="53" t="str"/>
    </x:row>
    <x:row r="69">
      <x:c r="A69" s="53" t="n">
        <x:v>30</x:v>
      </x:c>
      <x:c r="B69" s="53" t="str">
        <x:v>B</x:v>
      </x:c>
      <x:c r="C69" s="53" t="str">
        <x:v>Black</x:v>
      </x:c>
      <x:c r="D69" s="53" t="n">
        <x:v>0.0625</x:v>
      </x:c>
      <x:c r="E69" s="54" t="b">
        <x:v>0</x:v>
      </x:c>
      <x:c r="F69" s="53" t="str"/>
    </x:row>
    <x:row r="70">
      <x:c r="A70" s="53" t="n">
        <x:v>31</x:v>
      </x:c>
      <x:c r="B70" s="53" t="str">
        <x:v>U</x:v>
      </x:c>
      <x:c r="C70" s="53" t="str">
        <x:v>Blue</x:v>
      </x:c>
      <x:c r="D70" s="53" t="n">
        <x:v>0.0625</x:v>
      </x:c>
      <x:c r="E70" s="54" t="b">
        <x:v>0</x:v>
      </x:c>
      <x:c r="F70" s="53" t="str"/>
    </x:row>
    <x:row r="71">
      <x:c r="A71" s="53" t="n">
        <x:v>32</x:v>
      </x:c>
      <x:c r="B71" s="53" t="str">
        <x:v>WU</x:v>
      </x:c>
      <x:c r="C71" s="53" t="str">
        <x:v>Azorius Senate</x:v>
      </x:c>
      <x:c r="D71" s="53" t="n">
        <x:v>0.0625</x:v>
      </x:c>
      <x:c r="E71" s="54" t="b">
        <x:v>0</x:v>
      </x:c>
      <x:c r="F71" s="53" t="str"/>
    </x:row>
    <x:row r="72">
      <x:c r="A72" s="53" t="n">
        <x:v>33</x:v>
      </x:c>
      <x:c r="B72" s="53" t="str">
        <x:v>COLORLESS</x:v>
      </x:c>
      <x:c r="C72" s="53" t="str">
        <x:v>Colorless</x:v>
      </x:c>
      <x:c r="D72" s="53" t="n">
        <x:v>0</x:v>
      </x:c>
      <x:c r="E72" s="54" t="b">
        <x:v>0</x:v>
      </x:c>
      <x:c r="F72" s="53" t="str"/>
    </x:row>
    <x:row r="73">
      <x:c r="A73" s="53" t="n">
        <x:v>34</x:v>
      </x:c>
      <x:c r="B73" s="53" t="str">
        <x:v>ESPER</x:v>
      </x:c>
      <x:c r="C73" s="53" t="str">
        <x:v>Esper</x:v>
      </x:c>
      <x:c r="D73" s="53" t="n">
        <x:v>0</x:v>
      </x:c>
      <x:c r="E73" s="54" t="b">
        <x:v>0</x:v>
      </x:c>
      <x:c r="F73" s="53" t="str"/>
    </x:row>
    <x:row r="74">
      <x:c r="A74" s="53" t="n">
        <x:v>35</x:v>
      </x:c>
      <x:c r="B74" s="53" t="str">
        <x:v>WUBRG</x:v>
      </x:c>
      <x:c r="C74" s="53" t="str">
        <x:v>Five-Color / WUBRG</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WB</x:v>
      </x:c>
      <x:c r="C76" s="53" t="str">
        <x:v>Orzhov Syndicate</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"SILVERQUILL",
  "faction_name": "Silverquill College",
  "institution_type": "college",
  "world": "Strixhaven",
  "identity": {
    "core_color": "W",
    "secondary_colors": [
      "B"
    ],
    "secondary_color": "B",
    "expression_key": "SILVERQUILL",
    "expression_name": "Silverquill College",
    "expression_kind": "college",
    "purity": null,
    "routing": {
      "edhrec_slug": "orzhov",
      "mtgdecks_slug": "orzhov",
      "label": "Orzhov"
    }
  },
  "decree": "Silverquill College is the clearest current fit from the approved observations.",
  "confidence": 0.043,
  "confidence_gap": 1,
  "mana_scores": {
    "W": 10,
    "U": 9,
    "B": 9,
    "R": 9,
    "G": 10
  },
  "top_matches": [
    {
      "rank": 1,
      "faction": "SILVERQUILL",
      "faction_name": "Silverquill College",
      "institution_type": "college",
      "world": "Strixhaven",
      "identity": {
        "core_color": "W",
        "secondary_colors": [
          "B"
        ],
        "secondary_color": "B",
        "expression_key": "SILVERQUILL",
        "expression_name": "Silverquill College",
        "expression_kind": "college",
        "purity": null,
        "routing": {
          "edhrec_slug": "orzhov",
          "mtgdecks_slug": "orzhov",
          "label": "Orzhov"
        }
      },
      "score": 0.729167,
      "confidence": 0.043,
      "reason": "Silverquill College remained plausible through C11, C13; identity mapping remains a hypothesis."
    }
  ],
  "adjacent_matches": [],
  "internal_candidate_order": [
    {
      "identity": "SILVERQUILL",
      "score": 0.729167,
      "positive_dependencies": 2,
      "qualification_dependencies": 2,
      "naming_dependencies": 1,
      "positive_constructs": [
        "C11",
        "C13"
      ],
      "satisfied_naming_rule_ids": [
        "baseline_40:b1.crucible.wb.v1.influence:SILVERQUILL"
      ],
      "naming_qualification": {
        "identity": "SILVERQUILL",
        "qualified": true,
        "satisfied_naming_rule_ids": [
          "baseline_40:b1.crucible.wb.v1.influence:SILVERQUILL"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"C13"
      ]
    },
    {
      "identity": "ABZAN",
      "score": 0.625,
      "positive_dependencies": 1,
      "qualification_dependencies": 1,
      "naming_dependencies": 0,
      "positive_constructs": [
        "C03"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"WG",
      "score": 0.541667,
      "positive_dependencies": 2,
      "qualification_dependencies": 2,
      "naming_dependencies": 0,
      "positive_constructs": [
        "C03",
        "C14"
      ],
      "satisfied_naming_rule_ids": [],
      "naming_qualification": {
        "identity": "WG",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"INK",
      "score": 0.541667,
      "positive_dependencies": 1,
      "qualification_dependencies": 1,
      "naming_dependencies": 0,
      "positive_constructs": [
        "C14"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
      "score": 0.541667,
      "positive_dependencies": 1,
      "qualification_dependencies": 1,
      "naming_dependencies": 0,
      "positive_constructs": [
        "C03"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"BANT",
      "score": 0.458333,
      "positive_dependencies": 1,
      "qualification_dependencies": 1,
      "naming_dependencies": 0,
      "positive_constructs": [
        "C14"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0.25,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"C11"
      ]
    },
    {
      "identity": "GLINT",
      "score": 0.166667,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"PRISMARI",
      "score": 0.166667,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"C13"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x:v>
      </x:c>
    </x:row>
    <x:row r="80">
      <x:c r="A80" s="53" t="str">
        <x:v>Part 2/3</x:v>
      </x:c>
      <x:c r="B80" s="53" t="str">
        <x:v>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-0.479167,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"C13"
      ]
    }
  ],
  "candidate_set": [
    "SILVERQUILL",
    "ABZAN",
    "WG",
    "INK",
    "W",
    "BANT",
    "JESKAI"
  ],
  "alternatives": [],
  "refinement": {
    "kind": "no_approved_discriminator",
    "can_reduce_ambiguity": false,
    "remaining_candidates": [
      "SILVERQUILL",
      "ABZAN",
      "WG",
      "INK",
      "W",
      "BANT",
      "JESKAI"
    ],
    "unresolved_boundaries": [
      {
        "pair_id": "ABZAN__SILVERQUILL",
        "identities": [
          "ABZAN",
          "SILVERQUILL"
        ],
        "distinction": "ABZAN uses Disruption response evidence; SILVERQUILL uses Threat posture evidence. No direct pair claim is made.",
        "question_ids": [
          "b1.gate.disruption.v1",
          "b1.hall.threat.v1",
          "b1.crucible.mono-multi.v1",
          "b1.crucible.wb.v1",
          "b1.hall.commitment.v1",
          "b1.hall.setup.v1"
        ],
        "coverage_status": "DIRECT-OR-STRUCTURAL-MAPPING-HYPOTHESIS; bounded player validation required"
      },
      {
        "pair_id": "BANT__INK",
        "identities": [
          "BANT",
          "INK"
        ],
        "distinction": "BANT uses Commander reliance evidence; INK uses Public commitment evidence. No direct pair claim is made.",
        "question_ids": [
          "b1.hall.commander-role.v1",
          "b1.hall.commitment.v1",
          "b1.crucible.mono-multi.v1",
          "b1.crucible.bant.v1",
          "b1.crucible.dune-ink.v1",
          "b1.crucible.ink-witch.v1"
        ],
        "coverage_status": "DIRECT-OR-STRUCTURAL-MAPPING-HYPOTHESIS; bounded player validation required"
      },
      {
        "pair_id": "BANT__W",
        "identities": [
          "BANT",
          "W"
        ],
        "distinction": "BANT uses Commander reliance evidence; W uses Public commitment evidence. No direct pair claim is made.",
        "question_ids": [
          "b1.hall.commander-role.v1",
          "b1.hall.commitment.v1",
          "b1.crucible.mono-multi.v1",
          "b1.crucible.bant.v1",
          "b1.gate.disruption.v1",
          "b1.hall.setup.v1"
        ],
        "coverage_status": "DIRECT-OR-STRUCTURAL-MAPPING-HYPOTHESIS; bounded player validation required"
      },
      {
        "pair_id": "INK__JESKAI",
        "identities": [
          "INK",
          "JESKAI"
        ],
        "distinction": "Direct scenario tests one bounded Commander behavior.",
        "question_ids": [
          "b1.crucible.jeskai.v1",
          "b1.hall.information-to-plan.v1",
          "b1.crucible.dune-ink.v1",
          "b1.crucible.ink-witch.v1",
          "b1.hall.interaction-window.v1",
          "b1.hall.setup.v1",
          "b1.gate.initiative.v1"
        ],
        "coverage_status": "DIRECT-OR-STRUCTURAL-MAPPING-HYPOTHESIS; bounded player validation required"
      },
      {
        "pair_id": "INK__WG",
        "identities": [
          "INK",
          "WG"
        ],
        "distinction": "INK uses Public commitment evidence; WG uses Public commitment evidence. No direct pair claim is made.",
        "question_ids": [
          "b1.hall.commitment.v1",
          "b1.crucible.mono-multi.v1",
          "b1.crucible.dune-ink.v1",
          "b1.crucible.ink-witch.v1",
          "b1.gate.disruption.v1",
          "b1.hall.pressure.v1"
        ],
        "coverage_status": "DIRECT-OR-STRUCTURAL-MAPPING-HYPOTHESIS; bounded player validation required"
      },
      {
        "pair_id": "JESKAI__W",
        "identities": [
          "JESKAI",
          "W"
        ],
        "distinction": "JESKAI uses Mana commitment and interaction window evidence; W uses Disruption response evidence. No direct pair claim is made.",
        "question_ids": [
          "b1.hall.interaction-window.v1",
          "b1.gate.disruption.v1",
          "b1.crucible.mono-multi.v1",
          "b1.hall.information-to-plan.v1",
          "b1.crucible.jeskai.v1",
          "b1.hall.commitment.v1",
          "b1.gate.initiative.v1"
        ],
        "coverage_status": "DIRECT-OR-STRUCTURAL-MAPPING-HYPOTHESIS; bounded player validation required"
      }
    ],
    "missing_constructs": [
      "C05",
      "C08"
    ],
    "question_id": null,
    "purpose": "none_for_clean_primary",
    "target_identities": [
      "SILVERQUILL",
      "ABZAN",
      "WG"
    ],
    "target_pair_ids": [
      "ABZAN__SILVERQUILL",
      "BANT__INK",
      "BANT__W",
      "INK__JESKAI",
      "INK__WG",
      "JESKAI__W"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keep the board",
      "prompt": "A board wipe—an effect that removes many cards and tokens from the battlefield—is likely next turn. What would you rather have prepared?",
      "observation": "Prefers protection before broad disruption.",
      "deltas": [
        {
          "faction": "ABZAN",
          "delta": 0.5
        },
        {
          "faction": "W",
          "delta": 0.5
        },
        {
          "faction": "WG",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"answer_title": "Contribute right away",
      "prompt": "Your deck becomes much stronger after several setup turns, but the table is already developing threats. What must the setup do along the way?",
      "observation": "Requires useful early participation while a longer plan develops.",
      "deltas": [
        {
          "faction": "BANT",
          "delta": 0.5
        },
        {
          "faction": "INK",
          "delta": 0.5
        },
        {
          "faction": "WG",
          "delta": 0.5
        }
      ]
    },
    {
      "question_id": "b1.hall.threat.v1",
      "answer_id": "b1.hall.threat.v1.pivot",
      "stage": "hall",
      "construct": "C11",
      "bounded_observation": "Prefers adaptive threat posture.",
      "signal": "SIG_C11_ADAPTIVE",
      "dependency_group": "DG_C11",
      "evidence_class": "BEHAVIORAL_OBSERVATION",
      "affected_identities": [
        "SILVERQUILL"
      ],
      "positive_support": [
        "SILVERQUILL"
      ],
      "contradiction": [],
      "neutral": false,
      "mapping_strength": 0.5,
      "naming_evidence": false,
      "qualification_eligible": true,
      "qualification_support": [
        "SILVERQUILL"
      ],
      "naming_support": [],
      "naming_rule_ids_by_identity": {},
      "mapping_role": "completion_corroboration_direction",
      "mapping_status": "REMEDIATION_MAPPING_HYPOTHESIS",
      "mapping_provenance": "docs/plans/vm551-gate-b1-instrument-completion/instrument-change-adjudication.tsv#b1.hall.threat.v1.pivot;docs/audits/vm555-b1-identity-evidence-gap-bridge/identity-evidence-gap-matrix.tsv",
      "evidence_provenance": "E-PLAYER-THREAT;E-PLAYER-COMMANDER;E-CECOS;E-VOICE",
      "limitation": "Observation wording and identity association require player validation; no weight is authorized.",
      "behavioral_vs_lens": "behavioral",
      "answer_title": "Change posture as attention shifts",
      "prompt": "If your board becomes the clearest threat, how do you want the deck to handle that attention?",
      "observation": "Prefers adaptive threat posture.",
      "deltas": [
        {
          "faction": "SILVERQUILL",
          "delta": 0.5
        }
      ]
    },
    {
      "question_id": "b1.crucible.wb.v1",
      "answer_id": "b1.crucible.wb.v1.influence",
      "stage": "crucible",
      "construct": "C13",
      "bounded_observation": "Prefers an influence-centered agreement that changes the current situation without binding later choices.",
      "signal": "SIG_C13_REVISABLE",
      "dependency_group": "DG_C13",
      "evidence_class": "BEHAVIORAL_OBSERVATION",
      "affected_identities": [
        "SILVERQUILL",
        "WB"
      ],
      "positive_support": [
        "SILVERQUILL"
      ],
      "contradiction": [
        "WB"
      ],
      "neutral": false,
      "mapping_strength": 1,
      "naming_evidence": true,
      "qualification_eligible": true,
      "qualification_support": [
        "SILVERQUILL"
      ],
      "naming_support": [
        "SILVERQUILL"
      ],
      "naming_rule_ids_by_identity": {
        "SILVERQUILL": [
          "baseline_40:b1.crucible.wb.v1.influence:SILVERQUILL"
        ]
      },
      "mapping_role": "exact_pair_direction",
      "mapping_status": "MAPPING_HYPOTHESIS",
      "mapping_provenance": "answer-semantic-adjudication.tsv WB vs S</x:v>
      </x:c>
    </x:row>
    <x:row r="81">
      <x:c r="A81" s="53" t="str">
        <x:v>Part 3/3</x:v>
      </x:c>
      <x:c r="B81" s="53" t="str">
        <x:v>ILVERQUILL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"Change the situation now",
      "prompt": "A table deal could solve the immediate problem facing both you and another player. What makes it worth accepting?",
      "observation": "Prefers an influence-centered agreement that changes the current situation without binding later choices.",
      "deltas": [
        {
          "faction": "SILVERQUILL",
          "delta": 1
        },
        {
          "faction": "WB",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
    {
      "question_id": "b1.hall.threat.v1",
      "answer_id": "b1.hall.threat.v1.pivot",
      "stage": "hall",
      "construct": "C11",
      "bounded_observation": "Prefers adaptive threat posture.",
      "signal": "SIG_C11_ADAPTIVE",
      "dependency_group": "DG_C11",
      "evidence_class": "BEHAVIORAL_OBSERVATION",
      "affected_identities": [
        "SILVERQUILL"
      ],
      "positive_support": [
        "SILVERQUILL"
      ],
      "contradiction": [],
      "neutral": false,
      "mapping_strength": 0.5,
      "naming_evidence": false,
      "qualification_eligible": true,
      "qualification_support": [
        "SILVERQUILL"
      ],
      "naming_support": [],
      "naming_rule_ids_by_identity": {},
      "mapping_role": "completion_corroboration_direction",
      "mapping_status": "REMEDIATION_MAPPING_HYPOTHESIS",
      "mapping_provenance": "docs/plans/vm551-gate-b1-instrument-completion/instrument-change-adjudication.tsv#b1.hall.threat.v1.pivot;docs/audits/vm555-b1-identity-evidence-gap-bridge/identity-evidence-gap-matrix.tsv",
      "evidence_provenance": "E-PLAYER-THREAT;E-PLAYER-COMMANDER;E-CECOS;E-VOICE",
      "limitation": "Observation wording and identity association require player validation; no weight is authorized.",
      "behavioral_vs_lens": "behavioral"
    },
    {
      "question_id": "b1.crucible.wb.v1",
      "answer_id": "b1.crucible.wb.v1.influence",
      "stage": "crucible",
      "construct": "C13",
      "bounded_observation": "Prefers an influence-centered agreement that changes the current situation without binding later choices.",
      "signal": "SIG_C13_REVISABLE",
      "dependency_group": "DG_C13",
      "evidence_class": "BEHAVIORAL_OBSERVATION",
      "affected_identities": [
        "SILVERQUILL",
        "WB"
      ],
      "positive_support": [
        "SILVERQUILL"
      ],
      "contradiction": [
        "WB"
      ],
      "neutral": false,
      "mapping_strength": 1,
      "naming_evidence": true,
      "qualification_eligible": true,
      "qualification_support": [
        "SILVERQUILL"
      ],
      "naming_support": [
        "SILVERQUILL"
      ],
      "naming_rule_ids_by_identity": {
        "SILVERQUILL": [
          "baseline_40:b1.crucible.wb.v1.influence:SILVERQUILL"
        ]
      },
      "mapping_role": "exact_pair_direction",
      "mapping_status": "MAPPING_HYPOTHESIS",
      "mapping_provenance": "answer-semantic-adjudication.tsv WB vs SILVERQUILL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"b1.gate.disruption.v1.protect",
      "stage": "gate",
      "evidence_class": "BEHAVIORAL_OBSERVATION"
    },
    {
      "question_id": "b1.gate.tempo.v1",
      "answer_id": "b1.gate.tempo.v1.burst",
      "stage": "gate",
      "evidence_class": "BEHAVIORAL_OBSERVATION"
    },
    {
      "question_id": "b1.hall.commitment.v1",
      "answer_id": "b1.hall.commitment.v1.reopen",
      "stage": "hall",
      "evidence_class": "BEHAVIORAL_OBSERVATION"
    },
    {
      "question_id": "b1.hall.setup.v1",
      "answer_id": "b1.hall.setup.v1.early",
      "stage": "hall",
      "evidence_class": "BEHAVIORAL_OBSERVATION"
    },
    {
      "question_id": "b1.hall.threat.v1",
      "answer_id": "b1.hall.threat.v1.pivot",
      "stage": "hall",
      "evidence_class": "BEHAVIORAL_OBSERVATION"
    },
    {
      "question_id": "b1.crucible.wb.v1",
      "answer_id": "b1.crucible.wb.v1.influence",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Witherbloom College — Engine Trace</x:v>
      </x:c>
      <x:c r="B1" s="3"/>
      <x:c r="C1" s="3"/>
      <x:c r="D1" s="3"/>
      <x:c r="E1" s="3"/>
      <x:c r="F1" s="3"/>
      <x:c r="G1" s="3"/>
      <x:c r="H1" s="3"/>
      <x:c r="I1" s="3"/>
      <x:c r="J1" s="3"/>
      <x:c r="K1" s="3"/>
      <x:c r="L1" s="3"/>
      <x:c r="M1" s="3"/>
      <x:c r="N1" s="3"/>
      <x:c r="O1" s="3"/>
      <x:c r="P1" s="3"/>
      <x:c r="Q1" s="3"/>
      <x:c r="R1" s="3"/>
      <x:c r="S1" s="3"/>
      <x:c r="T1" s="3"/>
    </x:row>
    <x:row r="2" ht="30" customHeight="1">
      <x:c r="A2" s="7" t="str">
        <x:v>ENGINE-WITHERBLOOM • PASS_MATCH • primary • trace 909455c9792f16999f92bcd1387bea67501d59a1456614559016ab2402e64e74</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WITHERBLOOM</x:v>
      </x:c>
    </x:row>
    <x:row r="6">
      <x:c r="A6" s="53" t="str">
        <x:v>Expected public contract</x:v>
      </x:c>
      <x:c r="B6" s="53" t="str">
        <x:v>NAMED_DOSSIER</x:v>
      </x:c>
    </x:row>
    <x:row r="7">
      <x:c r="A7" s="53" t="str">
        <x:v>Witness status</x:v>
      </x:c>
      <x:c r="B7" s="53" t="str">
        <x:v>CURRENT_COMPATIBLE</x:v>
      </x:c>
    </x:row>
    <x:row r="8">
      <x:c r="A8" s="53" t="str">
        <x:v>Actual result</x:v>
      </x:c>
      <x:c r="B8" s="53" t="str">
        <x:v>WITHERBLOOM</x:v>
      </x:c>
    </x:row>
    <x:row r="9">
      <x:c r="A9" s="53" t="str">
        <x:v>Directional result</x:v>
      </x:c>
      <x:c r="B9" s="53" t="str">
        <x:v>WITHERBLOOM</x:v>
      </x:c>
    </x:row>
    <x:row r="10">
      <x:c r="A10" s="53" t="str">
        <x:v>Public state</x:v>
      </x:c>
      <x:c r="B10" s="53" t="str">
        <x:v>current-best-fit</x:v>
      </x:c>
    </x:row>
    <x:row r="11">
      <x:c r="A11" s="53" t="str">
        <x:v>Raw numeric leader</x:v>
      </x:c>
      <x:c r="B11" s="53" t="str">
        <x:v>WITHERBLOOM</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WITHERBLOOM</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outputs/01a02cd6-bce7-7832-9558-3075c52f146a/archscry-current-state-2026-08-22/evidence/engine/traces/witherbloom.json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JUND</x:v>
      </x:c>
      <x:c r="T33" s="53" t="str">
        <x:v>incomplete / minimum_questions / b1.hall.sacrifice.v1</x:v>
      </x:c>
    </x:row>
    <x:row r="34">
      <x:c r="A34" s="53" t="n">
        <x:v>6</x:v>
      </x:c>
      <x:c r="B34" s="53" t="str">
        <x:v>main</x:v>
      </x:c>
      <x:c r="C34" s="53" t="str">
        <x:v>hall</x:v>
      </x:c>
      <x:c r="D34" s="53" t="str">
        <x:v>b1.hall.sacrifice.v1</x:v>
      </x:c>
      <x:c r="E34" s="53" t="str">
        <x:v>You can give up a useful permanent now for cards or another lasting resource. What feels natural?</x:v>
      </x:c>
      <x:c r="F34" s="53" t="str">
        <x:v>b1.hall.sacrifice.v1.convert</x:v>
      </x:c>
      <x:c r="G34" s="53" t="str">
        <x:v>Spend it for the next advantage</x:v>
      </x:c>
      <x:c r="H34" s="53" t="str">
        <x:v>C12</x:v>
      </x:c>
      <x:c r="I34" s="53" t="str">
        <x:v>SIG_C12_CONVERT</x:v>
      </x:c>
      <x:c r="J34" s="53" t="str">
        <x:v>DG_C12</x:v>
      </x:c>
      <x:c r="K34" s="53" t="str">
        <x:v>BEHAVIORAL_OBSERVATION</x:v>
      </x:c>
      <x:c r="L34" s="53" t="str">
        <x:v>B | JUND</x:v>
      </x:c>
      <x:c r="M34" s="53" t="str"/>
      <x:c r="N34" s="53" t="n">
        <x:v>0.5</x:v>
      </x:c>
      <x:c r="O34" s="54" t="b">
        <x:v>0</x:v>
      </x:c>
      <x:c r="P34" s="53" t="str">
        <x:v>REMEDIATION_MAPPING_HYPOTHESIS</x:v>
      </x:c>
      <x:c r="Q34" s="53" t="str">
        <x:v>Prefers voluntary resource conversion.</x:v>
      </x:c>
      <x:c r="R34" s="53" t="str">
        <x:v>Observation wording and identity association require player validation; no weight is authorized.</x:v>
      </x:c>
      <x:c r="S34" s="53" t="str">
        <x:v>JUND</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b1.hall.engine-shape.v1.overlap</x:v>
      </x:c>
      <x:c r="G35" s="53" t="str">
        <x:v>Let smaller engines overlap</x:v>
      </x:c>
      <x:c r="H35" s="53" t="str">
        <x:v>C06</x:v>
      </x:c>
      <x:c r="I35" s="53" t="str">
        <x:v>SIG_C06_MODULAR</x:v>
      </x:c>
      <x:c r="J35" s="53" t="str">
        <x:v>DG_C06</x:v>
      </x:c>
      <x:c r="K35" s="53" t="str">
        <x:v>BEHAVIORAL_OBSERVATION</x:v>
      </x:c>
      <x:c r="L35" s="53" t="str">
        <x:v>BG | UR | WITHERBLOOM</x:v>
      </x:c>
      <x:c r="M35" s="53" t="str"/>
      <x:c r="N35" s="53" t="n">
        <x:v>0.5</x:v>
      </x:c>
      <x:c r="O35" s="54" t="b">
        <x:v>0</x:v>
      </x:c>
      <x:c r="P35" s="53" t="str">
        <x:v>REMEDIATION_MAPPING_HYPOTHESIS</x:v>
      </x:c>
      <x:c r="Q35" s="53" t="str">
        <x:v>Prefers modular engines whose functions overlap.</x:v>
      </x:c>
      <x:c r="R35" s="53" t="str">
        <x:v>Overlapping packages may be required by singleton deck construction.</x:v>
      </x:c>
      <x:c r="S35" s="53" t="str">
        <x:v>JUND</x:v>
      </x:c>
      <x:c r="T35" s="53" t="str">
        <x:v>incomplete / useful_evidence_remains / b1.crucible.bg.v1</x:v>
      </x:c>
    </x:row>
    <x:row r="36">
      <x:c r="A36" s="53" t="n">
        <x:v>8</x:v>
      </x:c>
      <x:c r="B36" s="53" t="str">
        <x:v>main</x:v>
      </x:c>
      <x:c r="C36" s="53" t="str">
        <x:v>crucible</x:v>
      </x:c>
      <x:c r="D36" s="53" t="str">
        <x:v>b1.crucible.bg.v1</x:v>
      </x:c>
      <x:c r="E36" s="53" t="str">
        <x:v>Several cards from your battlefield went to your graveyard. What do you want that loss to enable?</x:v>
      </x:c>
      <x:c r="F36" s="53" t="str">
        <x:v>b1.crucible.bg.v1.exchange</x:v>
      </x:c>
      <x:c r="G36" s="53" t="str">
        <x:v>Turn the loss into a new resource</x:v>
      </x:c>
      <x:c r="H36" s="53" t="str">
        <x:v>C12</x:v>
      </x:c>
      <x:c r="I36" s="53" t="str">
        <x:v>SIG_C12_CONVERT</x:v>
      </x:c>
      <x:c r="J36" s="53" t="str">
        <x:v>DG_C12</x:v>
      </x:c>
      <x:c r="K36" s="53" t="str">
        <x:v>BEHAVIORAL_OBSERVATION</x:v>
      </x:c>
      <x:c r="L36" s="53" t="str">
        <x:v>WITHERBLOOM</x:v>
      </x:c>
      <x:c r="M36" s="53" t="str">
        <x:v>BG</x:v>
      </x:c>
      <x:c r="N36" s="53" t="n">
        <x:v>1</x:v>
      </x:c>
      <x:c r="O36" s="54" t="b">
        <x:v>1</x:v>
      </x:c>
      <x:c r="P36" s="53" t="str">
        <x:v>MAPPING_HYPOTHESIS</x:v>
      </x:c>
      <x:c r="Q36" s="53" t="str">
        <x:v>Prefers immediate conversion.</x:v>
      </x:c>
      <x:c r="R36" s="53" t="str">
        <x:v>Use only after prior independent observations leave the stated competitor boundary plausible; the identity association requires player validation.</x:v>
      </x:c>
      <x:c r="S36" s="53" t="str">
        <x:v>WITHERBLOOM</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WITHERBLOOM</x:v>
      </x:c>
      <x:c r="C40" s="53" t="str">
        <x:v>Witherbloom College</x:v>
      </x:c>
      <x:c r="D40" s="53" t="n">
        <x:v>0.729167</x:v>
      </x:c>
      <x:c r="E40" s="54" t="b">
        <x:v>1</x:v>
      </x:c>
      <x:c r="F40" s="53" t="str">
        <x:v>C06 | C12</x:v>
      </x:c>
    </x:row>
    <x:row r="41">
      <x:c r="A41" s="53" t="n">
        <x:v>2</x:v>
      </x:c>
      <x:c r="B41" s="53" t="str">
        <x:v>JUND</x:v>
      </x:c>
      <x:c r="C41" s="53" t="str">
        <x:v>Jund</x:v>
      </x:c>
      <x:c r="D41" s="53" t="n">
        <x:v>0.625</x:v>
      </x:c>
      <x:c r="E41" s="54" t="b">
        <x:v>0</x:v>
      </x:c>
      <x:c r="F41" s="53" t="str">
        <x:v>C01 | C12</x:v>
      </x:c>
    </x:row>
    <x:row r="42">
      <x:c r="A42" s="53" t="n">
        <x:v>3</x:v>
      </x:c>
      <x:c r="B42" s="53" t="str">
        <x:v>UR</x:v>
      </x:c>
      <x:c r="C42" s="53" t="str">
        <x:v>Izzet League</x:v>
      </x:c>
      <x:c r="D42" s="53" t="n">
        <x:v>0.541667</x:v>
      </x:c>
      <x:c r="E42" s="54" t="b">
        <x:v>0</x:v>
      </x:c>
      <x:c r="F42" s="53" t="str">
        <x:v>C06 | C07</x:v>
      </x:c>
    </x:row>
    <x:row r="43">
      <x:c r="A43" s="53" t="n">
        <x:v>4</x:v>
      </x:c>
      <x:c r="B43" s="53" t="str">
        <x:v>R</x:v>
      </x:c>
      <x:c r="C43" s="53" t="str">
        <x:v>Red</x:v>
      </x:c>
      <x:c r="D43" s="53" t="n">
        <x:v>0.541667</x:v>
      </x:c>
      <x:c r="E43" s="54" t="b">
        <x:v>0</x:v>
      </x:c>
      <x:c r="F43" s="53" t="str">
        <x:v>C01</x:v>
      </x:c>
    </x:row>
    <x:row r="44">
      <x:c r="A44" s="53" t="n">
        <x:v>5</x:v>
      </x:c>
      <x:c r="B44" s="53" t="str">
        <x:v>RG</x:v>
      </x:c>
      <x:c r="C44" s="53" t="str">
        <x:v>Gruul Clans</x:v>
      </x:c>
      <x:c r="D44" s="53" t="n">
        <x:v>0.541667</x:v>
      </x:c>
      <x:c r="E44" s="54" t="b">
        <x:v>0</x:v>
      </x:c>
      <x:c r="F44" s="53" t="str">
        <x:v>C01</x:v>
      </x:c>
    </x:row>
    <x:row r="45">
      <x:c r="A45" s="53" t="n">
        <x:v>6</x:v>
      </x:c>
      <x:c r="B45" s="53" t="str">
        <x:v>COLORLESS</x:v>
      </x:c>
      <x:c r="C45" s="53" t="str">
        <x:v>Colorless</x:v>
      </x:c>
      <x:c r="D45" s="53" t="n">
        <x:v>0.458333</x:v>
      </x:c>
      <x:c r="E45" s="54" t="b">
        <x:v>0</x:v>
      </x:c>
      <x:c r="F45" s="53" t="str">
        <x:v>C07</x:v>
      </x:c>
    </x:row>
    <x:row r="46">
      <x:c r="A46" s="53" t="n">
        <x:v>7</x:v>
      </x:c>
      <x:c r="B46" s="53" t="str">
        <x:v>B</x:v>
      </x:c>
      <x:c r="C46" s="53" t="str">
        <x:v>Black</x:v>
      </x:c>
      <x:c r="D46" s="53" t="n">
        <x:v>0.4375</x:v>
      </x:c>
      <x:c r="E46" s="54" t="b">
        <x:v>0</x:v>
      </x:c>
      <x:c r="F46" s="53" t="str">
        <x:v>C12</x:v>
      </x:c>
    </x:row>
    <x:row r="47">
      <x:c r="A47" s="53" t="n">
        <x:v>8</x:v>
      </x:c>
      <x:c r="B47" s="53" t="str">
        <x:v>GRIXIS</x:v>
      </x:c>
      <x:c r="C47" s="53" t="str">
        <x:v>Grixis</x:v>
      </x:c>
      <x:c r="D47" s="53" t="n">
        <x:v>0.1875</x:v>
      </x:c>
      <x:c r="E47" s="54" t="b">
        <x:v>0</x:v>
      </x:c>
      <x:c r="F47" s="53" t="str"/>
    </x:row>
    <x:row r="48">
      <x:c r="A48" s="53" t="n">
        <x:v>9</x:v>
      </x:c>
      <x:c r="B48" s="53" t="str">
        <x:v>SULTAI</x:v>
      </x:c>
      <x:c r="C48" s="53" t="str">
        <x:v>Sultai Brood</x:v>
      </x:c>
      <x:c r="D48" s="53" t="n">
        <x:v>0.166667</x:v>
      </x:c>
      <x:c r="E48" s="54" t="b">
        <x:v>0</x:v>
      </x:c>
      <x:c r="F48" s="53" t="str"/>
    </x:row>
    <x:row r="49">
      <x:c r="A49" s="53" t="n">
        <x:v>10</x:v>
      </x:c>
      <x:c r="B49" s="53" t="str">
        <x:v>TEMUR</x:v>
      </x:c>
      <x:c r="C49" s="53" t="str">
        <x:v>Temur Frontier</x:v>
      </x:c>
      <x:c r="D49" s="53" t="n">
        <x:v>0.166667</x:v>
      </x:c>
      <x:c r="E49" s="54" t="b">
        <x:v>0</x:v>
      </x:c>
      <x:c r="F49" s="53" t="str"/>
    </x:row>
    <x:row r="50">
      <x:c r="A50" s="53" t="n">
        <x:v>11</x:v>
      </x:c>
      <x:c r="B50" s="53" t="str">
        <x:v>BR</x:v>
      </x:c>
      <x:c r="C50" s="53" t="str">
        <x:v>Cult of Rakdos</x:v>
      </x:c>
      <x:c r="D50" s="53" t="n">
        <x:v>0.166667</x:v>
      </x:c>
      <x:c r="E50" s="54" t="b">
        <x:v>0</x:v>
      </x:c>
      <x:c r="F50" s="53" t="str"/>
    </x:row>
    <x:row r="51">
      <x:c r="A51" s="53" t="n">
        <x:v>12</x:v>
      </x:c>
      <x:c r="B51" s="53" t="str">
        <x:v>MARDU</x:v>
      </x:c>
      <x:c r="C51" s="53" t="str">
        <x:v>Mardu Horde</x:v>
      </x:c>
      <x:c r="D51" s="53" t="n">
        <x:v>0.166667</x:v>
      </x:c>
      <x:c r="E51" s="54" t="b">
        <x:v>0</x:v>
      </x:c>
      <x:c r="F51" s="53" t="str"/>
    </x:row>
    <x:row r="52">
      <x:c r="A52" s="53" t="n">
        <x:v>13</x:v>
      </x:c>
      <x:c r="B52" s="53" t="str">
        <x:v>WR</x:v>
      </x:c>
      <x:c r="C52" s="53" t="str">
        <x:v>Boros Legion</x:v>
      </x:c>
      <x:c r="D52" s="53" t="n">
        <x:v>0.166667</x:v>
      </x:c>
      <x:c r="E52" s="54" t="b">
        <x:v>0</x:v>
      </x:c>
      <x:c r="F52" s="53" t="str"/>
    </x:row>
    <x:row r="53">
      <x:c r="A53" s="53" t="n">
        <x:v>14</x:v>
      </x:c>
      <x:c r="B53" s="53" t="str">
        <x:v>YORE</x:v>
      </x:c>
      <x:c r="C53" s="53" t="str">
        <x:v>Yore / Artifice</x:v>
      </x:c>
      <x:c r="D53" s="53" t="n">
        <x:v>0.166667</x:v>
      </x:c>
      <x:c r="E53" s="54" t="b">
        <x:v>0</x:v>
      </x:c>
      <x:c r="F53" s="53" t="str"/>
    </x:row>
    <x:row r="54">
      <x:c r="A54" s="53" t="n">
        <x:v>15</x:v>
      </x:c>
      <x:c r="B54" s="53" t="str">
        <x:v>U</x:v>
      </x:c>
      <x:c r="C54" s="53" t="str">
        <x:v>Blue</x:v>
      </x:c>
      <x:c r="D54" s="53" t="n">
        <x:v>0.125</x:v>
      </x:c>
      <x:c r="E54" s="54" t="b">
        <x:v>0</x:v>
      </x:c>
      <x:c r="F54" s="53" t="str"/>
    </x:row>
    <x:row r="55">
      <x:c r="A55" s="53" t="n">
        <x:v>16</x:v>
      </x:c>
      <x:c r="B55" s="53" t="str">
        <x:v>PRISMARI</x:v>
      </x:c>
      <x:c r="C55" s="53" t="str">
        <x:v>Prismari College</x:v>
      </x:c>
      <x:c r="D55" s="53" t="n">
        <x:v>0.083333</x:v>
      </x:c>
      <x:c r="E55" s="54" t="b">
        <x:v>0</x:v>
      </x:c>
      <x:c r="F55" s="53" t="str"/>
    </x:row>
    <x:row r="56">
      <x:c r="A56" s="53" t="n">
        <x:v>17</x:v>
      </x:c>
      <x:c r="B56" s="53" t="str">
        <x:v>UG</x:v>
      </x:c>
      <x:c r="C56" s="53" t="str">
        <x:v>Simic Combine</x:v>
      </x:c>
      <x:c r="D56" s="53" t="n">
        <x:v>0.083333</x:v>
      </x:c>
      <x:c r="E56" s="54" t="b">
        <x:v>0</x:v>
      </x:c>
      <x:c r="F56" s="53" t="str"/>
    </x:row>
    <x:row r="57">
      <x:c r="A57" s="53" t="n">
        <x:v>18</x:v>
      </x:c>
      <x:c r="B57" s="53" t="str">
        <x:v>DUNE</x:v>
      </x:c>
      <x:c r="C57" s="53" t="str">
        <x:v>Dune / Aggression</x:v>
      </x:c>
      <x:c r="D57" s="53" t="n">
        <x:v>0.083333</x:v>
      </x:c>
      <x:c r="E57" s="54" t="b">
        <x:v>0</x:v>
      </x:c>
      <x:c r="F57" s="53" t="str"/>
    </x:row>
    <x:row r="58">
      <x:c r="A58" s="53" t="n">
        <x:v>19</x:v>
      </x:c>
      <x:c r="B58" s="53" t="str">
        <x:v>GLINT</x:v>
      </x:c>
      <x:c r="C58" s="53" t="str">
        <x:v>Glint / Chaos</x:v>
      </x:c>
      <x:c r="D58" s="53" t="n">
        <x:v>0.083333</x:v>
      </x:c>
      <x:c r="E58" s="54" t="b">
        <x:v>0</x:v>
      </x:c>
      <x:c r="F58" s="53" t="str"/>
    </x:row>
    <x:row r="59">
      <x:c r="A59" s="53" t="n">
        <x:v>20</x:v>
      </x:c>
      <x:c r="B59" s="53" t="str">
        <x:v>LOREHOLD</x:v>
      </x:c>
      <x:c r="C59" s="53" t="str">
        <x:v>Lorehold College</x:v>
      </x:c>
      <x:c r="D59" s="53" t="n">
        <x:v>0.083333</x:v>
      </x:c>
      <x:c r="E59" s="54" t="b">
        <x:v>0</x:v>
      </x:c>
      <x:c r="F59" s="53" t="str"/>
    </x:row>
    <x:row r="60">
      <x:c r="A60" s="53" t="n">
        <x:v>21</x:v>
      </x:c>
      <x:c r="B60" s="53" t="str">
        <x:v>NAYA</x:v>
      </x:c>
      <x:c r="C60" s="53" t="str">
        <x:v>Naya</x:v>
      </x:c>
      <x:c r="D60" s="53" t="n">
        <x:v>0.083333</x:v>
      </x:c>
      <x:c r="E60" s="54" t="b">
        <x:v>0</x:v>
      </x:c>
      <x:c r="F60" s="53" t="str"/>
    </x:row>
    <x:row r="61">
      <x:c r="A61" s="53" t="n">
        <x:v>22</x:v>
      </x:c>
      <x:c r="B61" s="53" t="str">
        <x:v>QUANDRIX</x:v>
      </x:c>
      <x:c r="C61" s="53" t="str">
        <x:v>Quandrix College</x:v>
      </x:c>
      <x:c r="D61" s="53" t="n">
        <x:v>0.083333</x:v>
      </x:c>
      <x:c r="E61" s="54" t="b">
        <x:v>0</x:v>
      </x:c>
      <x:c r="F61" s="53" t="str"/>
    </x:row>
    <x:row r="62">
      <x:c r="A62" s="53" t="n">
        <x:v>23</x:v>
      </x:c>
      <x:c r="B62" s="53" t="str">
        <x:v>W</x:v>
      </x:c>
      <x:c r="C62" s="53" t="str">
        <x:v>White</x:v>
      </x:c>
      <x:c r="D62" s="53" t="n">
        <x:v>0.083333</x:v>
      </x:c>
      <x:c r="E62" s="54" t="b">
        <x:v>0</x:v>
      </x:c>
      <x:c r="F62" s="53" t="str"/>
    </x:row>
    <x:row r="63">
      <x:c r="A63" s="53" t="n">
        <x:v>24</x:v>
      </x:c>
      <x:c r="B63" s="53" t="str">
        <x:v>WB</x:v>
      </x:c>
      <x:c r="C63" s="53" t="str">
        <x:v>Orzhov Syndicate</x:v>
      </x:c>
      <x:c r="D63" s="53" t="n">
        <x:v>0.083333</x:v>
      </x:c>
      <x:c r="E63" s="54" t="b">
        <x:v>0</x:v>
      </x:c>
      <x:c r="F63" s="53" t="str"/>
    </x:row>
    <x:row r="64">
      <x:c r="A64" s="53" t="n">
        <x:v>25</x:v>
      </x:c>
      <x:c r="B64" s="53" t="str">
        <x:v>WITCH</x:v>
      </x:c>
      <x:c r="C64" s="53" t="str">
        <x:v>Witch / Growth</x:v>
      </x:c>
      <x:c r="D64" s="53" t="n">
        <x:v>0.083333</x:v>
      </x:c>
      <x:c r="E64" s="54" t="b">
        <x:v>0</x:v>
      </x:c>
      <x:c r="F64" s="53" t="str"/>
    </x:row>
    <x:row r="65">
      <x:c r="A65" s="53" t="n">
        <x:v>26</x:v>
      </x:c>
      <x:c r="B65" s="53" t="str">
        <x:v>BG</x:v>
      </x:c>
      <x:c r="C65" s="53" t="str">
        <x:v>Golgari Swarm</x:v>
      </x:c>
      <x:c r="D65" s="53" t="n">
        <x:v>0.072917</x:v>
      </x:c>
      <x:c r="E65" s="54" t="b">
        <x:v>0</x:v>
      </x:c>
      <x:c r="F65" s="53" t="str">
        <x:v>C06</x:v>
      </x:c>
    </x:row>
    <x:row r="66">
      <x:c r="A66" s="53" t="n">
        <x:v>27</x:v>
      </x:c>
      <x:c r="B66" s="53" t="str">
        <x:v>ESPER</x:v>
      </x:c>
      <x:c r="C66" s="53" t="str">
        <x:v>Esper</x:v>
      </x:c>
      <x:c r="D66" s="53" t="n">
        <x:v>0.0625</x:v>
      </x:c>
      <x:c r="E66" s="54" t="b">
        <x:v>0</x:v>
      </x:c>
      <x:c r="F66" s="53" t="str"/>
    </x:row>
    <x:row r="67">
      <x:c r="A67" s="53" t="n">
        <x:v>28</x:v>
      </x:c>
      <x:c r="B67" s="53" t="str">
        <x:v>JESKAI</x:v>
      </x:c>
      <x:c r="C67" s="53" t="str">
        <x:v>Jeskai Way</x:v>
      </x:c>
      <x:c r="D67" s="53" t="n">
        <x:v>0.0625</x:v>
      </x:c>
      <x:c r="E67" s="54" t="b">
        <x:v>0</x:v>
      </x:c>
      <x:c r="F67" s="53" t="str"/>
    </x:row>
    <x:row r="68">
      <x:c r="A68" s="53" t="n">
        <x:v>29</x:v>
      </x:c>
      <x:c r="B68" s="53" t="str">
        <x:v>UB</x:v>
      </x:c>
      <x:c r="C68" s="53" t="str">
        <x:v>House Dimir</x:v>
      </x:c>
      <x:c r="D68" s="53" t="n">
        <x:v>0.0625</x:v>
      </x:c>
      <x:c r="E68" s="54" t="b">
        <x:v>0</x:v>
      </x:c>
      <x:c r="F68" s="53" t="str"/>
    </x:row>
    <x:row r="69">
      <x:c r="A69" s="53" t="n">
        <x:v>30</x:v>
      </x:c>
      <x:c r="B69" s="53" t="str">
        <x:v>ABZAN</x:v>
      </x:c>
      <x:c r="C69" s="53" t="str">
        <x:v>Abzan Houses</x:v>
      </x:c>
      <x:c r="D69" s="53" t="n">
        <x:v>0</x:v>
      </x:c>
      <x:c r="E69" s="54" t="b">
        <x:v>0</x:v>
      </x:c>
      <x:c r="F69" s="53" t="str"/>
    </x:row>
    <x:row r="70">
      <x:c r="A70" s="53" t="n">
        <x:v>31</x:v>
      </x:c>
      <x:c r="B70" s="53" t="str">
        <x:v>BANT</x:v>
      </x:c>
      <x:c r="C70" s="53" t="str">
        <x:v>Bant</x:v>
      </x:c>
      <x:c r="D70" s="53" t="n">
        <x:v>0</x:v>
      </x:c>
      <x:c r="E70" s="54" t="b">
        <x:v>0</x:v>
      </x:c>
      <x:c r="F70" s="53" t="str"/>
    </x:row>
    <x:row r="71">
      <x:c r="A71" s="53" t="n">
        <x:v>32</x:v>
      </x:c>
      <x:c r="B71" s="53" t="str">
        <x:v>G</x:v>
      </x:c>
      <x:c r="C71" s="53" t="str">
        <x:v>Green</x:v>
      </x:c>
      <x:c r="D71" s="53" t="n">
        <x:v>0</x:v>
      </x:c>
      <x:c r="E71" s="54" t="b">
        <x:v>0</x:v>
      </x:c>
      <x:c r="F71" s="53" t="str"/>
    </x:row>
    <x:row r="72">
      <x:c r="A72" s="53" t="n">
        <x:v>33</x:v>
      </x:c>
      <x:c r="B72" s="53" t="str">
        <x:v>INK</x:v>
      </x:c>
      <x:c r="C72" s="53" t="str">
        <x:v>Ink / Altruism</x:v>
      </x:c>
      <x:c r="D72" s="53" t="n">
        <x:v>0</x:v>
      </x:c>
      <x:c r="E72" s="54" t="b">
        <x:v>0</x:v>
      </x:c>
      <x:c r="F72" s="53" t="str"/>
    </x:row>
    <x:row r="73">
      <x:c r="A73" s="53" t="n">
        <x:v>34</x:v>
      </x:c>
      <x:c r="B73" s="53" t="str">
        <x:v>SILVERQUILL</x:v>
      </x:c>
      <x:c r="C73" s="53" t="str">
        <x:v>Silverquill College</x:v>
      </x:c>
      <x:c r="D73" s="53" t="n">
        <x:v>0</x:v>
      </x:c>
      <x:c r="E73" s="54" t="b">
        <x:v>0</x:v>
      </x:c>
      <x:c r="F73" s="53" t="str"/>
    </x:row>
    <x:row r="74">
      <x:c r="A74" s="53" t="n">
        <x:v>35</x:v>
      </x:c>
      <x:c r="B74" s="53" t="str">
        <x:v>WG</x:v>
      </x:c>
      <x:c r="C74" s="53" t="str">
        <x:v>Selesnya Conclave</x:v>
      </x:c>
      <x:c r="D74" s="53" t="n">
        <x:v>0</x:v>
      </x:c>
      <x:c r="E74" s="54" t="b">
        <x:v>0</x:v>
      </x:c>
      <x:c r="F74" s="53" t="str"/>
    </x:row>
    <x:row r="75">
      <x:c r="A75" s="53" t="n">
        <x:v>36</x:v>
      </x:c>
      <x:c r="B75" s="53" t="str">
        <x:v>WU</x:v>
      </x:c>
      <x:c r="C75" s="53" t="str">
        <x:v>Azorius Senate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"WITHERBLOOM",
  "faction_name": "Witherbloom College",
  "institution_type": "college",
  "world": "Strixhaven",
  "identity": {
    "core_color": "B",
    "secondary_colors": [
      "G"
    ],
    "secondary_color": "G",
    "expression_key": "WITHERBLOOM",
    "expression_name": "Witherbloom College",
    "expression_kind": "college",
    "purity": null,
    "routing": {
      "edhrec_slug": "golgari",
      "mtgdecks_slug": "golgari",
      "label": "Golgari"
    }
  },
  "decree": "Witherbloom College is the clearest current fit from the approved observations.",
  "confidence": 0.043,
  "confidence_gap": 1,
  "mana_scores": {
    "W": 8,
    "U": 9,
    "B": 10,
    "R": 10,
    "G": 9
  },
  "top_matches": [
    {
      "rank": 1,
      "faction": "WITHERBLOOM",
      "faction_name": "Witherbloom College",
      "institution_type": "college",
      "world": "Strixhaven",
      "identity": {
        "core_color": "B",
        "secondary_colors": [
          "G"
        ],
        "secondary_color": "G",
        "expression_key": "WITHERBLOOM",
        "expression_name": "Witherbloom College",
        "expression_kind": "college",
        "purity": null,
        "routing": {
          "edhrec_slug": "golgari",
          "mtgdecks_slug": "golgari",
          "label": "Golgari"
        }
      },
      "score": 0.729167,
      "confidence": 0.043,
      "reason": "Witherbloom College remained plausible through C06, C12; identity mapping remains a hypothesis."
    }
  ],
  "adjacent_matches": [],
  "internal_candidate_order": [
    {
      "identity": "WITHERBLOOM",
      "score": 0.729167,
      "positive_dependencies": 2,
      "qualification_dependencies": 2,
      "naming_dependencies": 1,
      "positive_constructs": [
        "C06",
        "C12"
      ],
      "satisfied_naming_rule_ids": [
        "baseline_40:b1.crucible.bg.v1.exchange:WITHERBLOOM"
      ],
      "naming_qualification": {
        "identity": "WITHERBLOOM",
        "qualified": true,
        "satisfied_naming_rule_ids": [
          "baseline_40:b1.crucible.bg.v1.exchange:WITHERBLOOM"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"JUND",
      "score": 0.625,
      "positive_dependencies": 2,
      "qualification_dependencies": 2,
      "naming_dependencies": 0,
      "positive_constructs": [
        "C01",
        "C12"
      ],
      "satisfied_naming_rule_ids": [],
      "naming_qualification": {
        "identity": "JUND",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"UR",
      "score": 0.541667,
      "positive_dependencies": 2,
      "qualification_dependencies": 2,
      "naming_dependencies": 0,
      "positive_constructs": [
        "C06",
        "C07"
      ],
      "satisfied_naming_rule_ids": [],
      "naming_qualification": {
        "identity": "UR",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"C06"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"COLORLESS",
      "score": 0.458333,
      "positive_dependencies": 1,
      "qualification_dependencies": 1,
      "naming_dependencies": 0,
      "positive_constructs": [
        "C07"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0.4375,
      "positive_dependencies": 1,
      "qualification_dependencies": 1,
      "naming_dependencies": 0,
      "positive_constructs": [
        "C12"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"C12"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"YORE",
      "score": 0.166667,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"BG",
      "score": 0.072917,
      "positive_dependencies": 1,
      "qualification_dependencies": 1,
      "naming_dependencies": 0,
      "positive_constructs": [
        "C06"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"C06",
        "C12"
      ]
    },
    {
      "identity": "ESPER",
      "score": 0.0625,
      "positive_dependencies": 0,
      "qualification_dependencies": 0,
      "naming_dependencies": 0,
      "positive_constructs": [],
      "satisfied_naming_rule_ids": [],
      "naming_qualification": {
        "identity": "ESPER",
        "qualified": false,
</x:v>
      </x:c>
    </x:row>
    <x:row r="80">
      <x:c r="A80" s="53" t="str">
        <x:v>Part 2/3</x:v>
      </x:c>
      <x:c r="B80" s="53" t="str">
        <x:v>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"WITHERBLOOM",
    "JUND",
    "UR",
    "R",
    "RG",
    "COLORLESS",
    "B"
  ],
  "alternatives": [],
  "refinement": {
    "kind": "revisit_prior_answer",
    "can_reduce_ambiguity": true,
    "remaining_candidates": [
      "WITHERBLOOM",
      "JUND",
      "UR",
      "R",
      "RG",
      "COLORLESS",
      "B"
    ],
    "unresolved_boundaries": [
      {
        "pair_id": "B__R",
        "identities": [
          "B",
          "R"
        ],
        "distinction": "B uses Resource sacrifice evidence; R uses Initiative posture evidence. No direct pair claim is made.",
        "question_ids": [
          "b1.hall.sacrifice.v1",
          "b1.gate.initiative.v1",
          "b1.crucible.mono-multi.v1",
          "b1.hall.information-to-plan.v1",
          "b1.hall.pressure.v1",
          "b1.crucible.disruption-boundary.v1"
        ],
        "coverage_status": "DIRECT-OR-STRUCTURAL-MAPPING-HYPOTHESIS; bounded player validation required"
      },
      {
        "pair_id": "B__RG",
        "identities": [
          "B",
          "RG"
        ],
        "distinction": "B uses Resource sacrifice evidence; RG uses Pressure channel evidence. No direct pair claim is made.",
        "question_ids": [
          "b1.hall.sacrifice.v1",
          "b1.hall.pressure.v1",
          "b1.crucible.mono-multi.v1",
          "b1.hall.information-to-plan.v1",
          "b1.gate.initiative.v1",
          "b1.gate.disruption.v1",
          "b1.crucible.disruption-boundary.v1"
        ],
        "coverage_status": "DIRECT-OR-STRUCTURAL-MAPPING-HYPOTHESIS; bounded player validation required"
      },
      {
        "pair_id": "B__WITHERBLOOM",
        "identities": [
          "B",
          "WITHERBLOOM"
        ],
        "distinction": "B uses Threat posture evidence; WITHERBLOOM uses Engine concentration evidence. No direct pair claim is made.",
        "question_ids": [
          "b1.hall.threat.v1",
          "b1.hall.engine-shape.v1",
          "b1.crucible.mono-multi.v1",
          "b1.hall.information-to-plan.v1",
          "b1.crucible.bg.v1",
          "b1.hall.sacrifice.v1",
          "b1.hall.setup.v1",
          "b1.crucible.disruption-boundary.v1"
        ],
        "coverage_status": "DIRECT-OR-STRUCTURAL-MAPPING-HYPOTHESIS; bounded player validation required"
      }
    ],
    "missing_constructs": [
      "C11",
      "C15"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"answer_title": "Spend it for the next advantage",
      "prompt": "You can give up a useful permanent now for cards or another lasting resource. What feels natural?",
      "observation": "Prefers voluntary resource conversion.",
      "deltas": [
        {
          "faction": "B",
          "delta": 0.5
        },
        {
          "faction": "JUND",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
      ]
    },
    {
      "question_id": "b1.crucible.bg.v1",
      "answer_id": "b1.crucible.bg.v1.exchange",
      "stage": "crucible",
      "construct": "C12",
      "bounded_observation": "Prefers immediate conversion.",
      "signal": "SIG_C12_CONVERT",
      "dependency_group": "DG_C12",
      "evidence_class": "BEHAVIORAL_OBSERVATION",
      "affected_identities": [
        "BG",
        "WITHERBLOOM"
      ],
      "positive_support": [
        "WITHERBLOOM"
      ],
      "contradiction": [
        "BG"
      ],
      "neutral": false,
      "mapping_strength": 1,
      "naming_evidence": true,
      "qualification_eligible": true,
      "qualification_support": [
        "WITHERBLOOM"
      ],
      "naming_support": [
        "WITHERBLOOM"
      ],
      "naming_rule_ids_by_identity": {
        "WITHERBLOOM": [
          "baseline_40:b1.crucible.bg.v1.exchange:WITHERBLOOM"
        ]
      },
      "mapping_role": "exact_pair_direction",
      "mapping_status": "MAPPING_HYPOTHESIS",
      "mapping_provenance": "answer-semantic-adjudication.tsv BG vs WITHERBLOOM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"Turn the loss into a new resource",
      "prompt": "Several cards from your battlefield went to your graveyard. What do you want that loss to enable?",
      "observation": "Prefers immediate conversion.",
      "deltas": [
        {
          "faction": "WITHERBLOOM",
          "delta": 1
        },
        {
          "faction": "BG",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x:v>
      </x:c>
    </x:row>
    <x:row r="81">
      <x:c r="A81" s="53" t="str">
        <x:v>Part 3/3</x:v>
      </x:c>
      <x:c r="B81" s="53" t="str">
        <x:v>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"b1.crucible.bg.v1",
      "answer_id": "b1.crucible.bg.v1.exchange",
      "stage": "crucible",
      "construct": "C12",
      "bounded_observation": "Prefers immediate conversion.",
      "signal": "SIG_C12_CONVERT",
      "dependency_group": "DG_C12",
      "evidence_class": "BEHAVIORAL_OBSERVATION",
      "affected_identities": [
        "BG",
        "WITHERBLOOM"
      ],
      "positive_support": [
        "WITHERBLOOM"
      ],
      "contradiction": [
        "BG"
      ],
      "neutral": false,
      "mapping_strength": 1,
      "naming_evidence": true,
      "qualification_eligible": true,
      "qualification_support": [
        "WITHERBLOOM"
      ],
      "naming_support": [
        "WITHERBLOOM"
      ],
      "naming_rule_ids_by_identity": {
        "WITHERBLOOM": [
          "baseline_40:b1.crucible.bg.v1.exchange:WITHERBLOOM"
        ]
      },
      "mapping_role": "exact_pair_direction",
      "mapping_status": "MAPPING_HYPOTHESIS",
      "mapping_provenance": "answer-semantic-adjudication.tsv BG vs WITHERBLOOM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"b1.hall.pressure.v1.engine",
      "stage": "hall",
      "evidence_class": "BEHAVIORAL_OBSERVATION"
    },
    {
      "question_id": "b1.hall.sacrifice.v1",
      "answer_id": "b1.hall.sacrifice.v1.convert",
      "stage": "hall",
      "evidence_class": "BEHAVIORAL_OBSERVATION"
    },
    {
      "question_id": "b1.hall.engine-shape.v1",
      "answer_id": "b1.hall.engine-shape.v1.overlap",
      "stage": "hall",
      "evidence_class": "BEHAVIORAL_OBSERVATION"
    },
    {
      "question_id": "b1.crucible.bg.v1",
      "answer_id": "b1.crucible.bg.v1.exchange",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Bant — Engine Trace</x:v>
      </x:c>
      <x:c r="B1" s="3"/>
      <x:c r="C1" s="3"/>
      <x:c r="D1" s="3"/>
      <x:c r="E1" s="3"/>
      <x:c r="F1" s="3"/>
      <x:c r="G1" s="3"/>
      <x:c r="H1" s="3"/>
      <x:c r="I1" s="3"/>
      <x:c r="J1" s="3"/>
      <x:c r="K1" s="3"/>
      <x:c r="L1" s="3"/>
      <x:c r="M1" s="3"/>
      <x:c r="N1" s="3"/>
      <x:c r="O1" s="3"/>
      <x:c r="P1" s="3"/>
      <x:c r="Q1" s="3"/>
      <x:c r="R1" s="3"/>
      <x:c r="S1" s="3"/>
      <x:c r="T1" s="3"/>
    </x:row>
    <x:row r="2" ht="30" customHeight="1">
      <x:c r="A2" s="7" t="str">
        <x:v>ENGINE-BANT • PASS_MATCH • primary • trace b039dcc2dded897ee0243c9c9ffe752225b078be3eb624456eae80c037227af4</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BANT</x:v>
      </x:c>
    </x:row>
    <x:row r="6">
      <x:c r="A6" s="53" t="str">
        <x:v>Expected public contract</x:v>
      </x:c>
      <x:c r="B6" s="53" t="str">
        <x:v>NAMED_DOSSIER</x:v>
      </x:c>
    </x:row>
    <x:row r="7">
      <x:c r="A7" s="53" t="str">
        <x:v>Witness status</x:v>
      </x:c>
      <x:c r="B7" s="53" t="str">
        <x:v>CURRENT_COMPATIBLE</x:v>
      </x:c>
    </x:row>
    <x:row r="8">
      <x:c r="A8" s="53" t="str">
        <x:v>Actual result</x:v>
      </x:c>
      <x:c r="B8" s="53" t="str">
        <x:v>BANT</x:v>
      </x:c>
    </x:row>
    <x:row r="9">
      <x:c r="A9" s="53" t="str">
        <x:v>Directional result</x:v>
      </x:c>
      <x:c r="B9" s="53" t="str">
        <x:v>BANT</x:v>
      </x:c>
    </x:row>
    <x:row r="10">
      <x:c r="A10" s="53" t="str">
        <x:v>Public state</x:v>
      </x:c>
      <x:c r="B10" s="53" t="str">
        <x:v>current-best-fit</x:v>
      </x:c>
    </x:row>
    <x:row r="11">
      <x:c r="A11" s="53" t="str">
        <x:v>Raw numeric leader</x:v>
      </x:c>
      <x:c r="B11" s="53" t="str">
        <x:v>BANT</x:v>
      </x:c>
    </x:row>
    <x:row r="12">
      <x:c r="A12" s="53" t="str">
        <x:v>Raw score</x:v>
      </x:c>
      <x:c r="B12" s="53" t="n">
        <x:v>0.916667</x:v>
      </x:c>
    </x:row>
    <x:row r="13">
      <x:c r="A13" s="53" t="str">
        <x:v>Raw leader qualified</x:v>
      </x:c>
      <x:c r="B13" s="54" t="b">
        <x:v>1</x:v>
      </x:c>
    </x:row>
    <x:row r="14">
      <x:c r="A14" s="53" t="str">
        <x:v>Selected qualified</x:v>
      </x:c>
      <x:c r="B14" s="54" t="b">
        <x:v>1</x:v>
      </x:c>
    </x:row>
    <x:row r="15">
      <x:c r="A15" s="53" t="str">
        <x:v>Frontier</x:v>
      </x:c>
      <x:c r="B15" s="53" t="str">
        <x:v>BANT</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outputs/01a02cd6-bce7-7832-9558-3075c52f146a/archscry-current-state-2026-08-22/evidence/engine/traces/bant.json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b1.gate.disruption.v1.limit</x:v>
      </x:c>
      <x:c r="G31" s="53" t="str">
        <x:v>Less exposed in the first place</x:v>
      </x:c>
      <x:c r="H31" s="53" t="str">
        <x:v>C03</x:v>
      </x:c>
      <x:c r="I31" s="53" t="str">
        <x:v>SIG_C03_LIMIT_EXPOSURE</x:v>
      </x:c>
      <x:c r="J31" s="53" t="str">
        <x:v>DG_C03</x:v>
      </x:c>
      <x:c r="K31" s="53" t="str">
        <x:v>BEHAVIORAL_OBSERVATION</x:v>
      </x:c>
      <x:c r="L31" s="53" t="str"/>
      <x:c r="M31" s="53" t="str"/>
      <x:c r="N31" s="53" t="n">
        <x:v>0</x:v>
      </x:c>
      <x:c r="O31" s="54" t="b">
        <x:v>0</x:v>
      </x:c>
      <x:c r="P31" s="53" t="str">
        <x:v>OBSERVATION_ONLY</x:v>
      </x:c>
      <x:c r="Q31" s="53" t="str">
        <x:v>Prefers reduced exposure to broad disruption.</x:v>
      </x:c>
      <x:c r="R31" s="53" t="str">
        <x:v>Observation wording and identity association require player validation; no weight is authorized.</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b1.hall.pressure.v1.coordinate</x:v>
      </x:c>
      <x:c r="G33" s="53" t="str">
        <x:v>Coordinate one attack</x:v>
      </x:c>
      <x:c r="H33" s="53" t="str">
        <x:v>C07</x:v>
      </x:c>
      <x:c r="I33" s="53" t="str">
        <x:v>SIG_C07_COORDINATED_COMBAT</x:v>
      </x:c>
      <x:c r="J33" s="53" t="str">
        <x:v>DG_C07</x:v>
      </x:c>
      <x:c r="K33" s="53" t="str">
        <x:v>BEHAVIORAL_OBSERVATION</x:v>
      </x:c>
      <x:c r="L33" s="53" t="str">
        <x:v>DUNE | MARDU | WR</x:v>
      </x:c>
      <x:c r="M33" s="53" t="str"/>
      <x:c r="N33" s="53" t="n">
        <x:v>0.5</x:v>
      </x:c>
      <x:c r="O33" s="54" t="b">
        <x:v>0</x:v>
      </x:c>
      <x:c r="P33" s="53" t="str">
        <x:v>REMEDIATION_MAPPING_HYPOTHESIS</x:v>
      </x:c>
      <x:c r="Q33" s="53" t="str">
        <x:v>Prefers formation-based combat pressure during a shared opening.</x:v>
      </x:c>
      <x:c r="R33" s="53" t="str">
        <x:v>The tactically strongest attack may look coordinated without reflecting a stable preference.</x:v>
      </x:c>
      <x:c r="S33" s="53" t="str">
        <x:v>WR</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b1.hall.commitment.v1.access</x:v>
      </x:c>
      <x:c r="G34" s="53" t="str">
        <x:v>Protect shared access</x:v>
      </x:c>
      <x:c r="H34" s="53" t="str">
        <x:v>C13</x:v>
      </x:c>
      <x:c r="I34" s="53" t="str">
        <x:v>SIG_C13_SHARED_ACCESS</x:v>
      </x:c>
      <x:c r="J34" s="53" t="str">
        <x:v>DG_C13</x:v>
      </x:c>
      <x:c r="K34" s="53" t="str">
        <x:v>BEHAVIORAL_OBSERVATION</x:v>
      </x:c>
      <x:c r="L34" s="53" t="str">
        <x:v>BANT | WG | WUBRG</x:v>
      </x:c>
      <x:c r="M34" s="53" t="str"/>
      <x:c r="N34" s="53" t="n">
        <x:v>1</x:v>
      </x:c>
      <x:c r="O34" s="54" t="b">
        <x:v>1</x:v>
      </x:c>
      <x:c r="P34" s="53" t="str">
        <x:v>REMEDIATION_MAPPING_HYPOTHESIS</x:v>
      </x:c>
      <x:c r="Q34" s="53" t="str">
        <x:v>Prefers protecting a shared resource or opportunity after circumstances change.</x:v>
      </x:c>
      <x:c r="R34" s="53" t="str">
        <x:v>A player may preserve access for tactical benefit, generosity, politics, or theme; independent evidence is required.</x:v>
      </x:c>
      <x:c r="S34" s="53" t="str">
        <x:v>WG</x:v>
      </x:c>
      <x:c r="T34" s="53" t="str">
        <x:v>incomplete / useful_evidence_remains / b1.hall.setup.v1</x:v>
      </x:c>
    </x:row>
    <x:row r="35">
      <x:c r="A35" s="53" t="n">
        <x:v>7</x:v>
      </x:c>
      <x:c r="B35" s="53" t="str">
        <x:v>main</x:v>
      </x:c>
      <x:c r="C35" s="53" t="str">
        <x:v>hall</x:v>
      </x:c>
      <x:c r="D35" s="53" t="str">
        <x:v>b1.hall.setup.v1</x:v>
      </x:c>
      <x:c r="E35" s="53" t="str">
        <x:v>Your deck becomes much stronger after several setup turns, but the table is already developing threats. What must the setup do along the way?</x:v>
      </x:c>
      <x:c r="F35" s="53" t="str">
        <x:v>b1.hall.setup.v1.change</x:v>
      </x:c>
      <x:c r="G35" s="53" t="str">
        <x:v>Change plans for this game</x:v>
      </x:c>
      <x:c r="H35" s="53" t="str">
        <x:v>C14</x:v>
      </x:c>
      <x:c r="I35" s="53" t="str">
        <x:v>SIG_C14_BOARD_RESPONSIVE</x:v>
      </x:c>
      <x:c r="J35" s="53" t="str">
        <x:v>DG_C14</x:v>
      </x:c>
      <x:c r="K35" s="53" t="str">
        <x:v>BEHAVIORAL_OBSERVATION</x:v>
      </x:c>
      <x:c r="L35" s="53" t="str">
        <x:v>GLINT | TEMUR</x:v>
      </x:c>
      <x:c r="M35" s="53" t="str"/>
      <x:c r="N35" s="53" t="n">
        <x:v>0.5</x:v>
      </x:c>
      <x:c r="O35" s="54" t="b">
        <x:v>0</x:v>
      </x:c>
      <x:c r="P35" s="53" t="str">
        <x:v>REMEDIATION_MAPPING_HYPOTHESIS</x:v>
      </x:c>
      <x:c r="Q35" s="53" t="str">
        <x:v>Prefers board-responsive development over preserving a stalled long plan.</x:v>
      </x:c>
      <x:c r="R35" s="53" t="str">
        <x:v>A clearly lost setup can make changing plans tactically mandatory.</x:v>
      </x:c>
      <x:c r="S35" s="53" t="str">
        <x:v>WG</x:v>
      </x:c>
      <x:c r="T35" s="53" t="str">
        <x:v>incomplete / useful_evidence_remains / b1.crucible.bant.v1</x:v>
      </x:c>
    </x:row>
    <x:row r="36">
      <x:c r="A36" s="53" t="n">
        <x:v>8</x:v>
      </x:c>
      <x:c r="B36" s="53" t="str">
        <x:v>main</x:v>
      </x:c>
      <x:c r="C36" s="53" t="str">
        <x:v>crucible</x:v>
      </x:c>
      <x:c r="D36" s="53" t="str">
        <x:v>b1.crucible.bant.v1</x:v>
      </x:c>
      <x:c r="E36" s="53" t="str">
        <x:v>Your commander can carry much of your plan. What role should the rest of the deck play?</x:v>
      </x:c>
      <x:c r="F36" s="53" t="str">
        <x:v>b1.crucible.bant.v1.refine</x:v>
      </x:c>
      <x:c r="G36" s="53" t="str">
        <x:v>Refine and protect the commander</x:v>
      </x:c>
      <x:c r="H36" s="53" t="str">
        <x:v>C05</x:v>
      </x:c>
      <x:c r="I36" s="53" t="str">
        <x:v>SIG_C05_CENTERPIECE</x:v>
      </x:c>
      <x:c r="J36" s="53" t="str">
        <x:v>DG_C05</x:v>
      </x:c>
      <x:c r="K36" s="53" t="str">
        <x:v>BEHAVIORAL_OBSERVATION</x:v>
      </x:c>
      <x:c r="L36" s="53" t="str">
        <x:v>BANT</x:v>
      </x:c>
      <x:c r="M36" s="53" t="str"/>
      <x:c r="N36" s="53" t="n">
        <x:v>1</x:v>
      </x:c>
      <x:c r="O36" s="54" t="b">
        <x:v>1</x:v>
      </x:c>
      <x:c r="P36" s="53" t="str">
        <x:v>MAPPING_HYPOTHESIS</x:v>
      </x:c>
      <x:c r="Q36" s="53" t="str">
        <x:v>Accepts a protected commander centerpiece.</x:v>
      </x:c>
      <x:c r="R36" s="53" t="str">
        <x:v>Use only after prior independent observations leave the stated competitor boundary plausible; the identity association requires player validation.</x:v>
      </x:c>
      <x:c r="S36" s="53" t="str">
        <x:v>BANT</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BANT</x:v>
      </x:c>
      <x:c r="C40" s="53" t="str">
        <x:v>Bant</x:v>
      </x:c>
      <x:c r="D40" s="53" t="n">
        <x:v>0.916667</x:v>
      </x:c>
      <x:c r="E40" s="54" t="b">
        <x:v>1</x:v>
      </x:c>
      <x:c r="F40" s="53" t="str">
        <x:v>C05 | C13</x:v>
      </x:c>
    </x:row>
    <x:row r="41">
      <x:c r="A41" s="53" t="n">
        <x:v>2</x:v>
      </x:c>
      <x:c r="B41" s="53" t="str">
        <x:v>WG</x:v>
      </x:c>
      <x:c r="C41" s="53" t="str">
        <x:v>Selesnya Conclave</x:v>
      </x:c>
      <x:c r="D41" s="53" t="n">
        <x:v>0.916667</x:v>
      </x:c>
      <x:c r="E41" s="54" t="b">
        <x:v>0</x:v>
      </x:c>
      <x:c r="F41" s="53" t="str">
        <x:v>C13</x:v>
      </x:c>
    </x:row>
    <x:row r="42">
      <x:c r="A42" s="53" t="n">
        <x:v>3</x:v>
      </x:c>
      <x:c r="B42" s="53" t="str">
        <x:v>WUBRG</x:v>
      </x:c>
      <x:c r="C42" s="53" t="str">
        <x:v>Five-Color / WUBRG</x:v>
      </x:c>
      <x:c r="D42" s="53" t="n">
        <x:v>0.75</x:v>
      </x:c>
      <x:c r="E42" s="54" t="b">
        <x:v>0</x:v>
      </x:c>
      <x:c r="F42" s="53" t="str">
        <x:v>C13</x:v>
      </x:c>
    </x:row>
    <x:row r="43">
      <x:c r="A43" s="53" t="n">
        <x:v>4</x:v>
      </x:c>
      <x:c r="B43" s="53" t="str">
        <x:v>TEMUR</x:v>
      </x:c>
      <x:c r="C43" s="53" t="str">
        <x:v>Temur Frontier</x:v>
      </x:c>
      <x:c r="D43" s="53" t="n">
        <x:v>0.625</x:v>
      </x:c>
      <x:c r="E43" s="54" t="b">
        <x:v>0</x:v>
      </x:c>
      <x:c r="F43" s="53" t="str">
        <x:v>C14</x:v>
      </x:c>
    </x:row>
    <x:row r="44">
      <x:c r="A44" s="53" t="n">
        <x:v>5</x:v>
      </x:c>
      <x:c r="B44" s="53" t="str">
        <x:v>MARDU</x:v>
      </x:c>
      <x:c r="C44" s="53" t="str">
        <x:v>Mardu Horde</x:v>
      </x:c>
      <x:c r="D44" s="53" t="n">
        <x:v>0.625</x:v>
      </x:c>
      <x:c r="E44" s="54" t="b">
        <x:v>0</x:v>
      </x:c>
      <x:c r="F44" s="53" t="str">
        <x:v>C07</x:v>
      </x:c>
    </x:row>
    <x:row r="45">
      <x:c r="A45" s="53" t="n">
        <x:v>6</x:v>
      </x:c>
      <x:c r="B45" s="53" t="str">
        <x:v>WR</x:v>
      </x:c>
      <x:c r="C45" s="53" t="str">
        <x:v>Boros Legion</x:v>
      </x:c>
      <x:c r="D45" s="53" t="n">
        <x:v>0.625</x:v>
      </x:c>
      <x:c r="E45" s="54" t="b">
        <x:v>0</x:v>
      </x:c>
      <x:c r="F45" s="53" t="str">
        <x:v>C07</x:v>
      </x:c>
    </x:row>
    <x:row r="46">
      <x:c r="A46" s="53" t="n">
        <x:v>7</x:v>
      </x:c>
      <x:c r="B46" s="53" t="str">
        <x:v>DUNE</x:v>
      </x:c>
      <x:c r="C46" s="53" t="str">
        <x:v>Dune / Aggression</x:v>
      </x:c>
      <x:c r="D46" s="53" t="n">
        <x:v>0.541667</x:v>
      </x:c>
      <x:c r="E46" s="54" t="b">
        <x:v>0</x:v>
      </x:c>
      <x:c r="F46" s="53" t="str">
        <x:v>C07</x:v>
      </x:c>
    </x:row>
    <x:row r="47">
      <x:c r="A47" s="53" t="n">
        <x:v>8</x:v>
      </x:c>
      <x:c r="B47" s="53" t="str">
        <x:v>JUND</x:v>
      </x:c>
      <x:c r="C47" s="53" t="str">
        <x:v>Jund</x:v>
      </x:c>
      <x:c r="D47" s="53" t="n">
        <x:v>0.541667</x:v>
      </x:c>
      <x:c r="E47" s="54" t="b">
        <x:v>0</x:v>
      </x:c>
      <x:c r="F47" s="53" t="str">
        <x:v>C01</x:v>
      </x:c>
    </x:row>
    <x:row r="48">
      <x:c r="A48" s="53" t="n">
        <x:v>9</x:v>
      </x:c>
      <x:c r="B48" s="53" t="str">
        <x:v>R</x:v>
      </x:c>
      <x:c r="C48" s="53" t="str">
        <x:v>Red</x:v>
      </x:c>
      <x:c r="D48" s="53" t="n">
        <x:v>0.541667</x:v>
      </x:c>
      <x:c r="E48" s="54" t="b">
        <x:v>0</x:v>
      </x:c>
      <x:c r="F48" s="53" t="str">
        <x:v>C01</x:v>
      </x:c>
    </x:row>
    <x:row r="49">
      <x:c r="A49" s="53" t="n">
        <x:v>10</x:v>
      </x:c>
      <x:c r="B49" s="53" t="str">
        <x:v>RG</x:v>
      </x:c>
      <x:c r="C49" s="53" t="str">
        <x:v>Gruul Clans</x:v>
      </x:c>
      <x:c r="D49" s="53" t="n">
        <x:v>0.541667</x:v>
      </x:c>
      <x:c r="E49" s="54" t="b">
        <x:v>0</x:v>
      </x:c>
      <x:c r="F49" s="53" t="str">
        <x:v>C01</x:v>
      </x:c>
    </x:row>
    <x:row r="50">
      <x:c r="A50" s="53" t="n">
        <x:v>11</x:v>
      </x:c>
      <x:c r="B50" s="53" t="str">
        <x:v>GLINT</x:v>
      </x:c>
      <x:c r="C50" s="53" t="str">
        <x:v>Glint / Chaos</x:v>
      </x:c>
      <x:c r="D50" s="53" t="n">
        <x:v>0.458333</x:v>
      </x:c>
      <x:c r="E50" s="54" t="b">
        <x:v>0</x:v>
      </x:c>
      <x:c r="F50" s="53" t="str">
        <x:v>C14</x:v>
      </x:c>
    </x:row>
    <x:row r="51">
      <x:c r="A51" s="53" t="n">
        <x:v>12</x:v>
      </x:c>
      <x:c r="B51" s="53" t="str">
        <x:v>ABZAN</x:v>
      </x:c>
      <x:c r="C51" s="53" t="str">
        <x:v>Abzan Houses</x:v>
      </x:c>
      <x:c r="D51" s="53" t="n">
        <x:v>0.25</x:v>
      </x:c>
      <x:c r="E51" s="54" t="b">
        <x:v>0</x:v>
      </x:c>
      <x:c r="F51" s="53" t="str"/>
    </x:row>
    <x:row r="52">
      <x:c r="A52" s="53" t="n">
        <x:v>13</x:v>
      </x:c>
      <x:c r="B52" s="53" t="str">
        <x:v>W</x:v>
      </x:c>
      <x:c r="C52" s="53" t="str">
        <x:v>White</x:v>
      </x:c>
      <x:c r="D52" s="53" t="n">
        <x:v>0.25</x:v>
      </x:c>
      <x:c r="E52" s="54" t="b">
        <x:v>0</x:v>
      </x:c>
      <x:c r="F52" s="53" t="str"/>
    </x:row>
    <x:row r="53">
      <x:c r="A53" s="53" t="n">
        <x:v>14</x:v>
      </x:c>
      <x:c r="B53" s="53" t="str">
        <x:v>G</x:v>
      </x:c>
      <x:c r="C53" s="53" t="str">
        <x:v>Green</x:v>
      </x:c>
      <x:c r="D53" s="53" t="n">
        <x:v>0.166667</x:v>
      </x:c>
      <x:c r="E53" s="54" t="b">
        <x:v>0</x:v>
      </x:c>
      <x:c r="F53" s="53" t="str"/>
    </x:row>
    <x:row r="54">
      <x:c r="A54" s="53" t="n">
        <x:v>15</x:v>
      </x:c>
      <x:c r="B54" s="53" t="str">
        <x:v>INK</x:v>
      </x:c>
      <x:c r="C54" s="53" t="str">
        <x:v>Ink / Altruism</x:v>
      </x:c>
      <x:c r="D54" s="53" t="n">
        <x:v>0.166667</x:v>
      </x:c>
      <x:c r="E54" s="54" t="b">
        <x:v>0</x:v>
      </x:c>
      <x:c r="F54" s="53" t="str"/>
    </x:row>
    <x:row r="55">
      <x:c r="A55" s="53" t="n">
        <x:v>16</x:v>
      </x:c>
      <x:c r="B55" s="53" t="str">
        <x:v>UG</x:v>
      </x:c>
      <x:c r="C55" s="53" t="str">
        <x:v>Simic Combine</x:v>
      </x:c>
      <x:c r="D55" s="53" t="n">
        <x:v>0.166667</x:v>
      </x:c>
      <x:c r="E55" s="54" t="b">
        <x:v>0</x:v>
      </x:c>
      <x:c r="F55" s="53" t="str"/>
    </x:row>
    <x:row r="56">
      <x:c r="A56" s="53" t="n">
        <x:v>17</x:v>
      </x:c>
      <x:c r="B56" s="53" t="str">
        <x:v>GRIXIS</x:v>
      </x:c>
      <x:c r="C56" s="53" t="str">
        <x:v>Grixis</x:v>
      </x:c>
      <x:c r="D56" s="53" t="n">
        <x:v>0.125</x:v>
      </x:c>
      <x:c r="E56" s="54" t="b">
        <x:v>0</x:v>
      </x:c>
      <x:c r="F56" s="53" t="str"/>
    </x:row>
    <x:row r="57">
      <x:c r="A57" s="53" t="n">
        <x:v>18</x:v>
      </x:c>
      <x:c r="B57" s="53" t="str">
        <x:v>PRISMARI</x:v>
      </x:c>
      <x:c r="C57" s="53" t="str">
        <x:v>Prismari College</x:v>
      </x:c>
      <x:c r="D57" s="53" t="n">
        <x:v>0.083333</x:v>
      </x:c>
      <x:c r="E57" s="54" t="b">
        <x:v>0</x:v>
      </x:c>
      <x:c r="F57" s="53" t="str"/>
    </x:row>
    <x:row r="58">
      <x:c r="A58" s="53" t="n">
        <x:v>19</x:v>
      </x:c>
      <x:c r="B58" s="53" t="str">
        <x:v>BG</x:v>
      </x:c>
      <x:c r="C58" s="53" t="str">
        <x:v>Golgari Swarm</x:v>
      </x:c>
      <x:c r="D58" s="53" t="n">
        <x:v>0.083333</x:v>
      </x:c>
      <x:c r="E58" s="54" t="b">
        <x:v>0</x:v>
      </x:c>
      <x:c r="F58" s="53" t="str"/>
    </x:row>
    <x:row r="59">
      <x:c r="A59" s="53" t="n">
        <x:v>20</x:v>
      </x:c>
      <x:c r="B59" s="53" t="str">
        <x:v>BR</x:v>
      </x:c>
      <x:c r="C59" s="53" t="str">
        <x:v>Cult of Rakdos</x:v>
      </x:c>
      <x:c r="D59" s="53" t="n">
        <x:v>0.083333</x:v>
      </x:c>
      <x:c r="E59" s="54" t="b">
        <x:v>0</x:v>
      </x:c>
      <x:c r="F59" s="53" t="str"/>
    </x:row>
    <x:row r="60">
      <x:c r="A60" s="53" t="n">
        <x:v>21</x:v>
      </x:c>
      <x:c r="B60" s="53" t="str">
        <x:v>LOREHOLD</x:v>
      </x:c>
      <x:c r="C60" s="53" t="str">
        <x:v>Lorehold College</x:v>
      </x:c>
      <x:c r="D60" s="53" t="n">
        <x:v>0.083333</x:v>
      </x:c>
      <x:c r="E60" s="54" t="b">
        <x:v>0</x:v>
      </x:c>
      <x:c r="F60" s="53" t="str"/>
    </x:row>
    <x:row r="61">
      <x:c r="A61" s="53" t="n">
        <x:v>22</x:v>
      </x:c>
      <x:c r="B61" s="53" t="str">
        <x:v>NAYA</x:v>
      </x:c>
      <x:c r="C61" s="53" t="str">
        <x:v>Naya</x:v>
      </x:c>
      <x:c r="D61" s="53" t="n">
        <x:v>0.083333</x:v>
      </x:c>
      <x:c r="E61" s="54" t="b">
        <x:v>0</x:v>
      </x:c>
      <x:c r="F61" s="53" t="str"/>
    </x:row>
    <x:row r="62">
      <x:c r="A62" s="53" t="n">
        <x:v>23</x:v>
      </x:c>
      <x:c r="B62" s="53" t="str">
        <x:v>QUANDRIX</x:v>
      </x:c>
      <x:c r="C62" s="53" t="str">
        <x:v>Quandrix College</x:v>
      </x:c>
      <x:c r="D62" s="53" t="n">
        <x:v>0.083333</x:v>
      </x:c>
      <x:c r="E62" s="54" t="b">
        <x:v>0</x:v>
      </x:c>
      <x:c r="F62" s="53" t="str"/>
    </x:row>
    <x:row r="63">
      <x:c r="A63" s="53" t="n">
        <x:v>24</x:v>
      </x:c>
      <x:c r="B63" s="53" t="str">
        <x:v>SILVERQUILL</x:v>
      </x:c>
      <x:c r="C63" s="53" t="str">
        <x:v>Silverquill College</x:v>
      </x:c>
      <x:c r="D63" s="53" t="n">
        <x:v>0.083333</x:v>
      </x:c>
      <x:c r="E63" s="54" t="b">
        <x:v>0</x:v>
      </x:c>
      <x:c r="F63" s="53" t="str"/>
    </x:row>
    <x:row r="64">
      <x:c r="A64" s="53" t="n">
        <x:v>25</x:v>
      </x:c>
      <x:c r="B64" s="53" t="str">
        <x:v>SULTAI</x:v>
      </x:c>
      <x:c r="C64" s="53" t="str">
        <x:v>Sultai Brood</x:v>
      </x:c>
      <x:c r="D64" s="53" t="n">
        <x:v>0.083333</x:v>
      </x:c>
      <x:c r="E64" s="54" t="b">
        <x:v>0</x:v>
      </x:c>
      <x:c r="F64" s="53" t="str"/>
    </x:row>
    <x:row r="65">
      <x:c r="A65" s="53" t="n">
        <x:v>26</x:v>
      </x:c>
      <x:c r="B65" s="53" t="str">
        <x:v>UR</x:v>
      </x:c>
      <x:c r="C65" s="53" t="str">
        <x:v>Izzet League</x:v>
      </x:c>
      <x:c r="D65" s="53" t="n">
        <x:v>0.083333</x:v>
      </x:c>
      <x:c r="E65" s="54" t="b">
        <x:v>0</x:v>
      </x:c>
      <x:c r="F65" s="53" t="str"/>
    </x:row>
    <x:row r="66">
      <x:c r="A66" s="53" t="n">
        <x:v>27</x:v>
      </x:c>
      <x:c r="B66" s="53" t="str">
        <x:v>WB</x:v>
      </x:c>
      <x:c r="C66" s="53" t="str">
        <x:v>Orzhov Syndicate</x:v>
      </x:c>
      <x:c r="D66" s="53" t="n">
        <x:v>0.083333</x:v>
      </x:c>
      <x:c r="E66" s="54" t="b">
        <x:v>0</x:v>
      </x:c>
      <x:c r="F66" s="53" t="str"/>
    </x:row>
    <x:row r="67">
      <x:c r="A67" s="53" t="n">
        <x:v>28</x:v>
      </x:c>
      <x:c r="B67" s="53" t="str">
        <x:v>WITCH</x:v>
      </x:c>
      <x:c r="C67" s="53" t="str">
        <x:v>Witch / Growth</x:v>
      </x:c>
      <x:c r="D67" s="53" t="n">
        <x:v>0.083333</x:v>
      </x:c>
      <x:c r="E67" s="54" t="b">
        <x:v>0</x:v>
      </x:c>
      <x:c r="F67" s="53" t="str"/>
    </x:row>
    <x:row r="68">
      <x:c r="A68" s="53" t="n">
        <x:v>29</x:v>
      </x:c>
      <x:c r="B68" s="53" t="str">
        <x:v>WITHERBLOOM</x:v>
      </x:c>
      <x:c r="C68" s="53" t="str">
        <x:v>Witherbloom College</x:v>
      </x:c>
      <x:c r="D68" s="53" t="n">
        <x:v>0.083333</x:v>
      </x:c>
      <x:c r="E68" s="54" t="b">
        <x:v>0</x:v>
      </x:c>
      <x:c r="F68" s="53" t="str"/>
    </x:row>
    <x:row r="69">
      <x:c r="A69" s="53" t="n">
        <x:v>30</x:v>
      </x:c>
      <x:c r="B69" s="53" t="str">
        <x:v>JESKAI</x:v>
      </x:c>
      <x:c r="C69" s="53" t="str">
        <x:v>Jeskai Way</x:v>
      </x:c>
      <x:c r="D69" s="53" t="n">
        <x:v>0.0625</x:v>
      </x:c>
      <x:c r="E69" s="54" t="b">
        <x:v>0</x:v>
      </x:c>
      <x:c r="F69" s="53" t="str"/>
    </x:row>
    <x:row r="70">
      <x:c r="A70" s="53" t="n">
        <x:v>31</x:v>
      </x:c>
      <x:c r="B70" s="53" t="str">
        <x:v>U</x:v>
      </x:c>
      <x:c r="C70" s="53" t="str">
        <x:v>Blue</x:v>
      </x:c>
      <x:c r="D70" s="53" t="n">
        <x:v>0.0625</x:v>
      </x:c>
      <x:c r="E70" s="54" t="b">
        <x:v>0</x:v>
      </x:c>
      <x:c r="F70" s="53" t="str"/>
    </x:row>
    <x:row r="71">
      <x:c r="A71" s="53" t="n">
        <x:v>32</x:v>
      </x:c>
      <x:c r="B71" s="53" t="str">
        <x:v>UB</x:v>
      </x:c>
      <x:c r="C71" s="53" t="str">
        <x:v>House Dimir</x:v>
      </x:c>
      <x:c r="D71" s="53" t="n">
        <x:v>0.0625</x:v>
      </x:c>
      <x:c r="E71" s="54" t="b">
        <x:v>0</x:v>
      </x:c>
      <x:c r="F71" s="53" t="str"/>
    </x:row>
    <x:row r="72">
      <x:c r="A72" s="53" t="n">
        <x:v>33</x:v>
      </x:c>
      <x:c r="B72" s="53" t="str">
        <x:v>WU</x:v>
      </x:c>
      <x:c r="C72" s="53" t="str">
        <x:v>Azorius Senate</x:v>
      </x:c>
      <x:c r="D72" s="53" t="n">
        <x:v>0.0625</x:v>
      </x:c>
      <x:c r="E72" s="54" t="b">
        <x:v>0</x:v>
      </x:c>
      <x:c r="F72" s="53" t="str"/>
    </x:row>
    <x:row r="73">
      <x:c r="A73" s="53" t="n">
        <x:v>34</x:v>
      </x:c>
      <x:c r="B73" s="53" t="str">
        <x:v>B</x:v>
      </x:c>
      <x:c r="C73" s="53" t="str">
        <x:v>Black</x:v>
      </x:c>
      <x:c r="D73" s="53" t="n">
        <x:v>0</x:v>
      </x:c>
      <x:c r="E73" s="54" t="b">
        <x:v>0</x:v>
      </x:c>
      <x:c r="F73" s="53" t="str"/>
    </x:row>
    <x:row r="74">
      <x:c r="A74" s="53" t="n">
        <x:v>35</x:v>
      </x:c>
      <x:c r="B74" s="53" t="str">
        <x:v>COLORLESS</x:v>
      </x:c>
      <x:c r="C74" s="53" t="str">
        <x:v>Colorless</x:v>
      </x:c>
      <x:c r="D74" s="53" t="n">
        <x:v>0</x:v>
      </x:c>
      <x:c r="E74" s="54" t="b">
        <x:v>0</x:v>
      </x:c>
      <x:c r="F74" s="53" t="str"/>
    </x:row>
    <x:row r="75">
      <x:c r="A75" s="53" t="n">
        <x:v>36</x:v>
      </x:c>
      <x:c r="B75" s="53" t="str">
        <x:v>ESPER</x:v>
      </x:c>
      <x:c r="C75" s="53" t="str">
        <x:v>Esper</x:v>
      </x:c>
      <x:c r="D75" s="53" t="n">
        <x:v>0</x:v>
      </x:c>
      <x:c r="E75" s="54" t="b">
        <x:v>0</x:v>
      </x:c>
      <x:c r="F75" s="53" t="str"/>
    </x:row>
    <x:row r="76">
      <x:c r="A76" s="53" t="n">
        <x:v>37</x:v>
      </x:c>
      <x:c r="B76" s="53" t="str">
        <x:v>YORE</x:v>
      </x:c>
      <x:c r="C76" s="53" t="str">
        <x:v>Yore / Artifice</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"BANT",
  "faction_name": "Bant",
  "institution_type": "shard",
  "world": "Alara",
  "identity": {
    "core_color": "W",
    "secondary_colors": [
      "U",
      "G"
    ],
    "secondary_color": "U",
    "expression_key": "BANT",
    "expression_name": "Bant",
    "expression_kind": "shard",
    "purity": null,
    "routing": {
      "edhrec_slug": "bant",
      "mtgdecks_slug": "bant",
      "label": "Bant"
    }
  },
  "decree": "Bant is the clearest current fit from the approved observations.",
  "confidence": 0.045,
  "confidence_gap": 1,
  "mana_scores": {
    "W": 10,
    "U": 9,
    "B": 9,
    "R": 10,
    "G": 10
  },
  "top_matches": [
    {
      "rank": 1,
      "faction": "BANT",
      "faction_name": "Bant",
      "institution_type": "shard",
      "world": "Alara",
      "identity": {
        "core_color": "W",
        "secondary_colors": [
          "U",
          "G"
        ],
        "secondary_color": "U",
        "expression_key": "BANT",
        "expression_name": "Bant",
        "expression_kind": "shard",
        "purity": null,
        "routing": {
          "edhrec_slug": "bant",
          "mtgdecks_slug": "bant",
          "label": "Bant"
        }
      },
      "score": 0.916667,
      "confidence": 0.045,
      "reason": "Bant remained plausible through C03, C05; identity mapping remains a hypothesis."
    }
  ],
  "adjacent_matches": [],
  "internal_candidate_order": [
    {
      "identity": "BANT",
      "score": 0.916667,
      "positive_dependencies": 2,
      "qualification_dependencies": 2,
      "naming_dependencies": 1,
      "positive_constructs": [
        "C05",
        "C13"
      ],
      "satisfied_naming_rule_ids": [
        "baseline_40:b1.crucible.bant.v1.refine:BANT"
      ],
      "naming_qualification": {
        "identity": "BANT",
        "qualified": true,
        "satisfied_naming_rule_ids": [
          "baseline_40:b1.crucible.bant.v1.refine:BANT"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"C05"
      ]
    },
    {
      "identity": "WG",
      "score": 0.916667,
      "positive_dependencies": 1,
      "qualification_dependencies": 1,
      "naming_dependencies": 1,
      "positive_constructs": [
        "C13"
      ],
      "satisfied_naming_rule_ids": [
        "instrument_completion_overlay:b1.hall.commitment.v1.access:WG"
      ],
      "naming_qualification": {
        "identity": "WG",
        "qualified": false,
        "satisfied_naming_rule_ids": [
          "instrument_completion_overlay:b1.hall.commitment.v1.access:WG"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"WUBRG",
      "score": 0.75,
      "positive_dependencies": 1,
      "qualification_dependencies": 1,
      "naming_dependencies": 0,
      "positive_constructs": [
        "C13"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"TEMUR",
      "score": 0.625,
      "positive_dependencies": 1,
      "qualification_dependencies": 1,
      "naming_dependencies": 0,
      "positive_constructs": [
        "C14"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"MARDU",
      "score": 0.625,
      "positive_dependencies": 1,
      "qualification_dependencies": 1,
      "naming_dependencies": 0,
      "positive_constructs": [
        "C07"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"WR",
      "score": 0.625,
      "positive_dependencies": 1,
      "qualification_dependencies": 1,
      "naming_dependencies": 0,
      "positive_constructs": [
        "C07"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"DUNE",
      "score": 0.541667,
      "positive_dependencies": 1,
      "qualification_dependencies": 1,
      "naming_dependencies": 0,
      "positive_constructs": [
        "C07"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"GLINT",
      "score": 0.458333,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"ABZAN",
      "score": 0.25,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"W",
      "score": 0.25,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x:v>
      </x:c>
    </x:row>
    <x:row r="80">
      <x:c r="A80" s="53" t="str">
        <x:v>Part 2/3</x:v>
      </x:c>
      <x:c r="B80" s="53" t="str">
        <x:v>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"BANT",
    "WG",
    "WUBRG",
    "TEMUR",
    "MARDU",
    "WR"
  ],
  "alternatives": [],
  "refinement": {
    "kind": "no_approved_discriminator",
    "can_reduce_ambiguity": false,
    "remaining_candidates": [
      "BANT",
      "WG",
      "WUBRG",
      "TEMUR",
      "MARDU",
      "WR",
      "DUNE",
      "JUND"
    ],
    "unresolved_boundaries": [
      {
        "pair_id": "BANT__JUND",
        "identities": [
          "BANT",
          "JUND"
        ],
        "distinction": "BANT uses Commander reliance evidence; JUND uses Initiative posture evidence. No direct pair claim is made.",
        "question_ids": [
          "b1.hall.commander-role.v1",
          "b1.gate.initiative.v1",
          "b1.crucible.mono-multi.v1",
          "b1.crucible.bant.v1",
          "b1.hall.sacrifice.v1",
          "b1.hall.commitment.v1",
          "b1.hall.pressure.v1",
          "b1.hall.setup.v1",
          "b1.crucible.disruption-boundary.v1"
        ],
        "coverage_status": "DIRECT-OR-STRUCTURAL-MAPPING-HYPOTHESIS; bounded player validation required"
      },
      {
        "pair_id": "BANT__TEMUR",
        "identities": [
          "BANT",
          "TEMUR"
        ],
        "distinction": "BANT uses Commander reliance evidence; TEMUR uses Initiative posture evidence. No direct pair claim is made.",
        "question_ids": [
          "b1.hall.commander-role.v1",
          "b1.gate.initiative.v1",
          "b1.crucible.mono-multi.v1",
          "b1.crucible.bant.v1",
          "b1.crucible.temur.v1",
          "b1.hall.commitment.v1",
          "b1.hall.setup.v1"
        ],
        "coverage_status": "DIRECT-OR-STRUCTURAL-MAPPING-HYPOTHESIS; bounded player validation required"
      },
      {
        "pair_id": "JUND__WUBRG",
        "identities": [
          "JUND",
          "WUBRG"
        ],
        "distinction": "JUND uses Initiative posture evidence; WUBRG uses Deck breadth and constraint evidence. No direct pair claim is made.",
        "question_ids": [
          "b1.gate.initiative.v1",
          "b1.hall.breadth.v1",
          "b1.crucible.mono-multi.v1",
          "b1.crucible.colorless-wubrg.v1",
          "b1.hall.sacrifice.v1",
          "b1.hall.commitment.v1",
          "b1.hall.pressure.v1",
          "b1.hall.engine-shape.v1",
          "b1.crucible.disruption-boundary.v1"
        ],
        "coverage_status": "DIRECT-OR-STRUCTURAL-MAPPING-HYPOTHESIS; bounded player validation required"
      },
      {
        "pair_id": "TEMUR__WUBRG",
        "identities": [
          "TEMUR",
          "WUBRG"
        ],
        "distinction": "TEMUR uses Initiative posture evidence; WUBRG uses Deck breadth and constraint evidence. No direct pair claim is made.",
        "question_ids": [
          "b1.gate.initiative.v1",
          "b1.hall.breadth.v1",
          "b1.crucible.mono-multi.v1",
          "b1.crucible.temur.v1",
          "b1.crucible.colorless-wubrg.v1",
          "b1.hall.commitment.v1",
          "b1.hall.engine-shape.v1",
          "b1.hall.setup.v1"
        ],
        "coverage_status": "DIRECT-OR-STRUCTURAL-MAPPING-HYPOTHESIS; bounded player validation required"
      }
    ],
    "missing_constructs": [
      "C09",
      "C11",
      "C12",
      "C15"
    ],
    "question_id": null,
    "purpose": "none_for_clean_primary",
    "target_identities": [
      "BANT",
      "WG",
      "WUBRG"
    ],
    "target_pair_ids": [
      "BANT__JUND",
      "BANT__TEMUR",
      "JUND__WUBRG",
      "TEMUR__WUBRG"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"answer_title": "Less exposed in the first place",
      "prompt": "A board wipe—an effect that removes many cards and tokens from the battlefield—is likely next turn. What would you rather have prepared?",
      "observation": "Prefers reduced exposure to broad disruption.",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"answer_title": "Coordinate one attack",
      "prompt": "The player ahead uses all their mana and leaves one turn where the table can take control. Which kind of pressure do you want your deck to create?",
      "observation": "Prefers formation-based combat pressure during a shared opening.",
      "deltas": [
        {
          "faction": "DUNE",
          "delta": 0.5
        },
        {
          "faction": "MARDU",
          "delta": 0.5
        },
        {
          "faction": "WR",
          "delta": 0.5
        }
      ]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"answer_title": "Protect shared access",
      "prompt": "The table agrees to stop a repeatable threat. Before your next turn, the board changes and that threat is weaker but still present. What should the agreement require now?",
      "observation": "Prefers protecting a shared resource or opportunity after circumstances change.",
      "deltas": [
        {
          "faction": "BANT",
          "delta": 1
        },
        {
          "faction": "WG",
          "delta": 1
        },
        {
          "faction": "WUBRG",
          "delta": 1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"question_id": "b1.crucible.bant.v1",
      "answer_id": "b1.crucible.bant.v1.refine",
      "stage": "crucible",
      "construct": "C05",
      "bounded_observation": "Accepts a protected commander centerpiece.",
      "signal": "SIG_C05_CENTERPIECE",
      "dependency_group": "DG_C05",
      "evidence_class": "BEHAVIORAL_OBSERVATION",
      "affected_identities": [
        "BANT"
      ],
      "positive_support": [
        "BANT"
      ],
      "contradiction": [],
      "neutral": false,
      "mapping_strength": 1,
      "naming_evidence": true,
      "qualification_eligible": true,
      "qualification_support": [
        "BANT"
      ],
      "naming_support": [
        "BANT"
      ],
      "naming_rule_ids_by_identity": {
        "BANT": [
          "baseline_40:b1.crucible.bant.v1.refine:BANT"
        ]
      },
      "mapping_role": "bounded_target_direction",
      "mapping_status": "MAPPING_HYPOTHESIS",
      "mapping_provenance": "answer-semantic-adjudication.tsv BANT boundary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"Refine and protect the commander",
      "prompt": "Your commander can carry much of your plan. What role should the rest of the deck play?",
      "observation": "Accepts a protected commander centerpiece.",
      "deltas": [
        {
          "faction": "BANT",
          "delta": 1
        }
      ]
    }
  ],
  "evidence_ledg</x:v>
      </x:c>
    </x:row>
    <x:row r="81">
      <x:c r="A81" s="53" t="str">
        <x:v>Part 3/3</x:v>
      </x:c>
      <x:c r="B81" s="53" t="str">
        <x:v>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"b1.gate.disruption.v1.limit",
      "stage": "gate",
      "construct": "C03",
      "bounded_observation": "Prefers reduced exposure to broad disruption.",
      "signal": "SIG_C03_LIMIT_EXPOSURE",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"question_id": "b1.crucible.bant.v1",
      "answer_id": "b1.crucible.bant.v1.refine",
      "stage": "crucible",
      "construct": "C05",
      "bounded_observation": "Accepts a protected commander centerpiece.",
      "signal": "SIG_C05_CENTERPIECE",
      "dependency_group": "DG_C05",
      "evidence_class": "BEHAVIORAL_OBSERVATION",
      "affected_identities": [
        "BANT"
      ],
      "positive_support": [
        "BANT"
      ],
      "contradiction": [],
      "neutral": false,
      "mapping_strength": 1,
      "naming_evidence": true,
      "qualification_eligible": true,
      "qualification_support": [
        "BANT"
      ],
      "naming_support": [
        "BANT"
      ],
      "naming_rule_ids_by_identity": {
        "BANT": [
          "baseline_40:b1.crucible.bant.v1.refine:BANT"
        ]
      },
      "mapping_role": "bounded_target_direction",
      "mapping_status": "MAPPING_HYPOTHESIS",
      "mapping_provenance": "answer-semantic-adjudication.tsv BANT boundary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"b1.gate.disruption.v1.limit",
      "stage": "gate",
      "evidence_class": "BEHAVIORAL_OBSERVATION"
    },
    {
      "question_id": "b1.gate.tempo.v1",
      "answer_id": "b1.gate.tempo.v1.burst",
      "stage": "gate",
      "evidence_class": "BEHAVIORAL_OBSERVATION"
    },
    {
      "question_id": "b1.hall.pressure.v1",
      "answer_id": "b1.hall.pressure.v1.coordinate",
      "stage": "hall",
      "evidence_class": "BEHAVIORAL_OBSERVATION"
    },
    {
      "question_id": "b1.hall.commitment.v1",
      "answer_id": "b1.hall.commitment.v1.access",
      "stage": "hall",
      "evidence_class": "BEHAVIORAL_OBSERVATION"
    },
    {
      "question_id": "b1.hall.setup.v1",
      "answer_id": "b1.hall.setup.v1.change",
      "stage": "hall",
      "evidence_class": "BEHAVIORAL_OBSERVATION"
    },
    {
      "question_id": "b1.crucible.bant.v1",
      "answer_id": "b1.crucible.bant.v1.refine",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Esper — Engine Trace</x:v>
      </x:c>
      <x:c r="B1" s="3"/>
      <x:c r="C1" s="3"/>
      <x:c r="D1" s="3"/>
      <x:c r="E1" s="3"/>
      <x:c r="F1" s="3"/>
      <x:c r="G1" s="3"/>
      <x:c r="H1" s="3"/>
      <x:c r="I1" s="3"/>
      <x:c r="J1" s="3"/>
      <x:c r="K1" s="3"/>
      <x:c r="L1" s="3"/>
      <x:c r="M1" s="3"/>
      <x:c r="N1" s="3"/>
      <x:c r="O1" s="3"/>
      <x:c r="P1" s="3"/>
      <x:c r="Q1" s="3"/>
      <x:c r="R1" s="3"/>
      <x:c r="S1" s="3"/>
      <x:c r="T1" s="3"/>
    </x:row>
    <x:row r="2" ht="30" customHeight="1">
      <x:c r="A2" s="7" t="str">
        <x:v>ENGINE-ESPER • PASS_MATCH • primary • trace ce4ad041dcc8eab3ecec230e6711070e3b0eeceec8835740d2717a756399d065</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ESPER</x:v>
      </x:c>
    </x:row>
    <x:row r="6">
      <x:c r="A6" s="53" t="str">
        <x:v>Expected public contract</x:v>
      </x:c>
      <x:c r="B6" s="53" t="str">
        <x:v>NAMED_DOSSIER</x:v>
      </x:c>
    </x:row>
    <x:row r="7">
      <x:c r="A7" s="53" t="str">
        <x:v>Witness status</x:v>
      </x:c>
      <x:c r="B7" s="53" t="str">
        <x:v>CURRENT_COMPATIBLE</x:v>
      </x:c>
    </x:row>
    <x:row r="8">
      <x:c r="A8" s="53" t="str">
        <x:v>Actual result</x:v>
      </x:c>
      <x:c r="B8" s="53" t="str">
        <x:v>ESPER</x:v>
      </x:c>
    </x:row>
    <x:row r="9">
      <x:c r="A9" s="53" t="str">
        <x:v>Directional result</x:v>
      </x:c>
      <x:c r="B9" s="53" t="str">
        <x:v>ESPER</x:v>
      </x:c>
    </x:row>
    <x:row r="10">
      <x:c r="A10" s="53" t="str">
        <x:v>Public state</x:v>
      </x:c>
      <x:c r="B10" s="53" t="str">
        <x:v>current-best-fit</x:v>
      </x:c>
    </x:row>
    <x:row r="11">
      <x:c r="A11" s="53" t="str">
        <x:v>Raw numeric leader</x:v>
      </x:c>
      <x:c r="B11" s="53" t="str">
        <x:v>ESPER</x:v>
      </x:c>
    </x:row>
    <x:row r="12">
      <x:c r="A12" s="53" t="str">
        <x:v>Raw score</x:v>
      </x:c>
      <x:c r="B12" s="53" t="n">
        <x:v>0.7875</x:v>
      </x:c>
    </x:row>
    <x:row r="13">
      <x:c r="A13" s="53" t="str">
        <x:v>Raw leader qualified</x:v>
      </x:c>
      <x:c r="B13" s="54" t="b">
        <x:v>1</x:v>
      </x:c>
    </x:row>
    <x:row r="14">
      <x:c r="A14" s="53" t="str">
        <x:v>Selected qualified</x:v>
      </x:c>
      <x:c r="B14" s="54" t="b">
        <x:v>1</x:v>
      </x:c>
    </x:row>
    <x:row r="15">
      <x:c r="A15" s="53" t="str">
        <x:v>Frontier</x:v>
      </x:c>
      <x:c r="B15" s="53" t="str">
        <x:v>ESPER</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outputs/01a02cd6-bce7-7832-9558-3075c52f146a/archscry-current-state-2026-08-22/evidence/engine/traces/esper.json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b1.hall.interaction-window.v1.before</x:v>
      </x:c>
      <x:c r="G33" s="53" t="str">
        <x:v>Before the turn develops</x:v>
      </x:c>
      <x:c r="H33" s="53" t="str">
        <x:v>C08</x:v>
      </x:c>
      <x:c r="I33" s="53" t="str">
        <x:v>SIG_C08_EARLY_WINDOW</x:v>
      </x:c>
      <x:c r="J33" s="53" t="str">
        <x:v>DG_C08</x:v>
      </x:c>
      <x:c r="K33" s="53" t="str">
        <x:v>BEHAVIORAL_OBSERVATION</x:v>
      </x:c>
      <x:c r="L33" s="53" t="str">
        <x:v>WU</x:v>
      </x:c>
      <x:c r="M33" s="53" t="str"/>
      <x:c r="N33" s="53" t="n">
        <x:v>0.5</x:v>
      </x:c>
      <x:c r="O33" s="54" t="b">
        <x:v>0</x:v>
      </x:c>
      <x:c r="P33" s="53" t="str">
        <x:v>REMEDIATION_MAPPING_HYPOTHESIS</x:v>
      </x:c>
      <x:c r="Q33" s="53" t="str">
        <x:v>Prefers early prevention before the decisive action becomes visible.</x:v>
      </x:c>
      <x:c r="R33" s="53" t="str">
        <x:v>Early action may be forced by card timing rather than preferred information use.</x:v>
      </x:c>
      <x:c r="S33" s="53" t="str">
        <x:v>JESKAI</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b1.hall.commitment.v1.reopen</x:v>
      </x:c>
      <x:c r="G34" s="53" t="str">
        <x:v>Reopen the agreement</x:v>
      </x:c>
      <x:c r="H34" s="53" t="str">
        <x:v>C13</x:v>
      </x:c>
      <x:c r="I34" s="53" t="str">
        <x:v>SIG_C13_REVISABLE</x:v>
      </x:c>
      <x:c r="J34" s="53" t="str">
        <x:v>DG_C13</x:v>
      </x:c>
      <x:c r="K34" s="53" t="str">
        <x:v>BEHAVIORAL_OBSERVATION</x:v>
      </x:c>
      <x:c r="L34" s="53" t="str">
        <x:v>SILVERQUILL</x:v>
      </x:c>
      <x:c r="M34" s="53" t="str"/>
      <x:c r="N34" s="53" t="n">
        <x:v>0.5</x:v>
      </x:c>
      <x:c r="O34" s="54" t="b">
        <x:v>0</x:v>
      </x:c>
      <x:c r="P34" s="53" t="str">
        <x:v>REMEDIATION_MAPPING_HYPOTHESIS</x:v>
      </x:c>
      <x:c r="Q34" s="53" t="str">
        <x:v>Prefers revisable present influence over a binding future commitment.</x:v>
      </x:c>
      <x:c r="R34" s="53" t="str">
        <x:v>Players may reopen a deal because it became impossible, not because they prefer revisable influence.</x:v>
      </x:c>
      <x:c r="S34" s="53" t="str">
        <x:v>JESKAI</x:v>
      </x:c>
      <x:c r="T34" s="53" t="str">
        <x:v>incomplete / useful_evidence_remains / b1.hall.information-to-plan.v1</x:v>
      </x:c>
    </x:row>
    <x:row r="35">
      <x:c r="A35" s="53" t="n">
        <x:v>7</x:v>
      </x:c>
      <x:c r="B35" s="53" t="str">
        <x:v>main</x:v>
      </x:c>
      <x:c r="C35" s="53" t="str">
        <x:v>hall</x:v>
      </x:c>
      <x:c r="D35" s="53" t="str">
        <x:v>b1.hall.information-to-plan.v1</x:v>
      </x:c>
      <x:c r="E35" s="53" t="str">
        <x:v>A dangerous opposing play has been stopped, and you now have enough cards to choose among several workable plans. What do you most want to do next?</x:v>
      </x:c>
      <x:c r="F35" s="53" t="str">
        <x:v>b1.hall.information-to-plan.v1.consolidate</x:v>
      </x:c>
      <x:c r="G35" s="53" t="str">
        <x:v>Choose one route</x:v>
      </x:c>
      <x:c r="H35" s="53" t="str">
        <x:v>C16</x:v>
      </x:c>
      <x:c r="I35" s="53" t="str">
        <x:v>SIG_C16_CONSOLIDATE</x:v>
      </x:c>
      <x:c r="J35" s="53" t="str">
        <x:v>DG_C16</x:v>
      </x:c>
      <x:c r="K35" s="53" t="str">
        <x:v>BEHAVIORAL_OBSERVATION</x:v>
      </x:c>
      <x:c r="L35" s="53" t="str">
        <x:v>ESPER</x:v>
      </x:c>
      <x:c r="M35" s="53" t="str"/>
      <x:c r="N35" s="53" t="n">
        <x:v>0.6</x:v>
      </x:c>
      <x:c r="O35" s="54" t="b">
        <x:v>0</x:v>
      </x:c>
      <x:c r="P35" s="53" t="str">
        <x:v>MAPPING_HYPOTHESIS</x:v>
      </x:c>
      <x:c r="Q35" s="53" t="str">
        <x:v>Prefers to consolidate new options into one planned route.</x:v>
      </x:c>
      <x:c r="R35" s="53" t="str">
        <x:v>Observation wording and identity association require player validation; no weight is authorized.</x:v>
      </x:c>
      <x:c r="S35" s="53" t="str">
        <x:v>ESPER</x:v>
      </x:c>
      <x:c r="T35" s="53" t="str">
        <x:v>incomplete / useful_evidence_remains / b1.crucible.esper.v1</x:v>
      </x:c>
    </x:row>
    <x:row r="36">
      <x:c r="A36" s="53" t="n">
        <x:v>8</x:v>
      </x:c>
      <x:c r="B36" s="53" t="str">
        <x:v>main</x:v>
      </x:c>
      <x:c r="C36" s="53" t="str">
        <x:v>crucible</x:v>
      </x:c>
      <x:c r="D36" s="53" t="str">
        <x:v>b1.crucible.esper.v1</x:v>
      </x:c>
      <x:c r="E36" s="53" t="str">
        <x:v>You have answered the immediate threat and can now turn control into advantage. What structure do you want?</x:v>
      </x:c>
      <x:c r="F36" s="53" t="str">
        <x:v>b1.crucible.esper.v1.designed</x:v>
      </x:c>
      <x:c r="G36" s="53" t="str">
        <x:v>Build the designed engine</x:v>
      </x:c>
      <x:c r="H36" s="53" t="str">
        <x:v>C06</x:v>
      </x:c>
      <x:c r="I36" s="53" t="str">
        <x:v>SIG_C06_CENTRAL</x:v>
      </x:c>
      <x:c r="J36" s="53" t="str">
        <x:v>DG_C06</x:v>
      </x:c>
      <x:c r="K36" s="53" t="str">
        <x:v>BEHAVIORAL_OBSERVATION</x:v>
      </x:c>
      <x:c r="L36" s="53" t="str">
        <x:v>ESPER</x:v>
      </x:c>
      <x:c r="M36" s="53" t="str"/>
      <x:c r="N36" s="53" t="n">
        <x:v>1</x:v>
      </x:c>
      <x:c r="O36" s="54" t="b">
        <x:v>1</x:v>
      </x:c>
      <x:c r="P36" s="53" t="str">
        <x:v>MAPPING_HYPOTHESIS</x:v>
      </x:c>
      <x:c r="Q36" s="53" t="str">
        <x:v>Prefers a designed permanent-based engine.</x:v>
      </x:c>
      <x:c r="R36" s="53" t="str">
        <x:v>Use only after prior independent observations leave the stated competitor boundary plausible; the identity association requires player validation.</x:v>
      </x:c>
      <x:c r="S36" s="53" t="str">
        <x:v>ESPER</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ESPER</x:v>
      </x:c>
      <x:c r="C40" s="53" t="str">
        <x:v>Esper</x:v>
      </x:c>
      <x:c r="D40" s="53" t="n">
        <x:v>0.7875</x:v>
      </x:c>
      <x:c r="E40" s="54" t="b">
        <x:v>1</x:v>
      </x:c>
      <x:c r="F40" s="53" t="str">
        <x:v>C06 | C16</x:v>
      </x:c>
    </x:row>
    <x:row r="41">
      <x:c r="A41" s="53" t="n">
        <x:v>2</x:v>
      </x:c>
      <x:c r="B41" s="53" t="str">
        <x:v>JESKAI</x:v>
      </x:c>
      <x:c r="C41" s="53" t="str">
        <x:v>Jeskai Way</x:v>
      </x:c>
      <x:c r="D41" s="53" t="n">
        <x:v>0.5625</x:v>
      </x:c>
      <x:c r="E41" s="54" t="b">
        <x:v>0</x:v>
      </x:c>
      <x:c r="F41" s="53" t="str">
        <x:v>C01</x:v>
      </x:c>
    </x:row>
    <x:row r="42">
      <x:c r="A42" s="53" t="n">
        <x:v>3</x:v>
      </x:c>
      <x:c r="B42" s="53" t="str">
        <x:v>WU</x:v>
      </x:c>
      <x:c r="C42" s="53" t="str">
        <x:v>Azorius Senate</x:v>
      </x:c>
      <x:c r="D42" s="53" t="n">
        <x:v>0.5625</x:v>
      </x:c>
      <x:c r="E42" s="54" t="b">
        <x:v>0</x:v>
      </x:c>
      <x:c r="F42" s="53" t="str">
        <x:v>C08</x:v>
      </x:c>
    </x:row>
    <x:row r="43">
      <x:c r="A43" s="53" t="n">
        <x:v>4</x:v>
      </x:c>
      <x:c r="B43" s="53" t="str">
        <x:v>SILVERQUILL</x:v>
      </x:c>
      <x:c r="C43" s="53" t="str">
        <x:v>Silverquill College</x:v>
      </x:c>
      <x:c r="D43" s="53" t="n">
        <x:v>0.458333</x:v>
      </x:c>
      <x:c r="E43" s="54" t="b">
        <x:v>0</x:v>
      </x:c>
      <x:c r="F43" s="53" t="str"/>
    </x:row>
    <x:row r="44">
      <x:c r="A44" s="53" t="n">
        <x:v>5</x:v>
      </x:c>
      <x:c r="B44" s="53" t="str">
        <x:v>U</x:v>
      </x:c>
      <x:c r="C44" s="53" t="str">
        <x:v>Blue</x:v>
      </x:c>
      <x:c r="D44" s="53" t="n">
        <x:v>0.25</x:v>
      </x:c>
      <x:c r="E44" s="54" t="b">
        <x:v>0</x:v>
      </x:c>
      <x:c r="F44" s="53" t="str"/>
    </x:row>
    <x:row r="45">
      <x:c r="A45" s="53" t="n">
        <x:v>6</x:v>
      </x:c>
      <x:c r="B45" s="53" t="str">
        <x:v>GRIXIS</x:v>
      </x:c>
      <x:c r="C45" s="53" t="str">
        <x:v>Grixis</x:v>
      </x:c>
      <x:c r="D45" s="53" t="n">
        <x:v>0.1875</x:v>
      </x:c>
      <x:c r="E45" s="54" t="b">
        <x:v>0</x:v>
      </x:c>
      <x:c r="F45" s="53" t="str"/>
    </x:row>
    <x:row r="46">
      <x:c r="A46" s="53" t="n">
        <x:v>7</x:v>
      </x:c>
      <x:c r="B46" s="53" t="str">
        <x:v>UB</x:v>
      </x:c>
      <x:c r="C46" s="53" t="str">
        <x:v>House Dimir</x:v>
      </x:c>
      <x:c r="D46" s="53" t="n">
        <x:v>0.1875</x:v>
      </x:c>
      <x:c r="E46" s="54" t="b">
        <x:v>0</x:v>
      </x:c>
      <x:c r="F46" s="53" t="str"/>
    </x:row>
    <x:row r="47">
      <x:c r="A47" s="53" t="n">
        <x:v>8</x:v>
      </x:c>
      <x:c r="B47" s="53" t="str">
        <x:v>MARDU</x:v>
      </x:c>
      <x:c r="C47" s="53" t="str">
        <x:v>Mardu Horde</x:v>
      </x:c>
      <x:c r="D47" s="53" t="n">
        <x:v>0.166667</x:v>
      </x:c>
      <x:c r="E47" s="54" t="b">
        <x:v>0</x:v>
      </x:c>
      <x:c r="F47" s="53" t="str"/>
    </x:row>
    <x:row r="48">
      <x:c r="A48" s="53" t="n">
        <x:v>9</x:v>
      </x:c>
      <x:c r="B48" s="53" t="str">
        <x:v>QUANDRIX</x:v>
      </x:c>
      <x:c r="C48" s="53" t="str">
        <x:v>Quandrix College</x:v>
      </x:c>
      <x:c r="D48" s="53" t="n">
        <x:v>0.083333</x:v>
      </x:c>
      <x:c r="E48" s="54" t="b">
        <x:v>0</x:v>
      </x:c>
      <x:c r="F48" s="53" t="str"/>
    </x:row>
    <x:row r="49">
      <x:c r="A49" s="53" t="n">
        <x:v>10</x:v>
      </x:c>
      <x:c r="B49" s="53" t="str">
        <x:v>WITCH</x:v>
      </x:c>
      <x:c r="C49" s="53" t="str">
        <x:v>Witch / Growth</x:v>
      </x:c>
      <x:c r="D49" s="53" t="n">
        <x:v>0.083333</x:v>
      </x:c>
      <x:c r="E49" s="54" t="b">
        <x:v>0</x:v>
      </x:c>
      <x:c r="F49" s="53" t="str"/>
    </x:row>
    <x:row r="50">
      <x:c r="A50" s="53" t="n">
        <x:v>11</x:v>
      </x:c>
      <x:c r="B50" s="53" t="str">
        <x:v>ABZAN</x:v>
      </x:c>
      <x:c r="C50" s="53" t="str">
        <x:v>Abzan Houses</x:v>
      </x:c>
      <x:c r="D50" s="53" t="n">
        <x:v>0.083333</x:v>
      </x:c>
      <x:c r="E50" s="54" t="b">
        <x:v>0</x:v>
      </x:c>
      <x:c r="F50" s="53" t="str"/>
    </x:row>
    <x:row r="51">
      <x:c r="A51" s="53" t="n">
        <x:v>12</x:v>
      </x:c>
      <x:c r="B51" s="53" t="str">
        <x:v>BG</x:v>
      </x:c>
      <x:c r="C51" s="53" t="str">
        <x:v>Golgari Swarm</x:v>
      </x:c>
      <x:c r="D51" s="53" t="n">
        <x:v>0.083333</x:v>
      </x:c>
      <x:c r="E51" s="54" t="b">
        <x:v>0</x:v>
      </x:c>
      <x:c r="F51" s="53" t="str"/>
    </x:row>
    <x:row r="52">
      <x:c r="A52" s="53" t="n">
        <x:v>13</x:v>
      </x:c>
      <x:c r="B52" s="53" t="str">
        <x:v>COLORLESS</x:v>
      </x:c>
      <x:c r="C52" s="53" t="str">
        <x:v>Colorless</x:v>
      </x:c>
      <x:c r="D52" s="53" t="n">
        <x:v>0.083333</x:v>
      </x:c>
      <x:c r="E52" s="54" t="b">
        <x:v>0</x:v>
      </x:c>
      <x:c r="F52" s="53" t="str"/>
    </x:row>
    <x:row r="53">
      <x:c r="A53" s="53" t="n">
        <x:v>14</x:v>
      </x:c>
      <x:c r="B53" s="53" t="str">
        <x:v>DUNE</x:v>
      </x:c>
      <x:c r="C53" s="53" t="str">
        <x:v>Dune / Aggression</x:v>
      </x:c>
      <x:c r="D53" s="53" t="n">
        <x:v>0.083333</x:v>
      </x:c>
      <x:c r="E53" s="54" t="b">
        <x:v>0</x:v>
      </x:c>
      <x:c r="F53" s="53" t="str"/>
    </x:row>
    <x:row r="54">
      <x:c r="A54" s="53" t="n">
        <x:v>15</x:v>
      </x:c>
      <x:c r="B54" s="53" t="str">
        <x:v>GLINT</x:v>
      </x:c>
      <x:c r="C54" s="53" t="str">
        <x:v>Glint / Chaos</x:v>
      </x:c>
      <x:c r="D54" s="53" t="n">
        <x:v>0.083333</x:v>
      </x:c>
      <x:c r="E54" s="54" t="b">
        <x:v>0</x:v>
      </x:c>
      <x:c r="F54" s="53" t="str"/>
    </x:row>
    <x:row r="55">
      <x:c r="A55" s="53" t="n">
        <x:v>16</x:v>
      </x:c>
      <x:c r="B55" s="53" t="str">
        <x:v>INK</x:v>
      </x:c>
      <x:c r="C55" s="53" t="str">
        <x:v>Ink / Altruism</x:v>
      </x:c>
      <x:c r="D55" s="53" t="n">
        <x:v>0.083333</x:v>
      </x:c>
      <x:c r="E55" s="54" t="b">
        <x:v>0</x:v>
      </x:c>
      <x:c r="F55" s="53" t="str"/>
    </x:row>
    <x:row r="56">
      <x:c r="A56" s="53" t="n">
        <x:v>17</x:v>
      </x:c>
      <x:c r="B56" s="53" t="str">
        <x:v>JUND</x:v>
      </x:c>
      <x:c r="C56" s="53" t="str">
        <x:v>Jund</x:v>
      </x:c>
      <x:c r="D56" s="53" t="n">
        <x:v>0.083333</x:v>
      </x:c>
      <x:c r="E56" s="54" t="b">
        <x:v>0</x:v>
      </x:c>
      <x:c r="F56" s="53" t="str"/>
    </x:row>
    <x:row r="57">
      <x:c r="A57" s="53" t="n">
        <x:v>18</x:v>
      </x:c>
      <x:c r="B57" s="53" t="str">
        <x:v>LOREHOLD</x:v>
      </x:c>
      <x:c r="C57" s="53" t="str">
        <x:v>Lorehold College</x:v>
      </x:c>
      <x:c r="D57" s="53" t="n">
        <x:v>0.083333</x:v>
      </x:c>
      <x:c r="E57" s="54" t="b">
        <x:v>0</x:v>
      </x:c>
      <x:c r="F57" s="53" t="str"/>
    </x:row>
    <x:row r="58">
      <x:c r="A58" s="53" t="n">
        <x:v>19</x:v>
      </x:c>
      <x:c r="B58" s="53" t="str">
        <x:v>R</x:v>
      </x:c>
      <x:c r="C58" s="53" t="str">
        <x:v>Red</x:v>
      </x:c>
      <x:c r="D58" s="53" t="n">
        <x:v>0.083333</x:v>
      </x:c>
      <x:c r="E58" s="54" t="b">
        <x:v>0</x:v>
      </x:c>
      <x:c r="F58" s="53" t="str"/>
    </x:row>
    <x:row r="59">
      <x:c r="A59" s="53" t="n">
        <x:v>20</x:v>
      </x:c>
      <x:c r="B59" s="53" t="str">
        <x:v>RG</x:v>
      </x:c>
      <x:c r="C59" s="53" t="str">
        <x:v>Gruul Clans</x:v>
      </x:c>
      <x:c r="D59" s="53" t="n">
        <x:v>0.083333</x:v>
      </x:c>
      <x:c r="E59" s="54" t="b">
        <x:v>0</x:v>
      </x:c>
      <x:c r="F59" s="53" t="str"/>
    </x:row>
    <x:row r="60">
      <x:c r="A60" s="53" t="n">
        <x:v>21</x:v>
      </x:c>
      <x:c r="B60" s="53" t="str">
        <x:v>SULTAI</x:v>
      </x:c>
      <x:c r="C60" s="53" t="str">
        <x:v>Sultai Brood</x:v>
      </x:c>
      <x:c r="D60" s="53" t="n">
        <x:v>0.083333</x:v>
      </x:c>
      <x:c r="E60" s="54" t="b">
        <x:v>0</x:v>
      </x:c>
      <x:c r="F60" s="53" t="str"/>
    </x:row>
    <x:row r="61">
      <x:c r="A61" s="53" t="n">
        <x:v>22</x:v>
      </x:c>
      <x:c r="B61" s="53" t="str">
        <x:v>TEMUR</x:v>
      </x:c>
      <x:c r="C61" s="53" t="str">
        <x:v>Temur Frontier</x:v>
      </x:c>
      <x:c r="D61" s="53" t="n">
        <x:v>0.083333</x:v>
      </x:c>
      <x:c r="E61" s="54" t="b">
        <x:v>0</x:v>
      </x:c>
      <x:c r="F61" s="53" t="str"/>
    </x:row>
    <x:row r="62">
      <x:c r="A62" s="53" t="n">
        <x:v>23</x:v>
      </x:c>
      <x:c r="B62" s="53" t="str">
        <x:v>UG</x:v>
      </x:c>
      <x:c r="C62" s="53" t="str">
        <x:v>Simic Combine</x:v>
      </x:c>
      <x:c r="D62" s="53" t="n">
        <x:v>0.083333</x:v>
      </x:c>
      <x:c r="E62" s="54" t="b">
        <x:v>0</x:v>
      </x:c>
      <x:c r="F62" s="53" t="str"/>
    </x:row>
    <x:row r="63">
      <x:c r="A63" s="53" t="n">
        <x:v>24</x:v>
      </x:c>
      <x:c r="B63" s="53" t="str">
        <x:v>UR</x:v>
      </x:c>
      <x:c r="C63" s="53" t="str">
        <x:v>Izzet League</x:v>
      </x:c>
      <x:c r="D63" s="53" t="n">
        <x:v>0.083333</x:v>
      </x:c>
      <x:c r="E63" s="54" t="b">
        <x:v>0</x:v>
      </x:c>
      <x:c r="F63" s="53" t="str"/>
    </x:row>
    <x:row r="64">
      <x:c r="A64" s="53" t="n">
        <x:v>25</x:v>
      </x:c>
      <x:c r="B64" s="53" t="str">
        <x:v>W</x:v>
      </x:c>
      <x:c r="C64" s="53" t="str">
        <x:v>White</x:v>
      </x:c>
      <x:c r="D64" s="53" t="n">
        <x:v>0.083333</x:v>
      </x:c>
      <x:c r="E64" s="54" t="b">
        <x:v>0</x:v>
      </x:c>
      <x:c r="F64" s="53" t="str"/>
    </x:row>
    <x:row r="65">
      <x:c r="A65" s="53" t="n">
        <x:v>26</x:v>
      </x:c>
      <x:c r="B65" s="53" t="str">
        <x:v>WB</x:v>
      </x:c>
      <x:c r="C65" s="53" t="str">
        <x:v>Orzhov Syndicate</x:v>
      </x:c>
      <x:c r="D65" s="53" t="n">
        <x:v>0.083333</x:v>
      </x:c>
      <x:c r="E65" s="54" t="b">
        <x:v>0</x:v>
      </x:c>
      <x:c r="F65" s="53" t="str"/>
    </x:row>
    <x:row r="66">
      <x:c r="A66" s="53" t="n">
        <x:v>27</x:v>
      </x:c>
      <x:c r="B66" s="53" t="str">
        <x:v>WG</x:v>
      </x:c>
      <x:c r="C66" s="53" t="str">
        <x:v>Selesnya Conclave</x:v>
      </x:c>
      <x:c r="D66" s="53" t="n">
        <x:v>0.083333</x:v>
      </x:c>
      <x:c r="E66" s="54" t="b">
        <x:v>0</x:v>
      </x:c>
      <x:c r="F66" s="53" t="str"/>
    </x:row>
    <x:row r="67">
      <x:c r="A67" s="53" t="n">
        <x:v>28</x:v>
      </x:c>
      <x:c r="B67" s="53" t="str">
        <x:v>WITHERBLOOM</x:v>
      </x:c>
      <x:c r="C67" s="53" t="str">
        <x:v>Witherbloom College</x:v>
      </x:c>
      <x:c r="D67" s="53" t="n">
        <x:v>0.083333</x:v>
      </x:c>
      <x:c r="E67" s="54" t="b">
        <x:v>0</x:v>
      </x:c>
      <x:c r="F67" s="53" t="str"/>
    </x:row>
    <x:row r="68">
      <x:c r="A68" s="53" t="n">
        <x:v>29</x:v>
      </x:c>
      <x:c r="B68" s="53" t="str">
        <x:v>WR</x:v>
      </x:c>
      <x:c r="C68" s="53" t="str">
        <x:v>Boros Legion</x:v>
      </x:c>
      <x:c r="D68" s="53" t="n">
        <x:v>0.083333</x:v>
      </x:c>
      <x:c r="E68" s="54" t="b">
        <x:v>0</x:v>
      </x:c>
      <x:c r="F68" s="53" t="str"/>
    </x:row>
    <x:row r="69">
      <x:c r="A69" s="53" t="n">
        <x:v>30</x:v>
      </x:c>
      <x:c r="B69" s="53" t="str">
        <x:v>YORE</x:v>
      </x:c>
      <x:c r="C69" s="53" t="str">
        <x:v>Yore / Artifice</x:v>
      </x:c>
      <x:c r="D69" s="53" t="n">
        <x:v>0.083333</x:v>
      </x:c>
      <x:c r="E69" s="54" t="b">
        <x:v>0</x:v>
      </x:c>
      <x:c r="F69" s="53" t="str"/>
    </x:row>
    <x:row r="70">
      <x:c r="A70" s="53" t="n">
        <x:v>31</x:v>
      </x:c>
      <x:c r="B70" s="53" t="str">
        <x:v>B</x:v>
      </x:c>
      <x:c r="C70" s="53" t="str">
        <x:v>Black</x:v>
      </x:c>
      <x:c r="D70" s="53" t="n">
        <x:v>0.0625</x:v>
      </x:c>
      <x:c r="E70" s="54" t="b">
        <x:v>0</x:v>
      </x:c>
      <x:c r="F70" s="53" t="str"/>
    </x:row>
    <x:row r="71">
      <x:c r="A71" s="53" t="n">
        <x:v>32</x:v>
      </x:c>
      <x:c r="B71" s="53" t="str">
        <x:v>BANT</x:v>
      </x:c>
      <x:c r="C71" s="53" t="str">
        <x:v>Bant</x:v>
      </x:c>
      <x:c r="D71" s="53" t="n">
        <x:v>0</x:v>
      </x:c>
      <x:c r="E71" s="54" t="b">
        <x:v>0</x:v>
      </x:c>
      <x:c r="F71" s="53" t="str"/>
    </x:row>
    <x:row r="72">
      <x:c r="A72" s="53" t="n">
        <x:v>33</x:v>
      </x:c>
      <x:c r="B72" s="53" t="str">
        <x:v>BR</x:v>
      </x:c>
      <x:c r="C72" s="53" t="str">
        <x:v>Cult of Rakdos</x:v>
      </x:c>
      <x:c r="D72" s="53" t="n">
        <x:v>0</x:v>
      </x:c>
      <x:c r="E72" s="54" t="b">
        <x:v>0</x:v>
      </x:c>
      <x:c r="F72" s="53" t="str"/>
    </x:row>
    <x:row r="73">
      <x:c r="A73" s="53" t="n">
        <x:v>34</x:v>
      </x:c>
      <x:c r="B73" s="53" t="str">
        <x:v>G</x:v>
      </x:c>
      <x:c r="C73" s="53" t="str">
        <x:v>Green</x:v>
      </x:c>
      <x:c r="D73" s="53" t="n">
        <x:v>0</x:v>
      </x:c>
      <x:c r="E73" s="54" t="b">
        <x:v>0</x:v>
      </x:c>
      <x:c r="F73" s="53" t="str"/>
    </x:row>
    <x:row r="74">
      <x:c r="A74" s="53" t="n">
        <x:v>35</x:v>
      </x:c>
      <x:c r="B74" s="53" t="str">
        <x:v>NAYA</x:v>
      </x:c>
      <x:c r="C74" s="53" t="str">
        <x:v>Naya</x:v>
      </x:c>
      <x:c r="D74" s="53" t="n">
        <x:v>0</x:v>
      </x:c>
      <x:c r="E74" s="54" t="b">
        <x:v>0</x:v>
      </x:c>
      <x:c r="F74" s="53" t="str"/>
    </x:row>
    <x:row r="75">
      <x:c r="A75" s="53" t="n">
        <x:v>36</x:v>
      </x:c>
      <x:c r="B75" s="53" t="str">
        <x:v>PRISMARI</x:v>
      </x:c>
      <x:c r="C75" s="53" t="str">
        <x:v>Prismari College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"ESPER",
  "faction_name": "Esper",
  "institution_type": "shard",
  "world": "Alara",
  "identity": {
    "core_color": "U",
    "secondary_colors": [
      "W",
      "B"
    ],
    "secondary_color": "W",
    "expression_key": "ESPER",
    "expression_name": "Esper",
    "expression_kind": "shard",
    "purity": null,
    "routing": {
      "edhrec_slug": "esper",
      "mtgdecks_slug": "esper",
      "label": "Esper"
    }
  },
  "decree": "Esper is the clearest current fit from the approved observations.",
  "confidence": 0.047,
  "confidence_gap": 1,
  "mana_scores": {
    "W": 10,
    "U": 10,
    "B": 10,
    "R": 9,
    "G": 9
  },
  "top_matches": [
    {
      "rank": 1,
      "faction": "ESPER",
      "faction_name": "Esper",
      "institution_type": "shard",
      "world": "Alara",
      "identity": {
        "core_color": "U",
        "secondary_colors": [
          "W",
          "B"
        ],
        "secondary_color": "W",
        "expression_key": "ESPER",
        "expression_name": "Esper",
        "expression_kind": "shard",
        "purity": null,
        "routing": {
          "edhrec_slug": "esper",
          "mtgdecks_slug": "esper",
          "label": "Esper"
        }
      },
      "score": 0.7875,
      "confidence": 0.047,
      "reason": "Esper remained plausible through C06, C08, C16; identity mapping remains a hypothesis."
    }
  ],
  "adjacent_matches": [],
  "internal_candidate_order": [
    {
      "identity": "ESPER",
      "score": 0.7875,
      "positive_dependencies": 2,
      "qualification_dependencies": 2,
      "naming_dependencies": 1,
      "positive_constructs": [
        "C06",
        "C16"
      ],
      "satisfied_naming_rule_ids": [
        "baseline_40:b1.crucible.esper.v1.designed:ESPER"
      ],
      "naming_qualification": {
        "identity": "ESPER",
        "qualified": true,
        "satisfied_naming_rule_ids": [
          "baseline_40:b1.crucible.esper.v1.designed:ESPER"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"JESKAI",
      "score": 0.5625,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"WU",
      "score": 0.5625,
      "positive_dependencies": 1,
      "qualification_dependencies": 1,
      "naming_dependencies": 0,
      "positive_constructs": [
        "C08"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"C13",
        "C16"
      ]
    },
    {
      "identity": "SILVERQUILL",
      "score": 0.458333,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
      "score": 0.25,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"C16"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"C16"
      ]
    },
    {
      "identity": "UB",
      "score": 0.1875,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x:v>
      </x:c>
    </x:row>
    <x:row r="80">
      <x:c r="A80" s="53" t="str">
        <x:v>Part 2/3</x:v>
      </x:c>
      <x:c r="B80" s="53" t="str">
        <x:v>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"ESPER",
    "JESKAI",
    "WU"
  ],
  "alternatives": [],
  "refinement": {
    "kind": "no_approved_discriminator",
    "can_reduce_ambiguity": false,
    "remaining_candidates": [
      "ESPER",
      "JESKAI",
      "WU",
      "SILVERQUILL"
    ],
    "unresolved_boundaries": [
      {
        "pair_id": "ESPER__JESKAI",
        "identities": [
          "ESPER",
          "JESKAI"
        ],
        "distinction": "Direct scenario tests one bounded Commander behavior.",
        "question_ids": [
          "b1.hall.information-to-plan.v1",
          "b1.crucible.esper.v1",
          "b1.crucible.jeskai.v1",
          "b1.hall.engine-shape.v1",
          "b1.hall.interaction-window.v1",
          "b1.crucible.disruption-boundary.v1",
          "b1.gate.initiative.v1"
        ],
        "coverage_status": "DIRECT-OR-STRUCTURAL-MAPPING-HYPOTHESIS; bounded player validation required"
      },
      {
        "pair_id": "JESKAI__WU",
        "identities": [
          "JESKAI",
          "WU"
        ],
        "distinction": "JESKAI uses Initiative posture evidence; WU uses Public commitment evidence. No direct pair claim is made.",
        "question_ids": [
          "b1.gate.initiative.v1",
          "b1.hall.commitment.v1",
          "b1.crucible.mono-multi.v1",
          "b1.hall.information-to-plan.v1",
          "b1.crucible.jeskai.v1",
          "b1.hall.interaction-window.v1"
        ],
        "coverage_status": "DIRECT-OR-STRUCTURAL-MAPPING-HYPOTHESIS; bounded player validation required"
      }
    ],
    "missing_constructs": [
      "C11"
    ],
    "question_id": null,
    "purpose": "none_for_clean_primary",
    "target_identities": [
      "ESPER",
      "JESKAI",
      "WU"
    ],
    "target_pair_ids": [
      "ESPER__JESKAI",
      "JESKAI__WU"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"answer_title": "Before the turn develops",
      "prompt": "An opponent begins a decisive turn, but you do not yet know which card matters most. When do you want your deck to use the card or mana it kept available?",
      "observation": "Prefers early prevention before the decisive action becomes visible.",
      "deltas": [
        {
          "faction": "WU",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"answer_title": "Choose one route",
      "prompt": "A dangerous opposing play has been stopped, and you now have enough cards to choose among several workable plans. What do you most want to do next?",
      "observation": "Prefers to consolidate new options into one planned route.",
      "deltas": [
        {
          "faction": "ESPER",
          "delta": 0.6
        }
      ]
    },
    {
      "question_id": "b1.crucible.esper.v1",
      "answer_id": "b1.crucible.esper.v1.designed",
      "stage": "crucible",
      "construct": "C06",
      "bounded_observation": "Prefers a designed permanent-based engine.",
      "signal": "SIG_C06_CENTRAL",
      "dependency_group": "DG_C06",
      "evidence_class": "BEHAVIORAL_OBSERVATION",
      "affected_identities": [
        "ESPER"
      ],
      "positive_support": [
        "ESPER"
      ],
      "contradiction": [],
      "neutral": false,
      "mapping_strength": 1,
      "naming_evidence": true,
      "qualification_eligible": true,
      "qualification_support": [
        "ESPER"
      ],
      "naming_support": [
        "ESPER"
      ],
      "naming_rule_ids_by_identity": {
        "ESPER": [
          "baseline_40:b1.crucible.esper.v1.designed:ESPER"
        ]
      },
      "mapping_role": "bounded_target_direction",
      "mapping_status": "MAPPING_HYPOTHESIS",
      "mapping_provenance": "answer-semantic-adjudication.tsv ESPER boundary evidence-required hypothesis",
      "evidence_provenance": "E-CERTIFIED;E-PLAYER-COMMANDER;E-PLAYER-THREAT;E-AUDIT;E-CECOS;E-VOICE",
      "limitation": "Use only after prior independent observations leave the stated competitor boundary plausible; the identity association requires player validation.",
      "behavioral_vs_lens": "behavioral",
      "answer_title": "Build the designed engine",
      "prompt": "You have answered the immediate threat and can now turn control into advantage. What structure do you want?",
      "observation": "Prefers a designed permanent-based engine.",
      "deltas": [
        {
          "faction": "ESPER",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x:v>
      </x:c>
    </x:row>
    <x:row r="81">
      <x:c r="A81" s="53" t="str">
        <x:v>Part 3/3</x:v>
      </x:c>
      <x:c r="B81" s="53" t="str">
        <x:v>: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"b1.hall.interaction-window.v1.before",
      "stage": "hall",
      "construct": "C08",
      "bounded_observation": "Prefers early prevention before the decisive action becomes visible.",
      "signal": "SIG_C08_EARLY_WINDOW",
      "dependency_group": "DG_C08",
      "evidence_class": "BEHAVIORAL_OBSERVATION",
      "affected_identities": [
        "WU"
      ],
      "positive_support": [
        "WU"
      ],
      "contradiction": [],
      "neutral": false,
      "mapping_strength": 0.5,
      "naming_evidence": false,
      "qualification_eligible": true,
      "qualification_support": [
        "WU"
      ],
      "naming_support": [],
      "naming_rule_ids_by_identity": {},
      "mapping_role": "completion_corroboration_direction",
      "mapping_status": "REMEDIATION_MAPPING_HYPOTHESIS",
      "mapping_provenance": "docs/plans/vm551-gate-b1-instrument-completion/instrument-change-adjudication.tsv#b1.hall.interaction-window.v1.before;docs/audits/vm555-b1-identity-evidence-gap-bridge/identity-evidence-gap-matrix.tsv",
      "evidence_provenance": "E-VM555;E-CERTIFIED;E-CECOS;E-PLAYER-LANGUAGE",
      "limitation": "Early action may be forced by card timing rather than preferred information use.",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
    {
      "question_id": "b1.crucible.esper.v1",
      "answer_id": "b1.crucible.esper.v1.designed",
      "stage": "crucible",
      "construct": "C06",
      "bounded_observation": "Prefers a designed permanent-based engine.",
      "signal": "SIG_C06_CENTRAL",
      "dependency_group": "DG_C06",
      "evidence_class": "BEHAVIORAL_OBSERVATION",
      "affected_identities": [
        "ESPER"
      ],
      "positive_support": [
        "ESPER"
      ],
      "contradiction": [],
      "neutral": false,
      "mapping_strength": 1,
      "naming_evidence": true,
      "qualification_eligible": true,
      "qualification_support": [
        "ESPER"
      ],
      "naming_support": [
        "ESPER"
      ],
      "naming_rule_ids_by_identity": {
        "ESPER": [
          "baseline_40:b1.crucible.esper.v1.designed:ESPER"
        ]
      },
      "mapping_role": "bounded_target_direction",
      "mapping_status": "MAPPING_HYPOTHESIS",
      "mapping_provenance": "answer-semantic-adjudication.tsv ESPER boundary evidence-required hypothesis",
      "evidence_provenance": "E-CERTIFIED;E-PLAYER-COMMANDER;E-PLAYER-THREAT;E-AUDIT;E-CECOS;E-VOICE",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"b1.hall.interaction-window.v1.before",
      "stage": "hall",
      "evidence_class": "BEHAVIORAL_OBSERVATION"
    },
    {
      "question_id": "b1.hall.commitment.v1",
      "answer_id": "b1.hall.commitment.v1.reopen",
      "stage": "hall",
      "evidence_class": "BEHAVIORAL_OBSERVATION"
    },
    {
      "question_id": "b1.hall.information-to-plan.v1",
      "answer_id": "b1.hall.information-to-plan.v1.consolidate",
      "stage": "hall",
      "evidence_class": "BEHAVIORAL_OBSERVATION"
    },
    {
      "question_id": "b1.crucible.esper.v1",
      "answer_id": "b1.crucible.esper.v1.designed",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Grixis — Engine Trace</x:v>
      </x:c>
      <x:c r="B1" s="3"/>
      <x:c r="C1" s="3"/>
      <x:c r="D1" s="3"/>
      <x:c r="E1" s="3"/>
      <x:c r="F1" s="3"/>
      <x:c r="G1" s="3"/>
      <x:c r="H1" s="3"/>
      <x:c r="I1" s="3"/>
      <x:c r="J1" s="3"/>
      <x:c r="K1" s="3"/>
      <x:c r="L1" s="3"/>
      <x:c r="M1" s="3"/>
      <x:c r="N1" s="3"/>
      <x:c r="O1" s="3"/>
      <x:c r="P1" s="3"/>
      <x:c r="Q1" s="3"/>
      <x:c r="R1" s="3"/>
      <x:c r="S1" s="3"/>
      <x:c r="T1" s="3"/>
    </x:row>
    <x:row r="2" ht="30" customHeight="1">
      <x:c r="A2" s="7" t="str">
        <x:v>ENGINE-GRIXIS • PASS_MATCH • primary • trace 91961325e9241c1d58178607623c5fbc1b05c11bb52a24536928b33fc7a1d147</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GRIXIS</x:v>
      </x:c>
    </x:row>
    <x:row r="6">
      <x:c r="A6" s="53" t="str">
        <x:v>Expected public contract</x:v>
      </x:c>
      <x:c r="B6" s="53" t="str">
        <x:v>NAMED_DOSSIER</x:v>
      </x:c>
    </x:row>
    <x:row r="7">
      <x:c r="A7" s="53" t="str">
        <x:v>Witness status</x:v>
      </x:c>
      <x:c r="B7" s="53" t="str">
        <x:v>CURRENT_COMPATIBLE</x:v>
      </x:c>
    </x:row>
    <x:row r="8">
      <x:c r="A8" s="53" t="str">
        <x:v>Actual result</x:v>
      </x:c>
      <x:c r="B8" s="53" t="str">
        <x:v>GRIXIS</x:v>
      </x:c>
    </x:row>
    <x:row r="9">
      <x:c r="A9" s="53" t="str">
        <x:v>Directional result</x:v>
      </x:c>
      <x:c r="B9" s="53" t="str">
        <x:v>GRIXIS</x:v>
      </x:c>
    </x:row>
    <x:row r="10">
      <x:c r="A10" s="53" t="str">
        <x:v>Public state</x:v>
      </x:c>
      <x:c r="B10" s="53" t="str">
        <x:v>current-best-fit</x:v>
      </x:c>
    </x:row>
    <x:row r="11">
      <x:c r="A11" s="53" t="str">
        <x:v>Raw numeric leader</x:v>
      </x:c>
      <x:c r="B11" s="53" t="str">
        <x:v>GRIXIS</x:v>
      </x:c>
    </x:row>
    <x:row r="12">
      <x:c r="A12" s="53" t="str">
        <x:v>Raw score</x:v>
      </x:c>
      <x:c r="B12" s="53" t="n">
        <x:v>0.9375</x:v>
      </x:c>
    </x:row>
    <x:row r="13">
      <x:c r="A13" s="53" t="str">
        <x:v>Raw leader qualified</x:v>
      </x:c>
      <x:c r="B13" s="54" t="b">
        <x:v>1</x:v>
      </x:c>
    </x:row>
    <x:row r="14">
      <x:c r="A14" s="53" t="str">
        <x:v>Selected qualified</x:v>
      </x:c>
      <x:c r="B14" s="54" t="b">
        <x:v>1</x:v>
      </x:c>
    </x:row>
    <x:row r="15">
      <x:c r="A15" s="53" t="str">
        <x:v>Frontier</x:v>
      </x:c>
      <x:c r="B15" s="53" t="str">
        <x:v>GRIXIS</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outputs/01a02cd6-bce7-7832-9558-3075c52f146a/archscry-current-state-2026-08-22/evidence/engine/traces/grixis.json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b1.hall.interaction-window.v1.pressure</x:v>
      </x:c>
      <x:c r="G33" s="53" t="str">
        <x:v>As they commit</x:v>
      </x:c>
      <x:c r="H33" s="53" t="str">
        <x:v>C08</x:v>
      </x:c>
      <x:c r="I33" s="53" t="str">
        <x:v>SIG_C08_COMMIT_WINDOW</x:v>
      </x:c>
      <x:c r="J33" s="53" t="str">
        <x:v>DG_C08</x:v>
      </x:c>
      <x:c r="K33" s="53" t="str">
        <x:v>BEHAVIORAL_OBSERVATION</x:v>
      </x:c>
      <x:c r="L33" s="53" t="str">
        <x:v>GLINT | GRIXIS | UB</x:v>
      </x:c>
      <x:c r="M33" s="53" t="str"/>
      <x:c r="N33" s="53" t="n">
        <x:v>1</x:v>
      </x:c>
      <x:c r="O33" s="54" t="b">
        <x:v>1</x:v>
      </x:c>
      <x:c r="P33" s="53" t="str">
        <x:v>REMEDIATION_MAPPING_HYPOTHESIS</x:v>
      </x:c>
      <x:c r="Q33" s="53" t="str">
        <x:v>Prefers the commitment window where opposing resources are exposed.</x:v>
      </x:c>
      <x:c r="R33" s="53" t="str">
        <x:v>The window may be dictated by rules timing rather than behavioral preference.</x:v>
      </x:c>
      <x:c r="S33" s="53" t="str">
        <x:v>UB</x:v>
      </x:c>
      <x:c r="T33" s="53" t="str">
        <x:v>incomplete / minimum_questions / b1.hall.information-to-plan.v1</x:v>
      </x:c>
    </x:row>
    <x:row r="34">
      <x:c r="A34" s="53" t="n">
        <x:v>6</x:v>
      </x:c>
      <x:c r="B34" s="53" t="str">
        <x:v>main</x:v>
      </x:c>
      <x:c r="C34" s="53" t="str">
        <x:v>hall</x:v>
      </x:c>
      <x:c r="D34" s="53" t="str">
        <x:v>b1.hall.information-to-plan.v1</x:v>
      </x:c>
      <x:c r="E34" s="53" t="str">
        <x:v>A dangerous opposing play has been stopped, and you now have enough cards to choose among several workable plans. What do you most want to do next?</x:v>
      </x:c>
      <x:c r="F34" s="53" t="str">
        <x:v>b1.hall.information-to-plan.v1.consolidate</x:v>
      </x:c>
      <x:c r="G34" s="53" t="str">
        <x:v>Choose one route</x:v>
      </x:c>
      <x:c r="H34" s="53" t="str">
        <x:v>C16</x:v>
      </x:c>
      <x:c r="I34" s="53" t="str">
        <x:v>SIG_C16_CONSOLIDATE</x:v>
      </x:c>
      <x:c r="J34" s="53" t="str">
        <x:v>DG_C16</x:v>
      </x:c>
      <x:c r="K34" s="53" t="str">
        <x:v>BEHAVIORAL_OBSERVATION</x:v>
      </x:c>
      <x:c r="L34" s="53" t="str">
        <x:v>ESPER</x:v>
      </x:c>
      <x:c r="M34" s="53" t="str"/>
      <x:c r="N34" s="53" t="n">
        <x:v>0.6</x:v>
      </x:c>
      <x:c r="O34" s="54" t="b">
        <x:v>0</x:v>
      </x:c>
      <x:c r="P34" s="53" t="str">
        <x:v>MAPPING_HYPOTHESIS</x:v>
      </x:c>
      <x:c r="Q34" s="53" t="str">
        <x:v>Prefers to consolidate new options into one planned route.</x:v>
      </x:c>
      <x:c r="R34" s="53" t="str">
        <x:v>Observation wording and identity association require player validation; no weight is authorized.</x:v>
      </x:c>
      <x:c r="S34" s="53" t="str">
        <x:v>UB</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b1.hall.engine-shape.v1.central</x:v>
      </x:c>
      <x:c r="G35" s="53" t="str">
        <x:v>Rebuild the center</x:v>
      </x:c>
      <x:c r="H35" s="53" t="str">
        <x:v>C06</x:v>
      </x:c>
      <x:c r="I35" s="53" t="str">
        <x:v>SIG_C06_CENTRAL</x:v>
      </x:c>
      <x:c r="J35" s="53" t="str">
        <x:v>DG_C06</x:v>
      </x:c>
      <x:c r="K35" s="53" t="str">
        <x:v>BEHAVIORAL_OBSERVATION</x:v>
      </x:c>
      <x:c r="L35" s="53" t="str">
        <x:v>ESPER | QUANDRIX | U</x:v>
      </x:c>
      <x:c r="M35" s="53" t="str"/>
      <x:c r="N35" s="53" t="n">
        <x:v>0.5</x:v>
      </x:c>
      <x:c r="O35" s="54" t="b">
        <x:v>0</x:v>
      </x:c>
      <x:c r="P35" s="53" t="str">
        <x:v>REMEDIATION_MAPPING_HYPOTHESIS</x:v>
      </x:c>
      <x:c r="Q35" s="53" t="str">
        <x:v>Accepts one designed central dependency after revision.</x:v>
      </x:c>
      <x:c r="R35" s="53" t="str">
        <x:v>Some decks have a central engine because of card availability or commander design.</x:v>
      </x:c>
      <x:c r="S35" s="53" t="str">
        <x:v>UB</x:v>
      </x:c>
      <x:c r="T35" s="53" t="str">
        <x:v>incomplete / useful_evidence_remains / b1.crucible.grixis.v1</x:v>
      </x:c>
    </x:row>
    <x:row r="36">
      <x:c r="A36" s="53" t="n">
        <x:v>8</x:v>
      </x:c>
      <x:c r="B36" s="53" t="str">
        <x:v>main</x:v>
      </x:c>
      <x:c r="C36" s="53" t="str">
        <x:v>crucible</x:v>
      </x:c>
      <x:c r="D36" s="53" t="str">
        <x:v>b1.crucible.grixis.v1</x:v>
      </x:c>
      <x:c r="E36" s="53" t="str">
        <x:v>You are behind with one turn to change the game. Which first move fits?</x:v>
      </x:c>
      <x:c r="F36" s="53" t="str">
        <x:v>b1.crucible.grixis.v1.convert</x:v>
      </x:c>
      <x:c r="G36" s="53" t="str">
        <x:v>Act before the window closes</x:v>
      </x:c>
      <x:c r="H36" s="53" t="str">
        <x:v>C01</x:v>
      </x:c>
      <x:c r="I36" s="53" t="str">
        <x:v>SIG_C01_PROACTIVE</x:v>
      </x:c>
      <x:c r="J36" s="53" t="str">
        <x:v>DG_C01</x:v>
      </x:c>
      <x:c r="K36" s="53" t="str">
        <x:v>BEHAVIORAL_OBSERVATION</x:v>
      </x:c>
      <x:c r="L36" s="53" t="str">
        <x:v>GRIXIS</x:v>
      </x:c>
      <x:c r="M36" s="53" t="str"/>
      <x:c r="N36" s="53" t="n">
        <x:v>1</x:v>
      </x:c>
      <x:c r="O36" s="54" t="b">
        <x:v>1</x:v>
      </x:c>
      <x:c r="P36" s="53" t="str">
        <x:v>MAPPING_HYPOTHESIS</x:v>
      </x:c>
      <x:c r="Q36" s="53" t="str">
        <x:v>Prefers proactive action while the opening exists.</x:v>
      </x:c>
      <x:c r="R36" s="53" t="str">
        <x:v>Initiative posture may vary across calm, behind, and disrupted contexts; every C01 response shares DG_C01 and cannot stack.</x:v>
      </x:c>
      <x:c r="S36" s="53" t="str">
        <x:v>GRIXIS</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GRIXIS</x:v>
      </x:c>
      <x:c r="C40" s="53" t="str">
        <x:v>Grixis</x:v>
      </x:c>
      <x:c r="D40" s="53" t="n">
        <x:v>0.9375</x:v>
      </x:c>
      <x:c r="E40" s="54" t="b">
        <x:v>1</x:v>
      </x:c>
      <x:c r="F40" s="53" t="str">
        <x:v>C01 | C08</x:v>
      </x:c>
    </x:row>
    <x:row r="41">
      <x:c r="A41" s="53" t="n">
        <x:v>2</x:v>
      </x:c>
      <x:c r="B41" s="53" t="str">
        <x:v>UB</x:v>
      </x:c>
      <x:c r="C41" s="53" t="str">
        <x:v>House Dimir</x:v>
      </x:c>
      <x:c r="D41" s="53" t="n">
        <x:v>0.9375</x:v>
      </x:c>
      <x:c r="E41" s="54" t="b">
        <x:v>0</x:v>
      </x:c>
      <x:c r="F41" s="53" t="str">
        <x:v>C08</x:v>
      </x:c>
    </x:row>
    <x:row r="42">
      <x:c r="A42" s="53" t="n">
        <x:v>3</x:v>
      </x:c>
      <x:c r="B42" s="53" t="str">
        <x:v>GLINT</x:v>
      </x:c>
      <x:c r="C42" s="53" t="str">
        <x:v>Glint / Chaos</x:v>
      </x:c>
      <x:c r="D42" s="53" t="n">
        <x:v>0.833333</x:v>
      </x:c>
      <x:c r="E42" s="54" t="b">
        <x:v>0</x:v>
      </x:c>
      <x:c r="F42" s="53" t="str">
        <x:v>C08</x:v>
      </x:c>
    </x:row>
    <x:row r="43">
      <x:c r="A43" s="53" t="n">
        <x:v>4</x:v>
      </x:c>
      <x:c r="B43" s="53" t="str">
        <x:v>U</x:v>
      </x:c>
      <x:c r="C43" s="53" t="str">
        <x:v>Blue</x:v>
      </x:c>
      <x:c r="D43" s="53" t="n">
        <x:v>0.625</x:v>
      </x:c>
      <x:c r="E43" s="54" t="b">
        <x:v>0</x:v>
      </x:c>
      <x:c r="F43" s="53" t="str">
        <x:v>C06</x:v>
      </x:c>
    </x:row>
    <x:row r="44">
      <x:c r="A44" s="53" t="n">
        <x:v>5</x:v>
      </x:c>
      <x:c r="B44" s="53" t="str">
        <x:v>ESPER</x:v>
      </x:c>
      <x:c r="C44" s="53" t="str">
        <x:v>Esper</x:v>
      </x:c>
      <x:c r="D44" s="53" t="n">
        <x:v>0.6</x:v>
      </x:c>
      <x:c r="E44" s="54" t="b">
        <x:v>0</x:v>
      </x:c>
      <x:c r="F44" s="53" t="str">
        <x:v>C06 | C16</x:v>
      </x:c>
    </x:row>
    <x:row r="45">
      <x:c r="A45" s="53" t="n">
        <x:v>6</x:v>
      </x:c>
      <x:c r="B45" s="53" t="str">
        <x:v>JESKAI</x:v>
      </x:c>
      <x:c r="C45" s="53" t="str">
        <x:v>Jeskai Way</x:v>
      </x:c>
      <x:c r="D45" s="53" t="n">
        <x:v>0.5625</x:v>
      </x:c>
      <x:c r="E45" s="54" t="b">
        <x:v>0</x:v>
      </x:c>
      <x:c r="F45" s="53" t="str">
        <x:v>C01</x:v>
      </x:c>
    </x:row>
    <x:row r="46">
      <x:c r="A46" s="53" t="n">
        <x:v>7</x:v>
      </x:c>
      <x:c r="B46" s="53" t="str">
        <x:v>QUANDRIX</x:v>
      </x:c>
      <x:c r="C46" s="53" t="str">
        <x:v>Quandrix College</x:v>
      </x:c>
      <x:c r="D46" s="53" t="n">
        <x:v>0.458333</x:v>
      </x:c>
      <x:c r="E46" s="54" t="b">
        <x:v>0</x:v>
      </x:c>
      <x:c r="F46" s="53" t="str">
        <x:v>C06</x:v>
      </x:c>
    </x:row>
    <x:row r="47">
      <x:c r="A47" s="53" t="n">
        <x:v>8</x:v>
      </x:c>
      <x:c r="B47" s="53" t="str">
        <x:v>WU</x:v>
      </x:c>
      <x:c r="C47" s="53" t="str">
        <x:v>Azorius Senate</x:v>
      </x:c>
      <x:c r="D47" s="53" t="n">
        <x:v>0.125</x:v>
      </x:c>
      <x:c r="E47" s="54" t="b">
        <x:v>0</x:v>
      </x:c>
      <x:c r="F47" s="53" t="str"/>
    </x:row>
    <x:row r="48">
      <x:c r="A48" s="53" t="n">
        <x:v>9</x:v>
      </x:c>
      <x:c r="B48" s="53" t="str">
        <x:v>JUND</x:v>
      </x:c>
      <x:c r="C48" s="53" t="str">
        <x:v>Jund</x:v>
      </x:c>
      <x:c r="D48" s="53" t="n">
        <x:v>0.083333</x:v>
      </x:c>
      <x:c r="E48" s="54" t="b">
        <x:v>0</x:v>
      </x:c>
      <x:c r="F48" s="53" t="str"/>
    </x:row>
    <x:row r="49">
      <x:c r="A49" s="53" t="n">
        <x:v>10</x:v>
      </x:c>
      <x:c r="B49" s="53" t="str">
        <x:v>R</x:v>
      </x:c>
      <x:c r="C49" s="53" t="str">
        <x:v>Red</x:v>
      </x:c>
      <x:c r="D49" s="53" t="n">
        <x:v>0.083333</x:v>
      </x:c>
      <x:c r="E49" s="54" t="b">
        <x:v>0</x:v>
      </x:c>
      <x:c r="F49" s="53" t="str"/>
    </x:row>
    <x:row r="50">
      <x:c r="A50" s="53" t="n">
        <x:v>11</x:v>
      </x:c>
      <x:c r="B50" s="53" t="str">
        <x:v>RG</x:v>
      </x:c>
      <x:c r="C50" s="53" t="str">
        <x:v>Gruul Clans</x:v>
      </x:c>
      <x:c r="D50" s="53" t="n">
        <x:v>0.083333</x:v>
      </x:c>
      <x:c r="E50" s="54" t="b">
        <x:v>0</x:v>
      </x:c>
      <x:c r="F50" s="53" t="str"/>
    </x:row>
    <x:row r="51">
      <x:c r="A51" s="53" t="n">
        <x:v>12</x:v>
      </x:c>
      <x:c r="B51" s="53" t="str">
        <x:v>TEMUR</x:v>
      </x:c>
      <x:c r="C51" s="53" t="str">
        <x:v>Temur Frontier</x:v>
      </x:c>
      <x:c r="D51" s="53" t="n">
        <x:v>0.083333</x:v>
      </x:c>
      <x:c r="E51" s="54" t="b">
        <x:v>0</x:v>
      </x:c>
      <x:c r="F51" s="53" t="str"/>
    </x:row>
    <x:row r="52">
      <x:c r="A52" s="53" t="n">
        <x:v>13</x:v>
      </x:c>
      <x:c r="B52" s="53" t="str">
        <x:v>WITCH</x:v>
      </x:c>
      <x:c r="C52" s="53" t="str">
        <x:v>Witch / Growth</x:v>
      </x:c>
      <x:c r="D52" s="53" t="n">
        <x:v>0.083333</x:v>
      </x:c>
      <x:c r="E52" s="54" t="b">
        <x:v>0</x:v>
      </x:c>
      <x:c r="F52" s="53" t="str"/>
    </x:row>
    <x:row r="53">
      <x:c r="A53" s="53" t="n">
        <x:v>14</x:v>
      </x:c>
      <x:c r="B53" s="53" t="str">
        <x:v>BG</x:v>
      </x:c>
      <x:c r="C53" s="53" t="str">
        <x:v>Golgari Swarm</x:v>
      </x:c>
      <x:c r="D53" s="53" t="n">
        <x:v>0.083333</x:v>
      </x:c>
      <x:c r="E53" s="54" t="b">
        <x:v>0</x:v>
      </x:c>
      <x:c r="F53" s="53" t="str"/>
    </x:row>
    <x:row r="54">
      <x:c r="A54" s="53" t="n">
        <x:v>15</x:v>
      </x:c>
      <x:c r="B54" s="53" t="str">
        <x:v>COLORLESS</x:v>
      </x:c>
      <x:c r="C54" s="53" t="str">
        <x:v>Colorless</x:v>
      </x:c>
      <x:c r="D54" s="53" t="n">
        <x:v>0.083333</x:v>
      </x:c>
      <x:c r="E54" s="54" t="b">
        <x:v>0</x:v>
      </x:c>
      <x:c r="F54" s="53" t="str"/>
    </x:row>
    <x:row r="55">
      <x:c r="A55" s="53" t="n">
        <x:v>16</x:v>
      </x:c>
      <x:c r="B55" s="53" t="str">
        <x:v>LOREHOLD</x:v>
      </x:c>
      <x:c r="C55" s="53" t="str">
        <x:v>Lorehold College</x:v>
      </x:c>
      <x:c r="D55" s="53" t="n">
        <x:v>0.083333</x:v>
      </x:c>
      <x:c r="E55" s="54" t="b">
        <x:v>0</x:v>
      </x:c>
      <x:c r="F55" s="53" t="str"/>
    </x:row>
    <x:row r="56">
      <x:c r="A56" s="53" t="n">
        <x:v>17</x:v>
      </x:c>
      <x:c r="B56" s="53" t="str">
        <x:v>MARDU</x:v>
      </x:c>
      <x:c r="C56" s="53" t="str">
        <x:v>Mardu Horde</x:v>
      </x:c>
      <x:c r="D56" s="53" t="n">
        <x:v>0.083333</x:v>
      </x:c>
      <x:c r="E56" s="54" t="b">
        <x:v>0</x:v>
      </x:c>
      <x:c r="F56" s="53" t="str"/>
    </x:row>
    <x:row r="57">
      <x:c r="A57" s="53" t="n">
        <x:v>18</x:v>
      </x:c>
      <x:c r="B57" s="53" t="str">
        <x:v>SULTAI</x:v>
      </x:c>
      <x:c r="C57" s="53" t="str">
        <x:v>Sultai Brood</x:v>
      </x:c>
      <x:c r="D57" s="53" t="n">
        <x:v>0.083333</x:v>
      </x:c>
      <x:c r="E57" s="54" t="b">
        <x:v>0</x:v>
      </x:c>
      <x:c r="F57" s="53" t="str"/>
    </x:row>
    <x:row r="58">
      <x:c r="A58" s="53" t="n">
        <x:v>19</x:v>
      </x:c>
      <x:c r="B58" s="53" t="str">
        <x:v>UG</x:v>
      </x:c>
      <x:c r="C58" s="53" t="str">
        <x:v>Simic Combine</x:v>
      </x:c>
      <x:c r="D58" s="53" t="n">
        <x:v>0.083333</x:v>
      </x:c>
      <x:c r="E58" s="54" t="b">
        <x:v>0</x:v>
      </x:c>
      <x:c r="F58" s="53" t="str"/>
    </x:row>
    <x:row r="59">
      <x:c r="A59" s="53" t="n">
        <x:v>20</x:v>
      </x:c>
      <x:c r="B59" s="53" t="str">
        <x:v>UR</x:v>
      </x:c>
      <x:c r="C59" s="53" t="str">
        <x:v>Izzet League</x:v>
      </x:c>
      <x:c r="D59" s="53" t="n">
        <x:v>0.083333</x:v>
      </x:c>
      <x:c r="E59" s="54" t="b">
        <x:v>0</x:v>
      </x:c>
      <x:c r="F59" s="53" t="str"/>
    </x:row>
    <x:row r="60">
      <x:c r="A60" s="53" t="n">
        <x:v>21</x:v>
      </x:c>
      <x:c r="B60" s="53" t="str">
        <x:v>WITHERBLOOM</x:v>
      </x:c>
      <x:c r="C60" s="53" t="str">
        <x:v>Witherbloom College</x:v>
      </x:c>
      <x:c r="D60" s="53" t="n">
        <x:v>0.083333</x:v>
      </x:c>
      <x:c r="E60" s="54" t="b">
        <x:v>0</x:v>
      </x:c>
      <x:c r="F60" s="53" t="str"/>
    </x:row>
    <x:row r="61">
      <x:c r="A61" s="53" t="n">
        <x:v>22</x:v>
      </x:c>
      <x:c r="B61" s="53" t="str">
        <x:v>WR</x:v>
      </x:c>
      <x:c r="C61" s="53" t="str">
        <x:v>Boros Legion</x:v>
      </x:c>
      <x:c r="D61" s="53" t="n">
        <x:v>0.083333</x:v>
      </x:c>
      <x:c r="E61" s="54" t="b">
        <x:v>0</x:v>
      </x:c>
      <x:c r="F61" s="53" t="str"/>
    </x:row>
    <x:row r="62">
      <x:c r="A62" s="53" t="n">
        <x:v>23</x:v>
      </x:c>
      <x:c r="B62" s="53" t="str">
        <x:v>YORE</x:v>
      </x:c>
      <x:c r="C62" s="53" t="str">
        <x:v>Yore / Artifice</x:v>
      </x:c>
      <x:c r="D62" s="53" t="n">
        <x:v>0.083333</x:v>
      </x:c>
      <x:c r="E62" s="54" t="b">
        <x:v>0</x:v>
      </x:c>
      <x:c r="F62" s="53" t="str"/>
    </x:row>
    <x:row r="63">
      <x:c r="A63" s="53" t="n">
        <x:v>24</x:v>
      </x:c>
      <x:c r="B63" s="53" t="str">
        <x:v>B</x:v>
      </x:c>
      <x:c r="C63" s="53" t="str">
        <x:v>Black</x:v>
      </x:c>
      <x:c r="D63" s="53" t="n">
        <x:v>0.0625</x:v>
      </x:c>
      <x:c r="E63" s="54" t="b">
        <x:v>0</x:v>
      </x:c>
      <x:c r="F63" s="53" t="str"/>
    </x:row>
    <x:row r="64">
      <x:c r="A64" s="53" t="n">
        <x:v>25</x:v>
      </x:c>
      <x:c r="B64" s="53" t="str">
        <x:v>ABZAN</x:v>
      </x:c>
      <x:c r="C64" s="53" t="str">
        <x:v>Abzan Houses</x:v>
      </x:c>
      <x:c r="D64" s="53" t="n">
        <x:v>0</x:v>
      </x:c>
      <x:c r="E64" s="54" t="b">
        <x:v>0</x:v>
      </x:c>
      <x:c r="F64" s="53" t="str"/>
    </x:row>
    <x:row r="65">
      <x:c r="A65" s="53" t="n">
        <x:v>26</x:v>
      </x:c>
      <x:c r="B65" s="53" t="str">
        <x:v>BANT</x:v>
      </x:c>
      <x:c r="C65" s="53" t="str">
        <x:v>Bant</x:v>
      </x:c>
      <x:c r="D65" s="53" t="n">
        <x:v>0</x:v>
      </x:c>
      <x:c r="E65" s="54" t="b">
        <x:v>0</x:v>
      </x:c>
      <x:c r="F65" s="53" t="str"/>
    </x:row>
    <x:row r="66">
      <x:c r="A66" s="53" t="n">
        <x:v>27</x:v>
      </x:c>
      <x:c r="B66" s="53" t="str">
        <x:v>BR</x:v>
      </x:c>
      <x:c r="C66" s="53" t="str">
        <x:v>Cult of Rakdos</x:v>
      </x:c>
      <x:c r="D66" s="53" t="n">
        <x:v>0</x:v>
      </x:c>
      <x:c r="E66" s="54" t="b">
        <x:v>0</x:v>
      </x:c>
      <x:c r="F66" s="53" t="str"/>
    </x:row>
    <x:row r="67">
      <x:c r="A67" s="53" t="n">
        <x:v>28</x:v>
      </x:c>
      <x:c r="B67" s="53" t="str">
        <x:v>DUNE</x:v>
      </x:c>
      <x:c r="C67" s="53" t="str">
        <x:v>Dune / Aggression</x:v>
      </x:c>
      <x:c r="D67" s="53" t="n">
        <x:v>0</x:v>
      </x:c>
      <x:c r="E67" s="54" t="b">
        <x:v>0</x:v>
      </x:c>
      <x:c r="F67" s="53" t="str"/>
    </x:row>
    <x:row r="68">
      <x:c r="A68" s="53" t="n">
        <x:v>29</x:v>
      </x:c>
      <x:c r="B68" s="53" t="str">
        <x:v>G</x:v>
      </x:c>
      <x:c r="C68" s="53" t="str">
        <x:v>Green</x:v>
      </x:c>
      <x:c r="D68" s="53" t="n">
        <x:v>0</x:v>
      </x:c>
      <x:c r="E68" s="54" t="b">
        <x:v>0</x:v>
      </x:c>
      <x:c r="F68" s="53" t="str"/>
    </x:row>
    <x:row r="69">
      <x:c r="A69" s="53" t="n">
        <x:v>30</x:v>
      </x:c>
      <x:c r="B69" s="53" t="str">
        <x:v>INK</x:v>
      </x:c>
      <x:c r="C69" s="53" t="str">
        <x:v>Ink / Altruism</x:v>
      </x:c>
      <x:c r="D69" s="53" t="n">
        <x:v>0</x:v>
      </x:c>
      <x:c r="E69" s="54" t="b">
        <x:v>0</x:v>
      </x:c>
      <x:c r="F69" s="53" t="str"/>
    </x:row>
    <x:row r="70">
      <x:c r="A70" s="53" t="n">
        <x:v>31</x:v>
      </x:c>
      <x:c r="B70" s="53" t="str">
        <x:v>NAYA</x:v>
      </x:c>
      <x:c r="C70" s="53" t="str">
        <x:v>Naya</x:v>
      </x:c>
      <x:c r="D70" s="53" t="n">
        <x:v>0</x:v>
      </x:c>
      <x:c r="E70" s="54" t="b">
        <x:v>0</x:v>
      </x:c>
      <x:c r="F70" s="53" t="str"/>
    </x:row>
    <x:row r="71">
      <x:c r="A71" s="53" t="n">
        <x:v>32</x:v>
      </x:c>
      <x:c r="B71" s="53" t="str">
        <x:v>PRISMARI</x:v>
      </x:c>
      <x:c r="C71" s="53" t="str">
        <x:v>Prismari College</x:v>
      </x:c>
      <x:c r="D71" s="53" t="n">
        <x:v>0</x:v>
      </x:c>
      <x:c r="E71" s="54" t="b">
        <x:v>0</x:v>
      </x:c>
      <x:c r="F71" s="53" t="str"/>
    </x:row>
    <x:row r="72">
      <x:c r="A72" s="53" t="n">
        <x:v>33</x:v>
      </x:c>
      <x:c r="B72" s="53" t="str">
        <x:v>SILVERQUILL</x:v>
      </x:c>
      <x:c r="C72" s="53" t="str">
        <x:v>Silverquill College</x:v>
      </x:c>
      <x:c r="D72" s="53" t="n">
        <x:v>0</x:v>
      </x:c>
      <x:c r="E72" s="54" t="b">
        <x:v>0</x:v>
      </x:c>
      <x:c r="F72" s="53" t="str"/>
    </x:row>
    <x:row r="73">
      <x:c r="A73" s="53" t="n">
        <x:v>34</x:v>
      </x:c>
      <x:c r="B73" s="53" t="str">
        <x:v>W</x:v>
      </x:c>
      <x:c r="C73" s="53" t="str">
        <x:v>White</x:v>
      </x:c>
      <x:c r="D73" s="53" t="n">
        <x:v>0</x:v>
      </x:c>
      <x:c r="E73" s="54" t="b">
        <x:v>0</x:v>
      </x:c>
      <x:c r="F73" s="53" t="str"/>
    </x:row>
    <x:row r="74">
      <x:c r="A74" s="53" t="n">
        <x:v>35</x:v>
      </x:c>
      <x:c r="B74" s="53" t="str">
        <x:v>WB</x:v>
      </x:c>
      <x:c r="C74" s="53" t="str">
        <x:v>Orzhov Syndicate</x:v>
      </x:c>
      <x:c r="D74" s="53" t="n">
        <x:v>0</x:v>
      </x:c>
      <x:c r="E74" s="54" t="b">
        <x:v>0</x:v>
      </x:c>
      <x:c r="F74" s="53" t="str"/>
    </x:row>
    <x:row r="75">
      <x:c r="A75" s="53" t="n">
        <x:v>36</x:v>
      </x:c>
      <x:c r="B75" s="53" t="str">
        <x:v>WG</x:v>
      </x:c>
      <x:c r="C75" s="53" t="str">
        <x:v>Selesnya Conclave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"GRIXIS",
  "faction_name": "Grixis",
  "institution_type": "shard",
  "world": "Alara",
  "identity": {
    "core_color": "B",
    "secondary_colors": [
      "U",
      "R"
    ],
    "secondary_color": "U",
    "expression_key": "GRIXIS",
    "expression_name": "Grixis",
    "expression_kind": "shard",
    "purity": null,
    "routing": {
      "edhrec_slug": "grixis",
      "mtgdecks_slug": "grixis",
      "label": "Grixis"
    }
  },
  "decree": "Grixis is the clearest current fit from the approved observations.",
  "confidence": 0.049,
  "confidence_gap": 1,
  "mana_scores": {
    "W": 8,
    "U": 10,
    "B": 9,
    "R": 9,
    "G": 8
  },
  "top_matches": [
    {
      "rank": 1,
      "faction": "GRIXIS",
      "faction_name": "Grixis",
      "institution_type": "shard",
      "world": "Alara",
      "identity": {
        "core_color": "B",
        "secondary_colors": [
          "U",
          "R"
        ],
        "secondary_color": "U",
        "expression_key": "GRIXIS",
        "expression_name": "Grixis",
        "expression_kind": "shard",
        "purity": null,
        "routing": {
          "edhrec_slug": "grixis",
          "mtgdecks_slug": "grixis",
          "label": "Grixis"
        }
      },
      "score": 0.9375,
      "confidence": 0.049,
      "reason": "Grixis remained plausible through C01, C02, C16; identity mapping remains a hypothesis."
    }
  ],
  "adjacent_matches": [],
  "internal_candidate_order": [
    {
      "identity": "GRIXIS",
      "score": 0.9375,
      "positive_dependencies": 2,
      "qualification_dependencies": 2,
      "naming_dependencies": 1,
      "positive_constructs": [
        "C01",
        "C08"
      ],
      "satisfied_naming_rule_ids": [
        "baseline_40:b1.crucible.grixis.v1.convert:GRIXIS"
      ],
      "naming_qualification": {
        "identity": "GRIXIS",
        "qualified": true,
        "satisfied_naming_rule_ids": [
          "baseline_40:b1.crucible.grixis.v1.convert:GRIXIS"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"C16"
      ]
    },
    {
      "identity": "UB",
      "score": 0.9375,
      "positive_dependencies": 1,
      "qualification_dependencies": 1,
      "naming_dependencies": 1,
      "positive_constructs": [
        "C08"
      ],
      "satisfied_naming_rule_ids": [
        "instrument_completion_overlay:b1.hall.interaction-window.v1.pressure:UB"
      ],
      "naming_qualification": {
        "identity": "UB",
        "qualified": false,
        "satisfied_naming_rule_ids": [
          "instrument_completion_overlay:b1.hall.interaction-window.v1.pressure:UB"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"GLINT",
      "score": 0.833333,
      "positive_dependencies": 1,
      "qualification_dependencies": 1,
      "naming_dependencies": 0,
      "positive_constructs": [
        "C08"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0.625,
      "positive_dependencies": 1,
      "qualification_dependencies": 1,
      "naming_dependencies": 0,
      "positive_constructs": [
        "C06"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"C16"
      ]
    },
    {
      "identity": "ESPER",
      "score": 0.6,
      "positive_dependencies": 2,
      "qualification_dependencies": 2,
      "naming_dependencies": 0,
      "positive_constructs": [
        "C06",
        "C16"
      ],
      "satisfied_naming_rule_ids": [],
      "naming_qualification": {
        "identity": "ESPER",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"JESKAI",
      "score": 0.5625,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"QUANDRIX",
      "score": 0.458333,
      "positive_dependencies": 1,
      "qualification_dependencies": 1,
      "naming_dependencies": 0,
      "positive_constructs": [
        "C06"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"WU",
      "score": 0.125,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x:v>
      </x:c>
    </x:row>
    <x:row r="80">
      <x:c r="A80" s="53" t="str">
        <x:v>Part 2/3</x:v>
      </x:c>
      <x:c r="B80" s="53" t="str">
        <x:v>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
      "score": 0,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"GRIXIS",
    "UB",
    "GLINT"
  ],
  "alternatives": [],
  "refinement": {
    "kind": "no_approved_discriminator",
    "can_reduce_ambiguity": false,
    "remaining_candidates": [
      "GRIXIS",
      "UB",
      "GLINT",
      "U",
      "ESPER",
      "JESKAI",
      "QUANDRIX"
    ],
    "unresolved_boundaries": [
      {
        "pair_id": "ESPER__GRIXIS",
        "identities": [
          "ESPER",
          "GRIXIS"
        ],
        "distinction": "Direct scenario tests one bounded Commander behavior.",
        "question_ids": [
          "b1.hall.information-to-plan.v1",
          "b1.crucible.esper.v1",
          "b1.crucible.grixis.v1",
          "b1.hall.engine-shape.v1",
          "b1.crucible.disruption-boundary.v1",
          "b1.hall.interaction-window.v1"
        ],
        "coverage_status": "DIRECT-OR-STRUCTURAL-MAPPING-HYPOTHESIS; bounded player validation required"
      },
      {
        "pair_id": "ESPER__JESKAI",
        "identities": [
          "ESPER",
          "JESKAI"
        ],
        "distinction": "Direct scenario tests one bounded Commander behavior.",
        "question_ids": [
          "b1.hall.information-to-plan.v1",
          "b1.crucible.esper.v1",
          "b1.crucible.jeskai.v1",
          "b1.hall.engine-shape.v1",
          "b1.hall.interaction-window.v1",
          "b1.crucible.disruption-boundary.v1",
          "b1.gate.initiative.v1"
        ],
        "coverage_status": "DIRECT-OR-STRUCTURAL-MAPPING-HYPOTHESIS; bounded player validation required"
      },
      {
        "pair_id": "GLINT__GRIXIS",
        "identities": [
          "GLINT",
          "GRIXIS"
        ],
        "distinction": "Direct scenario tests one bounded Commander behavior.",
        "question_ids": [
          "b1.crucible.grixis.v1",
          "b1.hall.information-to-plan.v1",
          "b1.crucible.yore-glint.v1",
          "b1.crucible.glint-dune.v1",
          "b1.hall.setup.v1",
          "b1.crucible.disruption-boundary.v1"
        ],
        "coverage_status": "DIRECT-OR-STRUCTURAL-MAPPING-HYPOTHESIS; bounded player validation required"
      },
      {
        "pair_id": "GLINT__U",
        "identities": [
          "GLINT",
          "U"
        ],
        "distinction": "GLINT uses Repeatability preference evidence; U uses Mana commitment and interaction window evidence. No direct pair claim is made.",
        "question_ids": [
          "b1.hall.repeatability.v1",
          "b1.hall.interaction-window.v1",
          "b1.crucible.mono-multi.v1",
          "b1.hall.information-to-plan.v1",
          "b1.crucible.yore-glint.v1",
          "b1.crucible.glint-dune.v1",
          "b1.hall.engine-shape.v1",
          "b1.hall.setup.v1",
          "b1.crucible.disruption-boundary.v1"
        ],
        "coverage_status": "DIRECT-OR-STRUCTURAL-MAPPING-HYPOTHESIS; bounded player validation required"
      },
      {
        "pair_id": "GLINT__UB",
        "identities": [
          "GLINT",
          "UB"
        ],
        "distinction": "GLINT uses Repeatability preference evidence; UB uses Resource visibility evidence. No direct pair claim is made.",
        "question_ids": [
          "b1.hall.repeatability.v1",
          "b1.gate.visibility.v1",
          "b1.crucible.mono-multi.v1",
          "b1.hall.information-to-plan.v1",
          "b1.crucible.yore-glint.v1",
          "b1.crucible.glint-dune.v1",
          "b1.hall.engine-shape.v1",
          "b1.hall.interaction-window.v1",
          "b1.hall.setup.v1"
        ],
        "coverage_status": "DIRECT-OR-STRUCTURAL-MAPPING-HYPOTHESIS; bounded player validation required"
      },
      {
        "pair_id": "GRIXIS__JESKAI",
        "identities": [
          "GRIXIS",
          "JESKAI"
        ],
        "distinction": "GRIXIS uses Resource sacrifice evidence; JESKAI uses Mana commitment and interaction window evidence. No direct pair claim is made.",
        "question_ids": [
          "b1.hall.sacrifice.v1",
          "b1.hall.interaction-window.v1",
          "b1.crucible.mono-multi.v1",
          "b1.crucible.grixis.v1",
          "b1.crucible.jeskai.v1",
          "b1.crucible.disruption-boundary.v1",
          "b1.gate.initiative.v1"
        ],
        "coverage_status": "DIRECT-OR-STRUCTURAL-MAPPING-HYPOTHESIS; bounded player validation required"
      },
      {
        "pair_id": "JESKAI__QUANDRIX",
        "identities": [
          "JESKAI",
          "QUANDRIX"
        ],
        "distinction": "JESKAI uses Mana commitment and interaction window evidence; QUANDRIX uses Engine concentration evidence. No direct pair claim is made.",
        "question_ids": [
          "b1.hall.interaction-window.v1",
          "b1.hall.engine-shape.v1",
          "b1.crucible.mono-multi.v1",
          "b1.hall.information-to-plan.v1",
          "b1.crucible.ug.v1",
          "b1.crucible.jeskai.v1",
          "b1.hall.setup.v1",
          "b1.gate.initiative.v1"
        ],
        "coverage_status": "DIRECT-OR-STRUCTURAL-MAPPING-HYPOTHESIS; bounded player validation required"
      },
      {
        "pair_id": "JESKAI__U",
        "identities": [
          "JESKAI",
          "U"
        ],
        "distinction": "JESKAI uses Repeatability preference evidence; U uses Engine concentration evidence. No direct pair claim is made.",
        "question_ids": [
          "b1.hall.repeatability.v1",
          "b1.hall.engine-shape.v1",
          "b1.crucible.mono-multi.v1",
          "b1.hall.information-to-plan.v1",
          "b1.crucible.jeskai.v1",
          "b1.hall.interaction-window.v1",
          "b1.crucible.disruption-boundary.v1",
          "b1.gate.initiative.v1"
        ],
        "coverage_status": "DIRECT-OR-STRUCTURAL-MAPPING-HYPOTHESIS; bounded player validation required"
      },
      {
        "pair_id": "U__UB",
        "identities": [
          "U",
          "UB"
        ],
        "distinction": "U uses Initiative posture evidence; UB uses Resource visibility evidence. No direct pair claim is made.",
        "question_ids": [
          "b1.gate.initiative.v1",
          "b1.gate.visibility.v1",
          "b1.crucible.mono-multi.v1",
          "b1.hall.engine-shape.v1",
          "b1.hall.interaction-window.v1",
          "b1.crucible.disruption-boundary.v1"
        ],
        "coverage_status": "DIRECT-OR-STRUCTURAL-MAPPING-HYPOTHESIS; bounded player validation required"
      }
    ],
    "missing_constructs": [
      "C09",
      "C12"
    ],
    "question_id": null,
    "purpose": "none_for_clean_primary",
    "target_identities": [
      "GRIXIS",
      "UB",
      "GLINT"
    ],
    "target_pair_ids": [
      "ESPER__GRIXIS",
      "ESPER__JESKAI",
      "GLINT__GRIXIS",
      "GLINT__U",
      "GLINT__UB",
      "GRIXIS__JESKAI",
      "JESKAI__QUANDRIX",
      "JESKAI__U",
      "U__UB"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"answer_title": "As they commit",
      "prompt": "An opponent begins a decisive turn, but you do not yet know which card matters most. When do you want your deck to use the card or mana it kept available?",
      "observation": "Prefers the commitment window where opposing resources are exposed.",
      "deltas": [
        {
          "faction": "GLINT",
          "delta": 1
        },
        {
          "faction": "GRIXIS",
          "delta": 1
        },
        {
          "faction": "UB",
          "delta": 1
        }
      ]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"answer_title": "Choose one route",
      "prompt": "A dangerous opposing play has been stopped, and you now have enough cards to choose among several workable plans. What do you most want to do next?",
      "observation": "Prefers to consolidate new options into one planned route.",
      "deltas": [
        {
          "faction": "ESPER",
          "delta": 0.6
        }
      ]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x:v>
      </x:c>
    </x:row>
    <x:row r="81">
      <x:c r="A81" s="53" t="str">
        <x:v>Part 3/3</x:v>
      </x:c>
      <x:c r="B81" s="53" t="str">
        <x:v>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"answer_title": "Rebuild the center",
      "prompt": "Opponents have learned how to stop your main engine. When you revise the deck, what structure do you want next?",
      "observation": "Accepts one designed central dependency after revision.",
      "deltas": [
        {
          "faction": "ESPER",
          "delta": 0.5
        },
        {
          "faction": "QUANDRIX",
          "delta": 0.5
        },
        {
          "faction": "U",
          "delta": 0.5
        }
      ]
    },
    {
      "question_id": "b1.crucible.grixis.v1",
      "answer_id": "b1.crucible.grixis.v1.convert",
      "stage": "crucible",
      "construct": "C01",
      "bounded_observation": "Prefers proactive action while the opening exists.",
      "signal": "SIG_C01_PROACTIVE",
      "dependency_group": "DG_C01",
      "evidence_class": "BEHAVIORAL_OBSERVATION",
      "affected_identities": [
        "GRIXIS"
      ],
      "positive_support": [
        "GRIXIS"
      ],
      "contradiction": [],
      "neutral": false,
      "mapping_strength": 1,
      "naming_evidence": true,
      "qualification_eligible": true,
      "qualification_support": [
        "GRIXIS"
      ],
      "naming_support": [
        "GRIXIS"
      ],
      "naming_rule_ids_by_identity": {
        "GRIXIS": [
          "baseline_40:b1.crucible.grixis.v1.convert:GRIXIS"
        ]
      },
      "mapping_role": "bounded_target_direction",
      "mapping_status": "MAPPING_HYPOTHESIS",
      "mapping_provenance": "certified Grixis decisive-opening boundary; answer-semantic-adjudication.tsv",
      "evidence_provenance": "E-CERTIFIED;E-PLAYER-PACE;E-AUDIT;E-CECOS;E-VOICE",
      "limitation": "Initiative posture may vary across calm, behind, and disrupted contexts; every C01 response shares DG_C01 and cannot stack.",
      "behavioral_vs_lens": "behavioral",
      "answer_title": "Act before the window closes",
      "prompt": "You are behind with one turn to change the game. Which first move fits?",
      "observation": "Prefers proactive action while the opening exists.",
      "deltas": [
        {
          "faction": "GRIXIS",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
    {
      "question_id": "b1.hall.information-to-plan.v1",
      "answer_id": "b1.hall.information-to-plan.v1.consolidate",
      "stage": "hall",
      "construct": "C16",
      "bounded_observation": "Prefers to consolidate new options into one planned route.",
      "signal": "SIG_C16_CONSOLIDATE",
      "dependency_group": "DG_C16",
      "evidence_class": "BEHAVIORAL_OBSERVATION",
      "affected_identities": [
        "ESPER"
      ],
      "positive_support": [
        "ESPER"
      ],
      "contradiction": [],
      "neutral": false,
      "mapping_strength": 0.6,
      "naming_evidence": false,
      "qualification_eligible": true,
      "qualification_support": [
        "ESPER"
      ],
      "naming_support": [],
      "naming_rule_ids_by_identity": {},
      "mapping_role": "cross_identity_direction",
      "mapping_status": "MAPPING_HYPOTHESIS",
      "mapping_provenance": "answer-semantic-adjudication.tsv C16 evidence-required hypothesis; esper-yore-evidence-recovery.md",
      "evidence_provenance": "E-CERTIFIED;E-PLAYER-PACE;E-PLAYER-THREAT;E-PLAYER-VARIANCE;E-CECOS;E-VOICE",
      "limitation": "Observation wording and identity association require player validation; no weight is authorized.",
      "behavioral_vs_lens": "behavioral"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
    {
      "question_id": "b1.crucible.grixis.v1",
      "answer_id": "b1.crucible.grixis.v1.convert",
      "stage": "crucible",
      "construct": "C01",
      "bounded_observation": "Prefers proactive action while the opening exists.",
      "signal": "SIG_C01_PROACTIVE",
      "dependency_group": "DG_C01",
      "evidence_class": "BEHAVIORAL_OBSERVATION",
      "affected_identities": [
        "GRIXIS"
      ],
      "positive_support": [
        "GRIXIS"
      ],
      "contradiction": [],
      "neutral": false,
      "mapping_strength": 1,
      "naming_evidence": true,
      "qualification_eligible": true,
      "qualification_support": [
        "GRIXIS"
      ],
      "naming_support": [
        "GRIXIS"
      ],
      "naming_rule_ids_by_identity": {
        "GRIXIS": [
          "baseline_40:b1.crucible.grixis.v1.convert:GRIXIS"
        ]
      },
      "mapping_role": "bounded_target_direction",
      "mapping_status": "MAPPING_HYPOTHESIS",
      "mapping_provenance": "certified Grixis decisive-opening boundary; answer-semantic-adjudication.tsv",
      "evidence_provenance": "E-CERTIFIED;E-PLAYER-PACE;E-AUDIT;E-CECOS;E-VOICE",
      "limitation": "Initiative posture may vary across calm, behind, and disrupted contexts; every C01 response shares DG_C01 and cannot stack.",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"b1.hall.interaction-window.v1.pressure",
      "stage": "hall",
      "evidence_class": "BEHAVIORAL_OBSERVATION"
    },
    {
      "question_id": "b1.hall.information-to-plan.v1",
      "answer_id": "b1.hall.information-to-plan.v1.consolidate",
      "stage": "hall",
      "evidence_class": "BEHAVIORAL_OBSERVATION"
    },
    {
      "question_id": "b1.hall.engine-shape.v1",
      "answer_id": "b1.hall.engine-shape.v1.central",
      "stage": "hall",
      "evidence_class": "BEHAVIORAL_OBSERVATION"
    },
    {
      "question_id": "b1.crucible.grixis.v1",
      "answer_id": "b1.crucible.grixis.v1.convert",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Jund — Engine Trace</x:v>
      </x:c>
      <x:c r="B1" s="3"/>
      <x:c r="C1" s="3"/>
      <x:c r="D1" s="3"/>
      <x:c r="E1" s="3"/>
      <x:c r="F1" s="3"/>
      <x:c r="G1" s="3"/>
      <x:c r="H1" s="3"/>
      <x:c r="I1" s="3"/>
      <x:c r="J1" s="3"/>
      <x:c r="K1" s="3"/>
      <x:c r="L1" s="3"/>
      <x:c r="M1" s="3"/>
      <x:c r="N1" s="3"/>
      <x:c r="O1" s="3"/>
      <x:c r="P1" s="3"/>
      <x:c r="Q1" s="3"/>
      <x:c r="R1" s="3"/>
      <x:c r="S1" s="3"/>
      <x:c r="T1" s="3"/>
    </x:row>
    <x:row r="2" ht="30" customHeight="1">
      <x:c r="A2" s="7" t="str">
        <x:v>ENGINE-JUND • PASS_MATCH • close • trace 41890641096ffff39efeeee803751629d652fb260b160e70e930495b126f5164</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JUND</x:v>
      </x:c>
    </x:row>
    <x:row r="6">
      <x:c r="A6" s="53" t="str">
        <x:v>Expected public contract</x:v>
      </x:c>
      <x:c r="B6" s="53" t="str">
        <x:v>NAMED_DOSSIER</x:v>
      </x:c>
    </x:row>
    <x:row r="7">
      <x:c r="A7" s="53" t="str">
        <x:v>Witness status</x:v>
      </x:c>
      <x:c r="B7" s="53" t="str">
        <x:v>CURRENT_COMPATIBLE</x:v>
      </x:c>
    </x:row>
    <x:row r="8">
      <x:c r="A8" s="53" t="str">
        <x:v>Actual result</x:v>
      </x:c>
      <x:c r="B8" s="53" t="str">
        <x:v>JUND</x:v>
      </x:c>
    </x:row>
    <x:row r="9">
      <x:c r="A9" s="53" t="str">
        <x:v>Directional result</x:v>
      </x:c>
      <x:c r="B9" s="53" t="str">
        <x:v>JUND</x:v>
      </x:c>
    </x:row>
    <x:row r="10">
      <x:c r="A10" s="53" t="str">
        <x:v>Public state</x:v>
      </x:c>
      <x:c r="B10" s="53" t="str">
        <x:v>close</x:v>
      </x:c>
    </x:row>
    <x:row r="11">
      <x:c r="A11" s="53" t="str">
        <x:v>Raw numeric leader</x:v>
      </x:c>
      <x:c r="B11" s="53" t="str">
        <x:v>R</x:v>
      </x:c>
    </x:row>
    <x:row r="12">
      <x:c r="A12" s="53" t="str">
        <x:v>Raw score</x:v>
      </x:c>
      <x:c r="B12" s="53" t="n">
        <x:v>0.916667</x:v>
      </x:c>
    </x:row>
    <x:row r="13">
      <x:c r="A13" s="53" t="str">
        <x:v>Raw leader qualified</x:v>
      </x:c>
      <x:c r="B13" s="54" t="b">
        <x:v>0</x:v>
      </x:c>
    </x:row>
    <x:row r="14">
      <x:c r="A14" s="53" t="str">
        <x:v>Selected qualified</x:v>
      </x:c>
      <x:c r="B14" s="54" t="b">
        <x:v>1</x:v>
      </x:c>
    </x:row>
    <x:row r="15">
      <x:c r="A15" s="53" t="str">
        <x:v>Frontier</x:v>
      </x:c>
      <x:c r="B15" s="53" t="str">
        <x:v>JUND | RG</x:v>
      </x:c>
    </x:row>
    <x:row r="16">
      <x:c r="A16" s="53" t="str">
        <x:v>Stop reason</x:v>
      </x:c>
      <x:c r="B16" s="53" t="str">
        <x:v>next_question_cannot_improve_responsible_top_boundary</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outputs/01a02cd6-bce7-7832-9558-3075c52f146a/archscry-current-state-2026-08-22/evidence/engine/traces/jund.json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b1.gate.disruption.v1.recover</x:v>
      </x:c>
      <x:c r="G31" s="53" t="str">
        <x:v>A way to rebuild</x:v>
      </x:c>
      <x:c r="H31" s="53" t="str">
        <x:v>C03</x:v>
      </x:c>
      <x:c r="I31" s="53" t="str">
        <x:v>SIG_C03_RECOVER</x:v>
      </x:c>
      <x:c r="J31" s="53" t="str">
        <x:v>DG_C03</x:v>
      </x:c>
      <x:c r="K31" s="53" t="str">
        <x:v>BEHAVIORAL_OBSERVATION</x:v>
      </x:c>
      <x:c r="L31" s="53" t="str">
        <x:v>G | RG</x:v>
      </x:c>
      <x:c r="M31" s="53" t="str"/>
      <x:c r="N31" s="53" t="n">
        <x:v>0.5</x:v>
      </x:c>
      <x:c r="O31" s="54" t="b">
        <x:v>0</x:v>
      </x:c>
      <x:c r="P31" s="53" t="str">
        <x:v>REMEDIATION_MAPPING_HYPOTHESIS</x:v>
      </x:c>
      <x:c r="Q31" s="53" t="str">
        <x:v>Prefers recovery after broad disruption.</x:v>
      </x:c>
      <x:c r="R31" s="53" t="str">
        <x:v>Observation wording and identity association require player validation; no weight is authorized.</x:v>
      </x:c>
      <x:c r="S31" s="53" t="str">
        <x:v>G</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G</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b1.hall.pressure.v1.combat</x:v>
      </x:c>
      <x:c r="G33" s="53" t="str">
        <x:v>Use the bodies already there</x:v>
      </x:c>
      <x:c r="H33" s="53" t="str">
        <x:v>C07</x:v>
      </x:c>
      <x:c r="I33" s="53" t="str">
        <x:v>SIG_C07_EMBODIED_COMBAT</x:v>
      </x:c>
      <x:c r="J33" s="53" t="str">
        <x:v>DG_C07</x:v>
      </x:c>
      <x:c r="K33" s="53" t="str">
        <x:v>BEHAVIORAL_OBSERVATION</x:v>
      </x:c>
      <x:c r="L33" s="53" t="str">
        <x:v>JUND | R | RG</x:v>
      </x:c>
      <x:c r="M33" s="53" t="str"/>
      <x:c r="N33" s="53" t="n">
        <x:v>1</x:v>
      </x:c>
      <x:c r="O33" s="54" t="b">
        <x:v>1</x:v>
      </x:c>
      <x:c r="P33" s="53" t="str">
        <x:v>REMEDIATION_MAPPING_HYPOTHESIS</x:v>
      </x:c>
      <x:c r="Q33" s="53" t="str">
        <x:v>Prefers immediate embodied combat pressure from the current board.</x:v>
      </x:c>
      <x:c r="R33" s="53" t="str">
        <x:v>Many decks attack when shields are down; independent motive and context remain necessary.</x:v>
      </x:c>
      <x:c r="S33" s="53" t="str">
        <x:v>JUND</x:v>
      </x:c>
      <x:c r="T33" s="53" t="str">
        <x:v>incomplete / minimum_questions / b1.hall.sacrifice.v1</x:v>
      </x:c>
    </x:row>
    <x:row r="34">
      <x:c r="A34" s="53" t="n">
        <x:v>6</x:v>
      </x:c>
      <x:c r="B34" s="53" t="str">
        <x:v>main</x:v>
      </x:c>
      <x:c r="C34" s="53" t="str">
        <x:v>hall</x:v>
      </x:c>
      <x:c r="D34" s="53" t="str">
        <x:v>b1.hall.sacrifice.v1</x:v>
      </x:c>
      <x:c r="E34" s="53" t="str">
        <x:v>You can give up a useful permanent now for cards or another lasting resource. What feels natural?</x:v>
      </x:c>
      <x:c r="F34" s="53" t="str">
        <x:v>b1.hall.sacrifice.v1.convert</x:v>
      </x:c>
      <x:c r="G34" s="53" t="str">
        <x:v>Spend it for the next advantage</x:v>
      </x:c>
      <x:c r="H34" s="53" t="str">
        <x:v>C12</x:v>
      </x:c>
      <x:c r="I34" s="53" t="str">
        <x:v>SIG_C12_CONVERT</x:v>
      </x:c>
      <x:c r="J34" s="53" t="str">
        <x:v>DG_C12</x:v>
      </x:c>
      <x:c r="K34" s="53" t="str">
        <x:v>BEHAVIORAL_OBSERVATION</x:v>
      </x:c>
      <x:c r="L34" s="53" t="str">
        <x:v>B | JUND</x:v>
      </x:c>
      <x:c r="M34" s="53" t="str"/>
      <x:c r="N34" s="53" t="n">
        <x:v>0.5</x:v>
      </x:c>
      <x:c r="O34" s="54" t="b">
        <x:v>0</x:v>
      </x:c>
      <x:c r="P34" s="53" t="str">
        <x:v>REMEDIATION_MAPPING_HYPOTHESIS</x:v>
      </x:c>
      <x:c r="Q34" s="53" t="str">
        <x:v>Prefers voluntary resource conversion.</x:v>
      </x:c>
      <x:c r="R34" s="53" t="str">
        <x:v>Observation wording and identity association require player validation; no weight is authorized.</x:v>
      </x:c>
      <x:c r="S34" s="53" t="str">
        <x:v>R</x:v>
      </x:c>
      <x:c r="T34" s="53" t="str">
        <x:v>close / next_question_cannot_improve_responsible_top_boundary / </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R</x:v>
      </x:c>
      <x:c r="C38" s="53" t="str">
        <x:v>Red</x:v>
      </x:c>
      <x:c r="D38" s="53" t="n">
        <x:v>0.916667</x:v>
      </x:c>
      <x:c r="E38" s="54" t="b">
        <x:v>0</x:v>
      </x:c>
      <x:c r="F38" s="53" t="str">
        <x:v>C07</x:v>
      </x:c>
    </x:row>
    <x:row r="39">
      <x:c r="A39" s="53" t="n">
        <x:v>2</x:v>
      </x:c>
      <x:c r="B39" s="53" t="str">
        <x:v>JUND</x:v>
      </x:c>
      <x:c r="C39" s="53" t="str">
        <x:v>Jund</x:v>
      </x:c>
      <x:c r="D39" s="53" t="n">
        <x:v>0.8125</x:v>
      </x:c>
      <x:c r="E39" s="54" t="b">
        <x:v>1</x:v>
      </x:c>
      <x:c r="F39" s="53" t="str">
        <x:v>C07 | C12</x:v>
      </x:c>
    </x:row>
    <x:row r="40">
      <x:c r="A40" s="53" t="n">
        <x:v>3</x:v>
      </x:c>
      <x:c r="B40" s="53" t="str">
        <x:v>RG</x:v>
      </x:c>
      <x:c r="C40" s="53" t="str">
        <x:v>Gruul Clans</x:v>
      </x:c>
      <x:c r="D40" s="53" t="n">
        <x:v>0.729167</x:v>
      </x:c>
      <x:c r="E40" s="54" t="b">
        <x:v>1</x:v>
      </x:c>
      <x:c r="F40" s="53" t="str">
        <x:v>C03 | C07</x:v>
      </x:c>
    </x:row>
    <x:row r="41">
      <x:c r="A41" s="53" t="n">
        <x:v>4</x:v>
      </x:c>
      <x:c r="B41" s="53" t="str">
        <x:v>G</x:v>
      </x:c>
      <x:c r="C41" s="53" t="str">
        <x:v>Green</x:v>
      </x:c>
      <x:c r="D41" s="53" t="n">
        <x:v>0.458333</x:v>
      </x:c>
      <x:c r="E41" s="54" t="b">
        <x:v>0</x:v>
      </x:c>
      <x:c r="F41" s="53" t="str">
        <x:v>C03</x:v>
      </x:c>
    </x:row>
    <x:row r="42">
      <x:c r="A42" s="53" t="n">
        <x:v>5</x:v>
      </x:c>
      <x:c r="B42" s="53" t="str">
        <x:v>B</x:v>
      </x:c>
      <x:c r="C42" s="53" t="str">
        <x:v>Black</x:v>
      </x:c>
      <x:c r="D42" s="53" t="n">
        <x:v>0.4375</x:v>
      </x:c>
      <x:c r="E42" s="54" t="b">
        <x:v>0</x:v>
      </x:c>
      <x:c r="F42" s="53" t="str">
        <x:v>C12</x:v>
      </x:c>
    </x:row>
    <x:row r="43">
      <x:c r="A43" s="53" t="n">
        <x:v>6</x:v>
      </x:c>
      <x:c r="B43" s="53" t="str">
        <x:v>JESKAI</x:v>
      </x:c>
      <x:c r="C43" s="53" t="str">
        <x:v>Jeskai Way</x:v>
      </x:c>
      <x:c r="D43" s="53" t="n">
        <x:v>0.4375</x:v>
      </x:c>
      <x:c r="E43" s="54" t="b">
        <x:v>0</x:v>
      </x:c>
      <x:c r="F43" s="53" t="str">
        <x:v>C01</x:v>
      </x:c>
    </x:row>
    <x:row r="44">
      <x:c r="A44" s="53" t="n">
        <x:v>7</x:v>
      </x:c>
      <x:c r="B44" s="53" t="str">
        <x:v>WR</x:v>
      </x:c>
      <x:c r="C44" s="53" t="str">
        <x:v>Boros Legion</x:v>
      </x:c>
      <x:c r="D44" s="53" t="n">
        <x:v>0.25</x:v>
      </x:c>
      <x:c r="E44" s="54" t="b">
        <x:v>0</x:v>
      </x:c>
      <x:c r="F44" s="53" t="str"/>
    </x:row>
    <x:row r="45">
      <x:c r="A45" s="53" t="n">
        <x:v>8</x:v>
      </x:c>
      <x:c r="B45" s="53" t="str">
        <x:v>GRIXIS</x:v>
      </x:c>
      <x:c r="C45" s="53" t="str">
        <x:v>Grixis</x:v>
      </x:c>
      <x:c r="D45" s="53" t="n">
        <x:v>0.1875</x:v>
      </x:c>
      <x:c r="E45" s="54" t="b">
        <x:v>0</x:v>
      </x:c>
      <x:c r="F45" s="53" t="str"/>
    </x:row>
    <x:row r="46">
      <x:c r="A46" s="53" t="n">
        <x:v>9</x:v>
      </x:c>
      <x:c r="B46" s="53" t="str">
        <x:v>BG</x:v>
      </x:c>
      <x:c r="C46" s="53" t="str">
        <x:v>Golgari Swarm</x:v>
      </x:c>
      <x:c r="D46" s="53" t="n">
        <x:v>0.166667</x:v>
      </x:c>
      <x:c r="E46" s="54" t="b">
        <x:v>0</x:v>
      </x:c>
      <x:c r="F46" s="53" t="str"/>
    </x:row>
    <x:row r="47">
      <x:c r="A47" s="53" t="n">
        <x:v>10</x:v>
      </x:c>
      <x:c r="B47" s="53" t="str">
        <x:v>BR</x:v>
      </x:c>
      <x:c r="C47" s="53" t="str">
        <x:v>Cult of Rakdos</x:v>
      </x:c>
      <x:c r="D47" s="53" t="n">
        <x:v>0.166667</x:v>
      </x:c>
      <x:c r="E47" s="54" t="b">
        <x:v>0</x:v>
      </x:c>
      <x:c r="F47" s="53" t="str"/>
    </x:row>
    <x:row r="48">
      <x:c r="A48" s="53" t="n">
        <x:v>11</x:v>
      </x:c>
      <x:c r="B48" s="53" t="str">
        <x:v>MARDU</x:v>
      </x:c>
      <x:c r="C48" s="53" t="str">
        <x:v>Mardu Horde</x:v>
      </x:c>
      <x:c r="D48" s="53" t="n">
        <x:v>0.166667</x:v>
      </x:c>
      <x:c r="E48" s="54" t="b">
        <x:v>0</x:v>
      </x:c>
      <x:c r="F48" s="53" t="str"/>
    </x:row>
    <x:row r="49">
      <x:c r="A49" s="53" t="n">
        <x:v>12</x:v>
      </x:c>
      <x:c r="B49" s="53" t="str">
        <x:v>TEMUR</x:v>
      </x:c>
      <x:c r="C49" s="53" t="str">
        <x:v>Temur Frontier</x:v>
      </x:c>
      <x:c r="D49" s="53" t="n">
        <x:v>0.166667</x:v>
      </x:c>
      <x:c r="E49" s="54" t="b">
        <x:v>0</x:v>
      </x:c>
      <x:c r="F49" s="53" t="str"/>
    </x:row>
    <x:row r="50">
      <x:c r="A50" s="53" t="n">
        <x:v>13</x:v>
      </x:c>
      <x:c r="B50" s="53" t="str">
        <x:v>W</x:v>
      </x:c>
      <x:c r="C50" s="53" t="str">
        <x:v>White</x:v>
      </x:c>
      <x:c r="D50" s="53" t="n">
        <x:v>0.166667</x:v>
      </x:c>
      <x:c r="E50" s="54" t="b">
        <x:v>0</x:v>
      </x:c>
      <x:c r="F50" s="53" t="str"/>
    </x:row>
    <x:row r="51">
      <x:c r="A51" s="53" t="n">
        <x:v>14</x:v>
      </x:c>
      <x:c r="B51" s="53" t="str">
        <x:v>LOREHOLD</x:v>
      </x:c>
      <x:c r="C51" s="53" t="str">
        <x:v>Lorehold College</x:v>
      </x:c>
      <x:c r="D51" s="53" t="n">
        <x:v>0.083333</x:v>
      </x:c>
      <x:c r="E51" s="54" t="b">
        <x:v>0</x:v>
      </x:c>
      <x:c r="F51" s="53" t="str"/>
    </x:row>
    <x:row r="52">
      <x:c r="A52" s="53" t="n">
        <x:v>15</x:v>
      </x:c>
      <x:c r="B52" s="53" t="str">
        <x:v>PRISMARI</x:v>
      </x:c>
      <x:c r="C52" s="53" t="str">
        <x:v>Prismari College</x:v>
      </x:c>
      <x:c r="D52" s="53" t="n">
        <x:v>0.083333</x:v>
      </x:c>
      <x:c r="E52" s="54" t="b">
        <x:v>0</x:v>
      </x:c>
      <x:c r="F52" s="53" t="str"/>
    </x:row>
    <x:row r="53">
      <x:c r="A53" s="53" t="n">
        <x:v>16</x:v>
      </x:c>
      <x:c r="B53" s="53" t="str">
        <x:v>SULTAI</x:v>
      </x:c>
      <x:c r="C53" s="53" t="str">
        <x:v>Sultai Brood</x:v>
      </x:c>
      <x:c r="D53" s="53" t="n">
        <x:v>0.083333</x:v>
      </x:c>
      <x:c r="E53" s="54" t="b">
        <x:v>0</x:v>
      </x:c>
      <x:c r="F53" s="53" t="str"/>
    </x:row>
    <x:row r="54">
      <x:c r="A54" s="53" t="n">
        <x:v>17</x:v>
      </x:c>
      <x:c r="B54" s="53" t="str">
        <x:v>WITHERBLOOM</x:v>
      </x:c>
      <x:c r="C54" s="53" t="str">
        <x:v>Witherbloom College</x:v>
      </x:c>
      <x:c r="D54" s="53" t="n">
        <x:v>0.083333</x:v>
      </x:c>
      <x:c r="E54" s="54" t="b">
        <x:v>0</x:v>
      </x:c>
      <x:c r="F54" s="53" t="str"/>
    </x:row>
    <x:row r="55">
      <x:c r="A55" s="53" t="n">
        <x:v>18</x:v>
      </x:c>
      <x:c r="B55" s="53" t="str">
        <x:v>ABZAN</x:v>
      </x:c>
      <x:c r="C55" s="53" t="str">
        <x:v>Abzan Houses</x:v>
      </x:c>
      <x:c r="D55" s="53" t="n">
        <x:v>0.083333</x:v>
      </x:c>
      <x:c r="E55" s="54" t="b">
        <x:v>0</x:v>
      </x:c>
      <x:c r="F55" s="53" t="str"/>
    </x:row>
    <x:row r="56">
      <x:c r="A56" s="53" t="n">
        <x:v>19</x:v>
      </x:c>
      <x:c r="B56" s="53" t="str">
        <x:v>BANT</x:v>
      </x:c>
      <x:c r="C56" s="53" t="str">
        <x:v>Bant</x:v>
      </x:c>
      <x:c r="D56" s="53" t="n">
        <x:v>0.083333</x:v>
      </x:c>
      <x:c r="E56" s="54" t="b">
        <x:v>0</x:v>
      </x:c>
      <x:c r="F56" s="53" t="str"/>
    </x:row>
    <x:row r="57">
      <x:c r="A57" s="53" t="n">
        <x:v>20</x:v>
      </x:c>
      <x:c r="B57" s="53" t="str">
        <x:v>DUNE</x:v>
      </x:c>
      <x:c r="C57" s="53" t="str">
        <x:v>Dune / Aggression</x:v>
      </x:c>
      <x:c r="D57" s="53" t="n">
        <x:v>0.083333</x:v>
      </x:c>
      <x:c r="E57" s="54" t="b">
        <x:v>0</x:v>
      </x:c>
      <x:c r="F57" s="53" t="str"/>
    </x:row>
    <x:row r="58">
      <x:c r="A58" s="53" t="n">
        <x:v>21</x:v>
      </x:c>
      <x:c r="B58" s="53" t="str">
        <x:v>GLINT</x:v>
      </x:c>
      <x:c r="C58" s="53" t="str">
        <x:v>Glint / Chaos</x:v>
      </x:c>
      <x:c r="D58" s="53" t="n">
        <x:v>0.083333</x:v>
      </x:c>
      <x:c r="E58" s="54" t="b">
        <x:v>0</x:v>
      </x:c>
      <x:c r="F58" s="53" t="str"/>
    </x:row>
    <x:row r="59">
      <x:c r="A59" s="53" t="n">
        <x:v>22</x:v>
      </x:c>
      <x:c r="B59" s="53" t="str">
        <x:v>INK</x:v>
      </x:c>
      <x:c r="C59" s="53" t="str">
        <x:v>Ink / Altruism</x:v>
      </x:c>
      <x:c r="D59" s="53" t="n">
        <x:v>0.083333</x:v>
      </x:c>
      <x:c r="E59" s="54" t="b">
        <x:v>0</x:v>
      </x:c>
      <x:c r="F59" s="53" t="str"/>
    </x:row>
    <x:row r="60">
      <x:c r="A60" s="53" t="n">
        <x:v>23</x:v>
      </x:c>
      <x:c r="B60" s="53" t="str">
        <x:v>NAYA</x:v>
      </x:c>
      <x:c r="C60" s="53" t="str">
        <x:v>Naya</x:v>
      </x:c>
      <x:c r="D60" s="53" t="n">
        <x:v>0.083333</x:v>
      </x:c>
      <x:c r="E60" s="54" t="b">
        <x:v>0</x:v>
      </x:c>
      <x:c r="F60" s="53" t="str"/>
    </x:row>
    <x:row r="61">
      <x:c r="A61" s="53" t="n">
        <x:v>24</x:v>
      </x:c>
      <x:c r="B61" s="53" t="str">
        <x:v>UG</x:v>
      </x:c>
      <x:c r="C61" s="53" t="str">
        <x:v>Simic Combine</x:v>
      </x:c>
      <x:c r="D61" s="53" t="n">
        <x:v>0.083333</x:v>
      </x:c>
      <x:c r="E61" s="54" t="b">
        <x:v>0</x:v>
      </x:c>
      <x:c r="F61" s="53" t="str"/>
    </x:row>
    <x:row r="62">
      <x:c r="A62" s="53" t="n">
        <x:v>25</x:v>
      </x:c>
      <x:c r="B62" s="53" t="str">
        <x:v>UR</x:v>
      </x:c>
      <x:c r="C62" s="53" t="str">
        <x:v>Izzet League</x:v>
      </x:c>
      <x:c r="D62" s="53" t="n">
        <x:v>0.083333</x:v>
      </x:c>
      <x:c r="E62" s="54" t="b">
        <x:v>0</x:v>
      </x:c>
      <x:c r="F62" s="53" t="str"/>
    </x:row>
    <x:row r="63">
      <x:c r="A63" s="53" t="n">
        <x:v>26</x:v>
      </x:c>
      <x:c r="B63" s="53" t="str">
        <x:v>WB</x:v>
      </x:c>
      <x:c r="C63" s="53" t="str">
        <x:v>Orzhov Syndicate</x:v>
      </x:c>
      <x:c r="D63" s="53" t="n">
        <x:v>0.083333</x:v>
      </x:c>
      <x:c r="E63" s="54" t="b">
        <x:v>0</x:v>
      </x:c>
      <x:c r="F63" s="53" t="str"/>
    </x:row>
    <x:row r="64">
      <x:c r="A64" s="53" t="n">
        <x:v>27</x:v>
      </x:c>
      <x:c r="B64" s="53" t="str">
        <x:v>WG</x:v>
      </x:c>
      <x:c r="C64" s="53" t="str">
        <x:v>Selesnya Conclave</x:v>
      </x:c>
      <x:c r="D64" s="53" t="n">
        <x:v>0.083333</x:v>
      </x:c>
      <x:c r="E64" s="54" t="b">
        <x:v>0</x:v>
      </x:c>
      <x:c r="F64" s="53" t="str"/>
    </x:row>
    <x:row r="65">
      <x:c r="A65" s="53" t="n">
        <x:v>28</x:v>
      </x:c>
      <x:c r="B65" s="53" t="str">
        <x:v>YORE</x:v>
      </x:c>
      <x:c r="C65" s="53" t="str">
        <x:v>Yore / Artifice</x:v>
      </x:c>
      <x:c r="D65" s="53" t="n">
        <x:v>0.083333</x:v>
      </x:c>
      <x:c r="E65" s="54" t="b">
        <x:v>0</x:v>
      </x:c>
      <x:c r="F65" s="53" t="str"/>
    </x:row>
    <x:row r="66">
      <x:c r="A66" s="53" t="n">
        <x:v>29</x:v>
      </x:c>
      <x:c r="B66" s="53" t="str">
        <x:v>U</x:v>
      </x:c>
      <x:c r="C66" s="53" t="str">
        <x:v>Blue</x:v>
      </x:c>
      <x:c r="D66" s="53" t="n">
        <x:v>0.0625</x:v>
      </x:c>
      <x:c r="E66" s="54" t="b">
        <x:v>0</x:v>
      </x:c>
      <x:c r="F66" s="53" t="str"/>
    </x:row>
    <x:row r="67">
      <x:c r="A67" s="53" t="n">
        <x:v>30</x:v>
      </x:c>
      <x:c r="B67" s="53" t="str">
        <x:v>UB</x:v>
      </x:c>
      <x:c r="C67" s="53" t="str">
        <x:v>House Dimir</x:v>
      </x:c>
      <x:c r="D67" s="53" t="n">
        <x:v>0.0625</x:v>
      </x:c>
      <x:c r="E67" s="54" t="b">
        <x:v>0</x:v>
      </x:c>
      <x:c r="F67" s="53" t="str"/>
    </x:row>
    <x:row r="68">
      <x:c r="A68" s="53" t="n">
        <x:v>31</x:v>
      </x:c>
      <x:c r="B68" s="53" t="str">
        <x:v>COLORLESS</x:v>
      </x:c>
      <x:c r="C68" s="53" t="str">
        <x:v>Colorless</x:v>
      </x:c>
      <x:c r="D68" s="53" t="n">
        <x:v>0</x:v>
      </x:c>
      <x:c r="E68" s="54" t="b">
        <x:v>0</x:v>
      </x:c>
      <x:c r="F68" s="53" t="str"/>
    </x:row>
    <x:row r="69">
      <x:c r="A69" s="53" t="n">
        <x:v>32</x:v>
      </x:c>
      <x:c r="B69" s="53" t="str">
        <x:v>ESPER</x:v>
      </x:c>
      <x:c r="C69" s="53" t="str">
        <x:v>Esper</x:v>
      </x:c>
      <x:c r="D69" s="53" t="n">
        <x:v>0</x:v>
      </x:c>
      <x:c r="E69" s="54" t="b">
        <x:v>0</x:v>
      </x:c>
      <x:c r="F69" s="53" t="str"/>
    </x:row>
    <x:row r="70">
      <x:c r="A70" s="53" t="n">
        <x:v>33</x:v>
      </x:c>
      <x:c r="B70" s="53" t="str">
        <x:v>QUANDRIX</x:v>
      </x:c>
      <x:c r="C70" s="53" t="str">
        <x:v>Quandrix College</x:v>
      </x:c>
      <x:c r="D70" s="53" t="n">
        <x:v>0</x:v>
      </x:c>
      <x:c r="E70" s="54" t="b">
        <x:v>0</x:v>
      </x:c>
      <x:c r="F70" s="53" t="str"/>
    </x:row>
    <x:row r="71">
      <x:c r="A71" s="53" t="n">
        <x:v>34</x:v>
      </x:c>
      <x:c r="B71" s="53" t="str">
        <x:v>SILVERQUILL</x:v>
      </x:c>
      <x:c r="C71" s="53" t="str">
        <x:v>Silverquill College</x:v>
      </x:c>
      <x:c r="D71" s="53" t="n">
        <x:v>0</x:v>
      </x:c>
      <x:c r="E71" s="54" t="b">
        <x:v>0</x:v>
      </x:c>
      <x:c r="F71" s="53" t="str"/>
    </x:row>
    <x:row r="72">
      <x:c r="A72" s="53" t="n">
        <x:v>35</x:v>
      </x:c>
      <x:c r="B72" s="53" t="str">
        <x:v>WITCH</x:v>
      </x:c>
      <x:c r="C72" s="53" t="str">
        <x:v>Witch / Growth</x:v>
      </x:c>
      <x:c r="D72" s="53" t="n">
        <x:v>0</x:v>
      </x:c>
      <x:c r="E72" s="54" t="b">
        <x:v>0</x:v>
      </x:c>
      <x:c r="F72" s="53" t="str"/>
    </x:row>
    <x:row r="73">
      <x:c r="A73" s="53" t="n">
        <x:v>36</x:v>
      </x:c>
      <x:c r="B73" s="53" t="str">
        <x:v>WU</x:v>
      </x:c>
      <x:c r="C73" s="53" t="str">
        <x:v>Azorius Senate</x:v>
      </x:c>
      <x:c r="D73" s="53" t="n">
        <x:v>0</x:v>
      </x:c>
      <x:c r="E73" s="54" t="b">
        <x:v>0</x:v>
      </x:c>
      <x:c r="F73" s="53" t="str"/>
    </x:row>
    <x:row r="74">
      <x:c r="A74" s="53" t="n">
        <x:v>37</x:v>
      </x:c>
      <x:c r="B74" s="53" t="str">
        <x:v>WUBRG</x:v>
      </x:c>
      <x:c r="C74" s="53" t="str">
        <x:v>Five-Color / WUBRG</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"JUND",
  "faction_name": "Jund",
  "institution_type": "shard",
  "world": "Alara",
  "identity": {
    "core_color": "R",
    "secondary_colors": [
      "B",
      "G"
    ],
    "secondary_color": "B",
    "expression_key": "JUND",
    "expression_name": "Jund",
    "expression_kind": "shard",
    "purity": null,
    "routing": {
      "edhrec_slug": "jund",
      "mtgdecks_slug": "jund",
      "label": "Jund"
    }
  },
  "decree": "Jund is the current best fit, with unresolved nearby alternatives.",
  "confidence": 0.046,
  "confidence_gap": 0.003,
  "mana_scores": {
    "W": 8,
    "U": 8,
    "B": 9,
    "R": 10,
    "G": 9
  },
  "top_matches": [
    {
      "rank": 1,
      "faction": "JUND",
      "faction_name": "Jund",
      "institution_type": "shard",
      "world": "Alara",
      "identity": {
        "core_color": "R",
        "secondary_colors": [
          "B",
          "G"
        ],
        "secondary_color": "B",
        "expression_key": "JUND",
        "expression_name": "Jund",
        "expression_kind": "shard",
        "purity": null,
        "routing": {
          "edhrec_slug": "jund",
          "mtgdecks_slug": "jund",
          "label": "Jund"
        }
      },
      "score": 0.8125,
      "confidence": 0.046,
      "reason": "Jund remained plausible through C01, C07, C12; identity mapping remains a hypothesis."
    },
    {
      "rank": 2,
      "faction": "RG",
      "faction_name": "Gruul Clans",
      "institution_type": "guild",
      "world": "Ravnica",
      "identity": {
        "core_color": "R",
        "secondary_colors": [
          "G"
        ],
        "secondary_color": "G",
        "expression_key": "RG",
        "expression_name": "Gruul Clans",
        "expression_kind": "guild",
        "purity": null,
        "routing": {
          "edhrec_slug": "gruul",
          "mtgdecks_slug": "gruul",
          "label": "Gruul"
        }
      },
      "score": 0.729167,
      "confidence": 0.043,
      "reason": "Gruul Clans remained plausible through C01, C07; identity mapping remains a hypothesis."
    }
  ],
  "adjacent_matches": [
    {
      "rank": 2,
      "faction": "RG",
      "faction_name": "Gruul Clans",
      "institution_type": "guild",
      "world": "Ravnica",
      "identity": {
        "core_color": "R",
        "secondary_colors": [
          "G"
        ],
        "secondary_color": "G",
        "expression_key": "RG",
        "expression_name": "Gruul Clans",
        "expression_kind": "guild",
        "purity": null,
        "routing": {
          "edhrec_slug": "gruul",
          "mtgdecks_slug": "gruul",
          "label": "Gruul"
        }
      },
      "score": 0.729167,
      "confidence": 0.043,
      "reason": "Gruul Clans remained plausible through C01, C07; identity mapping remains a hypothesis."
    }
  ],
  "internal_candidate_order": [
    {
      "identity": "R",
      "score": 0.916667,
      "positive_dependencies": 1,
      "qualification_dependencies": 1,
      "naming_dependencies": 1,
      "positive_constructs": [
        "C07"
      ],
      "satisfied_naming_rule_ids": [
        "instrument_completion_overlay:b1.hall.pressure.v1.combat:R"
      ],
      "naming_qualification": {
        "identity": "R",
        "qualified": false,
        "satisfied_naming_rule_ids": [
          "instrument_completion_overlay:b1.hall.pressure.v1.combat:R"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"JUND",
      "score": 0.8125,
      "positive_dependencies": 2,
      "qualification_dependencies": 2,
      "naming_dependencies": 1,
      "positive_constructs": [
        "C07",
        "C12"
      ],
      "satisfied_naming_rule_ids": [
        "instrument_completion_overlay:b1.hall.pressure.v1.combat:JUND"
      ],
      "naming_qualification": {
        "identity": "JUND",
        "qualified": true,
        "satisfied_naming_rule_ids": [
          "instrument_completion_overlay:b1.hall.pressure.v1.combat:JUND"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"RG",
      "score": 0.729167,
      "positive_dependencies": 2,
      "qualification_dependencies": 2,
      "naming_dependencies": 1,
      "positive_constructs": [
        "C03",
        "C07"
      ],
      "satisfied_naming_rule_ids": [
        "instrument_completion_overlay:b1.hall.pressure.v1.combat:RG"
      ],
      "naming_qualification": {
        "identity": "RG",
        "qualified": true,
        "satisfied_naming_rule_ids": [
          "instrument_completion_overlay:b1.hall.pressure.v1.combat:RG"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
      "score": 0.458333,
      "positive_dependencies": 1,
      "qualification_dependencies": 1,
      "naming_dependencies": 0,
      "positive_constructs": [
        "C03"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
      "score": 0.4375,
      "positive_dependencies": 1,
      "qualification_dependencies": 1,
      "naming_dependencies": 0,
      "positive_constructs": [
        "C12"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"BG",
      "score": 0.166667,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"C12"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"C12"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x:v>
      </x:c>
    </x:row>
    <x:row r="78">
      <x:c r="A78" s="53" t="str">
        <x:v>Part 2/3</x:v>
      </x:c>
      <x:c r="B78" s="53" t="str">
        <x:v>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"R",
    "JUND",
    "RG"
  ],
  "alternatives": [
    {
      "identity": "RG",
      "identity_name": "Gruul Clans",
      "support_difference_from_primary": 0.083333,
      "shared_constructs": [
        "C01",
        "C07"
      ],
      "distinguishing_constructs": [
        "C10",
        "C12"
      ],
      "strongest_unresolved_boundary": "No approved direct boundary is recorded.",
      "best_approved_question_id": null,
      "meaningful_support": true,
      "naming_qualification": {
        "identity": "RG",
        "qualified": true,
        "satisfied_naming_rule_ids": [
          "instrument_completion_overlay:b1.hall.pressure.v1.combat:RG"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"faction": "RG",
      "faction_name": "Gruul Clans",
      "match": {
        "rank": 2,
        "faction": "RG",
        "faction_name": "Gruul Clans",
        "institution_type": "guild",
        "world": "Ravnica",
        "identity": {
          "core_color": "R",
          "secondary_colors": [
            "G"
          ],
          "secondary_color": "G",
          "expression_key": "RG",
          "expression_name": "Gruul Clans",
          "expression_kind": "guild",
          "purity": null,
          "routing": {
            "edhrec_slug": "gruul",
            "mtgdecks_slug": "gruul",
            "label": "Gruul"
          }
        },
        "score": 0.729167,
        "confidence": 0.043,
        "reason": "Gruul Clans remained plausible through C01, C07; identity mapping remains a hypothesis."
      }
    }
  ],
  "refinement": {
    "kind": "no_approved_discriminator",
    "can_reduce_ambiguity": false,
    "remaining_candidates": [
      "JUND",
      "RG"
    ],
    "unresolved_boundaries": [],
    "missing_constructs": [],
    "question_id": null,
    "purpose": "no_approved_discriminator",
    "target_identities": [
      "JUND",
      "RG"
    ],
    "target_pair_ids": [],
    "distinction": "",
    "revisit": null,
    "limitation": "The approved instrument cannot responsibly distinguish the remaining candidates with another available observation."
  },
  "stopping": {
    "stop": true,
    "state": "close",
    "reason": "next_question_cannot_improve_responsible_top_boundary",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rebuild",
      "prompt": "A board wipe—an effect that removes many cards and tokens from the battlefield—is likely next turn. What would you rather have prepared?",
      "observation": "Prefers recovery after broad disruption.",
      "deltas": [
        {
          "faction": "G",
          "delta": 0.5
        },
        {
          "faction": "RG",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"b1.hall.pressure.v1.combat",
      "stage": "hall",
      "construct": "C07",
      "bounded_observation": "Prefers immediate embodied combat pressure from the current board.",
      "signal": "SIG_C07_EMBODIED_COMBAT",
      "dependency_group": "DG_C07",
      "evidence_class": "BEHAVIORAL_OBSERVATION",
      "affected_identities": [
        "JUND",
        "R",
        "RG"
      ],
      "positive_support": [
        "JUND",
        "R",
        "RG"
      ],
      "contradiction": [],
      "neutral": false,
      "mapping_strength": 1,
      "naming_evidence": true,
      "qualification_eligible": true,
      "qualification_support": [
        "JUND",
        "R",
        "RG"
      ],
      "naming_support": [
        "JUND",
        "R",
        "RG"
      ],
      "naming_rule_ids_by_identity": {
        "R": [
          "instrument_completion_overlay:b1.hall.pressure.v1.combat:R"
        ],
        "RG": [
          "instrument_completion_overlay:b1.hall.pressure.v1.combat:RG"
        ],
        "JUND": [
          "instrument_completion_overlay:b1.hall.pressure.v1.combat:JUND"
        ]
      },
      "mapping_role": "completion_boundary_direction",
      "mapping_status": "REMEDIATION_MAPPING_HYPOTHESIS",
      "mapping_provenance": "docs/plans/vm551-gate-b1-instrument-completion/instrument-change-adjudication.tsv#b1.hall.pressure.v1.combat;docs/audits/vm555-b1-identity-evidence-gap-bridge/identity-evidence-gap-matrix.tsv",
      "evidence_provenance": "E-VM555;E-CERTIFIED;E-CECOS;E-PLAYER-LANGUAGE",
      "limitation": "Many decks attack when shields are down; independent motive and context remain necessary.",
      "behavioral_vs_lens": "behavioral",
      "answer_title": "Use the bodies already there",
      "prompt": "The player ahead uses all their mana and leaves one turn where the table can take control. Which kind of pressure do you want your deck to create?",
      "observation": "Prefers immediate embodied combat pressure from the current board.",
      "deltas": [
        {
          "faction": "JUND",
          "delta": 1
        },
        {
          "faction": "R",
          "delta": 1
        },
        {
          "faction": "RG",
          "delta": 1
        }
      ]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"answer_title": "Spend it for the next advantage",
      "prompt": "You can give up a useful permanent now for cards or another lasting resource. What feels natural?",
      "observation": "Prefers voluntary resource conversion.",
      "deltas": [
        {
          "faction": "B",
          "delta": 0.5
        },
        {
          "faction": "JUND",
          "delta": 0.5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"b1.gate.disruption.v1.recover",
      "stage": "gate",
      "construct": "C03",
      "bounded_observation": "Prefers recovery after broad disruption.",
      "signal": "SIG_C03_RECOVER",
      "dependency_group": "DG_C03",
      "evidence_class": "BEHAVIORAL_OBSERVATION",
      "affected_identities": [
        "G",
        "RG"
      ],
      "positive_support": [
        "G",
        "RG"
      ],
      "contradiction": [],
      "neutral": false,
      "mapping_strength": 0.5,
      "naming_evidence": false,
      "qualification_eligible": true,
      "qualification_support": [
        "G",
        "RG"</x:v>
      </x:c>
    </x:row>
    <x:row r="79">
      <x:c r="A79" s="53" t="str">
        <x:v>Part 3/3</x:v>
      </x:c>
      <x:c r="B79" s="53" t="str">
        <x:v>
      ],
      "naming_support": [],
      "naming_rule_ids_by_identity": {},
      "mapping_role": "completion_corroboration_direction",
      "mapping_status": "REMEDIATION_MAPPING_HYPOTHESIS",
      "mapping_provenance": "docs/plans/vm551-gate-b1-instrument-completion/instrument-change-adjudication.tsv#b1.gate.disruption.v1.recover;docs/audits/vm555-b1-identity-evidence-gap-bridge/identity-evidence-gap-matrix.tsv",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"b1.hall.pressure.v1.combat",
      "stage": "hall",
      "construct": "C07",
      "bounded_observation": "Prefers immediate embodied combat pressure from the current board.",
      "signal": "SIG_C07_EMBODIED_COMBAT",
      "dependency_group": "DG_C07",
      "evidence_class": "BEHAVIORAL_OBSERVATION",
      "affected_identities": [
        "JUND",
        "R",
        "RG"
      ],
      "positive_support": [
        "JUND",
        "R",
        "RG"
      ],
      "contradiction": [],
      "neutral": false,
      "mapping_strength": 1,
      "naming_evidence": true,
      "qualification_eligible": true,
      "qualification_support": [
        "JUND",
        "R",
        "RG"
      ],
      "naming_support": [
        "JUND",
        "R",
        "RG"
      ],
      "naming_rule_ids_by_identity": {
        "R": [
          "instrument_completion_overlay:b1.hall.pressure.v1.combat:R"
        ],
        "RG": [
          "instrument_completion_overlay:b1.hall.pressure.v1.combat:RG"
        ],
        "JUND": [
          "instrument_completion_overlay:b1.hall.pressure.v1.combat:JUND"
        ]
      },
      "mapping_role": "completion_boundary_direction",
      "mapping_status": "REMEDIATION_MAPPING_HYPOTHESIS",
      "mapping_provenance": "docs/plans/vm551-gate-b1-instrument-completion/instrument-change-adjudication.tsv#b1.hall.pressure.v1.combat;docs/audits/vm555-b1-identity-evidence-gap-bridge/identity-evidence-gap-matrix.tsv",
      "evidence_provenance": "E-VM555;E-CERTIFIED;E-CECOS;E-PLAYER-LANGUAGE",
      "limitation": "Many decks attack when shields are down; independent motive and context remain necessary.",
      "behavioral_vs_lens": "behavioral"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"b1.gate.disruption.v1.recover",
      "stage": "gate",
      "evidence_class": "BEHAVIORAL_OBSERVATION"
    },
    {
      "question_id": "b1.gate.tempo.v1",
      "answer_id": "b1.gate.tempo.v1.burst",
      "stage": "gate",
      "evidence_class": "BEHAVIORAL_OBSERVATION"
    },
    {
      "question_id": "b1.hall.pressure.v1",
      "answer_id": "b1.hall.pressure.v1.combat",
      "stage": "hall",
      "evidence_class": "BEHAVIORAL_OBSERVATION"
    },
    {
      "question_id": "b1.hall.sacrifice.v1",
      "answer_id": "b1.hall.sacrifice.v1.convert",
      "stage": "hall",
      "evidence_class": "BEHAVIORAL_OBSERVATION"
    }
  ],
  "result_state": "close",
  "public_confidence_state": "close",
  "alternative_state": "close",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6:T36"/>
    <x:mergeCell ref="A76:T76"/>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Naya — Engine Trace</x:v>
      </x:c>
      <x:c r="B1" s="3"/>
      <x:c r="C1" s="3"/>
      <x:c r="D1" s="3"/>
      <x:c r="E1" s="3"/>
      <x:c r="F1" s="3"/>
      <x:c r="G1" s="3"/>
      <x:c r="H1" s="3"/>
      <x:c r="I1" s="3"/>
      <x:c r="J1" s="3"/>
      <x:c r="K1" s="3"/>
      <x:c r="L1" s="3"/>
      <x:c r="M1" s="3"/>
      <x:c r="N1" s="3"/>
      <x:c r="O1" s="3"/>
      <x:c r="P1" s="3"/>
      <x:c r="Q1" s="3"/>
      <x:c r="R1" s="3"/>
      <x:c r="S1" s="3"/>
      <x:c r="T1" s="3"/>
    </x:row>
    <x:row r="2" ht="30" customHeight="1">
      <x:c r="A2" s="7" t="str">
        <x:v>ENGINE-NAYA • PASS_MATCH • primary • trace 8c884fa9c04a969154cd8574ac87822449de7c96ca67fc837ae596ccfffabc3a</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NAYA</x:v>
      </x:c>
    </x:row>
    <x:row r="6">
      <x:c r="A6" s="53" t="str">
        <x:v>Expected public contract</x:v>
      </x:c>
      <x:c r="B6" s="53" t="str">
        <x:v>NAMED_DOSSIER</x:v>
      </x:c>
    </x:row>
    <x:row r="7">
      <x:c r="A7" s="53" t="str">
        <x:v>Witness status</x:v>
      </x:c>
      <x:c r="B7" s="53" t="str">
        <x:v>CURRENT_COMPATIBLE</x:v>
      </x:c>
    </x:row>
    <x:row r="8">
      <x:c r="A8" s="53" t="str">
        <x:v>Actual result</x:v>
      </x:c>
      <x:c r="B8" s="53" t="str">
        <x:v>NAYA</x:v>
      </x:c>
    </x:row>
    <x:row r="9">
      <x:c r="A9" s="53" t="str">
        <x:v>Directional result</x:v>
      </x:c>
      <x:c r="B9" s="53" t="str">
        <x:v>NAYA</x:v>
      </x:c>
    </x:row>
    <x:row r="10">
      <x:c r="A10" s="53" t="str">
        <x:v>Public state</x:v>
      </x:c>
      <x:c r="B10" s="53" t="str">
        <x:v>current-best-fit</x:v>
      </x:c>
    </x:row>
    <x:row r="11">
      <x:c r="A11" s="53" t="str">
        <x:v>Raw numeric leader</x:v>
      </x:c>
      <x:c r="B11" s="53" t="str">
        <x:v>NAYA</x:v>
      </x:c>
    </x:row>
    <x:row r="12">
      <x:c r="A12" s="53" t="str">
        <x:v>Raw score</x:v>
      </x:c>
      <x:c r="B12" s="53" t="n">
        <x:v>0.645833</x:v>
      </x:c>
    </x:row>
    <x:row r="13">
      <x:c r="A13" s="53" t="str">
        <x:v>Raw leader qualified</x:v>
      </x:c>
      <x:c r="B13" s="54" t="b">
        <x:v>1</x:v>
      </x:c>
    </x:row>
    <x:row r="14">
      <x:c r="A14" s="53" t="str">
        <x:v>Selected qualified</x:v>
      </x:c>
      <x:c r="B14" s="54" t="b">
        <x:v>1</x:v>
      </x:c>
    </x:row>
    <x:row r="15">
      <x:c r="A15" s="53" t="str">
        <x:v>Frontier</x:v>
      </x:c>
      <x:c r="B15" s="53" t="str">
        <x:v>NAYA</x:v>
      </x:c>
    </x:row>
    <x:row r="16">
      <x:c r="A16" s="53" t="str">
        <x:v>Stop reason</x:v>
      </x:c>
      <x:c r="B16" s="53" t="str">
        <x:v>single_named_direction_with_unresolved_alternatives</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outputs/01a02cd6-bce7-7832-9558-3075c52f146a/archscry-current-state-2026-08-22/evidence/engine/traces/naya.json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b1.hall.pressure.v1.abundance</x:v>
      </x:c>
      <x:c r="G33" s="53" t="str">
        <x:v>Keep the wide board moving</x:v>
      </x:c>
      <x:c r="H33" s="53" t="str">
        <x:v>C07</x:v>
      </x:c>
      <x:c r="I33" s="53" t="str">
        <x:v>SIG_C07_ABUNDANCE_PRESSURE</x:v>
      </x:c>
      <x:c r="J33" s="53" t="str">
        <x:v>DG_C07</x:v>
      </x:c>
      <x:c r="K33" s="53" t="str">
        <x:v>BEHAVIORAL_OBSERVATION</x:v>
      </x:c>
      <x:c r="L33" s="53" t="str">
        <x:v>NAYA</x:v>
      </x:c>
      <x:c r="M33" s="53" t="str"/>
      <x:c r="N33" s="53" t="n">
        <x:v>1</x:v>
      </x:c>
      <x:c r="O33" s="54" t="b">
        <x:v>1</x:v>
      </x:c>
      <x:c r="P33" s="53" t="str">
        <x:v>REMEDIATION_MAPPING_HYPOTHESIS</x:v>
      </x:c>
      <x:c r="Q33" s="53" t="str">
        <x:v>Prefers abundance-based board pressure rather than one concentrated strike.</x:v>
      </x:c>
      <x:c r="R33" s="53" t="str">
        <x:v>Board width may be accidental or mechanically efficient rather than identity-relevant.</x:v>
      </x:c>
      <x:c r="S33" s="53" t="str">
        <x:v>NAYA</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b1.hall.setup.v1.staged</x:v>
      </x:c>
      <x:c r="G34" s="53" t="str">
        <x:v>Let each step matter</x:v>
      </x:c>
      <x:c r="H34" s="53" t="str">
        <x:v>C14</x:v>
      </x:c>
      <x:c r="I34" s="53" t="str">
        <x:v>SIG_C14_STAGED</x:v>
      </x:c>
      <x:c r="J34" s="53" t="str">
        <x:v>DG_C14</x:v>
      </x:c>
      <x:c r="K34" s="53" t="str">
        <x:v>BEHAVIORAL_OBSERVATION</x:v>
      </x:c>
      <x:c r="L34" s="53" t="str">
        <x:v>ABZAN | BG | G | NAYA | UG | WITHERBLOOM</x:v>
      </x:c>
      <x:c r="M34" s="53" t="str"/>
      <x:c r="N34" s="53" t="n">
        <x:v>0.5</x:v>
      </x:c>
      <x:c r="O34" s="54" t="b">
        <x:v>0</x:v>
      </x:c>
      <x:c r="P34" s="53" t="str">
        <x:v>REMEDIATION_MAPPING_HYPOTHESIS</x:v>
      </x:c>
      <x:c r="Q34" s="53" t="str">
        <x:v>Prefers staged cultivation where development contributes along the way.</x:v>
      </x:c>
      <x:c r="R34" s="53" t="str">
        <x:v>Value engines commonly reward staged play for mechanical reasons.</x:v>
      </x:c>
      <x:c r="S34" s="53" t="str">
        <x:v>NAYA</x:v>
      </x:c>
      <x:c r="T34" s="53" t="str">
        <x:v>incomplete / useful_evidence_remains / b1.hall.commitment.v1</x:v>
      </x:c>
    </x:row>
    <x:row r="35">
      <x:c r="A35" s="53" t="n">
        <x:v>7</x:v>
      </x:c>
      <x:c r="B35" s="53" t="str">
        <x:v>main</x:v>
      </x:c>
      <x:c r="C35" s="53" t="str">
        <x:v>hall</x:v>
      </x:c>
      <x:c r="D35" s="53" t="str">
        <x:v>b1.hall.commitment.v1</x:v>
      </x:c>
      <x:c r="E35" s="53" t="str">
        <x:v>The table agrees to stop a repeatable threat. Before your next turn, the board changes and that threat is weaker but still present. What should the agreement require now?</x:v>
      </x:c>
      <x:c r="F35" s="53" t="str">
        <x:v>b1.hall.commitment.v1.reopen</x:v>
      </x:c>
      <x:c r="G35" s="53" t="str">
        <x:v>Reopen the agreement</x:v>
      </x:c>
      <x:c r="H35" s="53" t="str">
        <x:v>C13</x:v>
      </x:c>
      <x:c r="I35" s="53" t="str">
        <x:v>SIG_C13_REVISABLE</x:v>
      </x:c>
      <x:c r="J35" s="53" t="str">
        <x:v>DG_C13</x:v>
      </x:c>
      <x:c r="K35" s="53" t="str">
        <x:v>BEHAVIORAL_OBSERVATION</x:v>
      </x:c>
      <x:c r="L35" s="53" t="str">
        <x:v>SILVERQUILL</x:v>
      </x:c>
      <x:c r="M35" s="53" t="str"/>
      <x:c r="N35" s="53" t="n">
        <x:v>0.5</x:v>
      </x:c>
      <x:c r="O35" s="54" t="b">
        <x:v>0</x:v>
      </x:c>
      <x:c r="P35" s="53" t="str">
        <x:v>REMEDIATION_MAPPING_HYPOTHESIS</x:v>
      </x:c>
      <x:c r="Q35" s="53" t="str">
        <x:v>Prefers revisable present influence over a binding future commitment.</x:v>
      </x:c>
      <x:c r="R35" s="53" t="str">
        <x:v>Players may reopen a deal because it became impossible, not because they prefer revisable influence.</x:v>
      </x:c>
      <x:c r="S35" s="53" t="str">
        <x:v>NAYA</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b1.crucible.disruption-boundary.v1.preserve</x:v>
      </x:c>
      <x:c r="G36" s="53" t="str">
        <x:v>Keep the protection intact</x:v>
      </x:c>
      <x:c r="H36" s="53" t="str">
        <x:v>C03</x:v>
      </x:c>
      <x:c r="I36" s="53" t="str">
        <x:v>SIG_C03_PROTECT</x:v>
      </x:c>
      <x:c r="J36" s="53" t="str">
        <x:v>DG_C03</x:v>
      </x:c>
      <x:c r="K36" s="53" t="str">
        <x:v>BEHAVIORAL_OBSERVATION</x:v>
      </x:c>
      <x:c r="L36" s="53" t="str"/>
      <x:c r="M36" s="53" t="str"/>
      <x:c r="N36" s="53" t="n">
        <x:v>0</x:v>
      </x:c>
      <x:c r="O36" s="54" t="b">
        <x:v>0</x:v>
      </x:c>
      <x:c r="P36" s="53" t="str">
        <x:v>OBSERVATION_ONLY</x:v>
      </x:c>
      <x:c r="Q36" s="53" t="str">
        <x:v>Prioritizes continuity through remaining protection.</x:v>
      </x:c>
      <x:c r="R36" s="53" t="str">
        <x:v>The remaining protection may simply be the strongest available line.</x:v>
      </x:c>
      <x:c r="S36" s="53" t="str">
        <x:v>NAYA</x:v>
      </x:c>
      <x:c r="T36" s="53" t="str">
        <x:v>close / single_named_direction_with_unresolved_alternatives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NAYA</x:v>
      </x:c>
      <x:c r="C40" s="53" t="str">
        <x:v>Naya</x:v>
      </x:c>
      <x:c r="D40" s="53" t="n">
        <x:v>0.645833</x:v>
      </x:c>
      <x:c r="E40" s="54" t="b">
        <x:v>1</x:v>
      </x:c>
      <x:c r="F40" s="53" t="str">
        <x:v>C07 | C14</x:v>
      </x:c>
    </x:row>
    <x:row r="41">
      <x:c r="A41" s="53" t="n">
        <x:v>2</x:v>
      </x:c>
      <x:c r="B41" s="53" t="str">
        <x:v>ABZAN</x:v>
      </x:c>
      <x:c r="C41" s="53" t="str">
        <x:v>Abzan Houses</x:v>
      </x:c>
      <x:c r="D41" s="53" t="n">
        <x:v>0.625</x:v>
      </x:c>
      <x:c r="E41" s="54" t="b">
        <x:v>0</x:v>
      </x:c>
      <x:c r="F41" s="53" t="str">
        <x:v>C14</x:v>
      </x:c>
    </x:row>
    <x:row r="42">
      <x:c r="A42" s="53" t="n">
        <x:v>3</x:v>
      </x:c>
      <x:c r="B42" s="53" t="str">
        <x:v>G</x:v>
      </x:c>
      <x:c r="C42" s="53" t="str">
        <x:v>Green</x:v>
      </x:c>
      <x:c r="D42" s="53" t="n">
        <x:v>0.541667</x:v>
      </x:c>
      <x:c r="E42" s="54" t="b">
        <x:v>0</x:v>
      </x:c>
      <x:c r="F42" s="53" t="str">
        <x:v>C14</x:v>
      </x:c>
    </x:row>
    <x:row r="43">
      <x:c r="A43" s="53" t="n">
        <x:v>4</x:v>
      </x:c>
      <x:c r="B43" s="53" t="str">
        <x:v>JUND</x:v>
      </x:c>
      <x:c r="C43" s="53" t="str">
        <x:v>Jund</x:v>
      </x:c>
      <x:c r="D43" s="53" t="n">
        <x:v>0.541667</x:v>
      </x:c>
      <x:c r="E43" s="54" t="b">
        <x:v>0</x:v>
      </x:c>
      <x:c r="F43" s="53" t="str">
        <x:v>C01</x:v>
      </x:c>
    </x:row>
    <x:row r="44">
      <x:c r="A44" s="53" t="n">
        <x:v>5</x:v>
      </x:c>
      <x:c r="B44" s="53" t="str">
        <x:v>R</x:v>
      </x:c>
      <x:c r="C44" s="53" t="str">
        <x:v>Red</x:v>
      </x:c>
      <x:c r="D44" s="53" t="n">
        <x:v>0.541667</x:v>
      </x:c>
      <x:c r="E44" s="54" t="b">
        <x:v>0</x:v>
      </x:c>
      <x:c r="F44" s="53" t="str">
        <x:v>C01</x:v>
      </x:c>
    </x:row>
    <x:row r="45">
      <x:c r="A45" s="53" t="n">
        <x:v>6</x:v>
      </x:c>
      <x:c r="B45" s="53" t="str">
        <x:v>RG</x:v>
      </x:c>
      <x:c r="C45" s="53" t="str">
        <x:v>Gruul Clans</x:v>
      </x:c>
      <x:c r="D45" s="53" t="n">
        <x:v>0.541667</x:v>
      </x:c>
      <x:c r="E45" s="54" t="b">
        <x:v>0</x:v>
      </x:c>
      <x:c r="F45" s="53" t="str">
        <x:v>C01</x:v>
      </x:c>
    </x:row>
    <x:row r="46">
      <x:c r="A46" s="53" t="n">
        <x:v>7</x:v>
      </x:c>
      <x:c r="B46" s="53" t="str">
        <x:v>UG</x:v>
      </x:c>
      <x:c r="C46" s="53" t="str">
        <x:v>Simic Combine</x:v>
      </x:c>
      <x:c r="D46" s="53" t="n">
        <x:v>0.541667</x:v>
      </x:c>
      <x:c r="E46" s="54" t="b">
        <x:v>0</x:v>
      </x:c>
      <x:c r="F46" s="53" t="str">
        <x:v>C14</x:v>
      </x:c>
    </x:row>
    <x:row r="47">
      <x:c r="A47" s="53" t="n">
        <x:v>8</x:v>
      </x:c>
      <x:c r="B47" s="53" t="str">
        <x:v>BG</x:v>
      </x:c>
      <x:c r="C47" s="53" t="str">
        <x:v>Golgari Swarm</x:v>
      </x:c>
      <x:c r="D47" s="53" t="n">
        <x:v>0.458333</x:v>
      </x:c>
      <x:c r="E47" s="54" t="b">
        <x:v>0</x:v>
      </x:c>
      <x:c r="F47" s="53" t="str">
        <x:v>C14</x:v>
      </x:c>
    </x:row>
    <x:row r="48">
      <x:c r="A48" s="53" t="n">
        <x:v>9</x:v>
      </x:c>
      <x:c r="B48" s="53" t="str">
        <x:v>SILVERQUILL</x:v>
      </x:c>
      <x:c r="C48" s="53" t="str">
        <x:v>Silverquill College</x:v>
      </x:c>
      <x:c r="D48" s="53" t="n">
        <x:v>0.458333</x:v>
      </x:c>
      <x:c r="E48" s="54" t="b">
        <x:v>0</x:v>
      </x:c>
      <x:c r="F48" s="53" t="str"/>
    </x:row>
    <x:row r="49">
      <x:c r="A49" s="53" t="n">
        <x:v>10</x:v>
      </x:c>
      <x:c r="B49" s="53" t="str">
        <x:v>WITHERBLOOM</x:v>
      </x:c>
      <x:c r="C49" s="53" t="str">
        <x:v>Witherbloom College</x:v>
      </x:c>
      <x:c r="D49" s="53" t="n">
        <x:v>0.458333</x:v>
      </x:c>
      <x:c r="E49" s="54" t="b">
        <x:v>0</x:v>
      </x:c>
      <x:c r="F49" s="53" t="str">
        <x:v>C14</x:v>
      </x:c>
    </x:row>
    <x:row r="50">
      <x:c r="A50" s="53" t="n">
        <x:v>11</x:v>
      </x:c>
      <x:c r="B50" s="53" t="str">
        <x:v>TEMUR</x:v>
      </x:c>
      <x:c r="C50" s="53" t="str">
        <x:v>Temur Frontier</x:v>
      </x:c>
      <x:c r="D50" s="53" t="n">
        <x:v>0.25</x:v>
      </x:c>
      <x:c r="E50" s="54" t="b">
        <x:v>0</x:v>
      </x:c>
      <x:c r="F50" s="53" t="str"/>
    </x:row>
    <x:row r="51">
      <x:c r="A51" s="53" t="n">
        <x:v>12</x:v>
      </x:c>
      <x:c r="B51" s="53" t="str">
        <x:v>W</x:v>
      </x:c>
      <x:c r="C51" s="53" t="str">
        <x:v>White</x:v>
      </x:c>
      <x:c r="D51" s="53" t="n">
        <x:v>0.25</x:v>
      </x:c>
      <x:c r="E51" s="54" t="b">
        <x:v>0</x:v>
      </x:c>
      <x:c r="F51" s="53" t="str"/>
    </x:row>
    <x:row r="52">
      <x:c r="A52" s="53" t="n">
        <x:v>13</x:v>
      </x:c>
      <x:c r="B52" s="53" t="str">
        <x:v>WR</x:v>
      </x:c>
      <x:c r="C52" s="53" t="str">
        <x:v>Boros Legion</x:v>
      </x:c>
      <x:c r="D52" s="53" t="n">
        <x:v>0.25</x:v>
      </x:c>
      <x:c r="E52" s="54" t="b">
        <x:v>0</x:v>
      </x:c>
      <x:c r="F52" s="53" t="str"/>
    </x:row>
    <x:row r="53">
      <x:c r="A53" s="53" t="n">
        <x:v>14</x:v>
      </x:c>
      <x:c r="B53" s="53" t="str">
        <x:v>MARDU</x:v>
      </x:c>
      <x:c r="C53" s="53" t="str">
        <x:v>Mardu Horde</x:v>
      </x:c>
      <x:c r="D53" s="53" t="n">
        <x:v>0.25</x:v>
      </x:c>
      <x:c r="E53" s="54" t="b">
        <x:v>0</x:v>
      </x:c>
      <x:c r="F53" s="53" t="str"/>
    </x:row>
    <x:row r="54">
      <x:c r="A54" s="53" t="n">
        <x:v>15</x:v>
      </x:c>
      <x:c r="B54" s="53" t="str">
        <x:v>WG</x:v>
      </x:c>
      <x:c r="C54" s="53" t="str">
        <x:v>Selesnya Conclave</x:v>
      </x:c>
      <x:c r="D54" s="53" t="n">
        <x:v>0.166667</x:v>
      </x:c>
      <x:c r="E54" s="54" t="b">
        <x:v>0</x:v>
      </x:c>
      <x:c r="F54" s="53" t="str"/>
    </x:row>
    <x:row r="55">
      <x:c r="A55" s="53" t="n">
        <x:v>16</x:v>
      </x:c>
      <x:c r="B55" s="53" t="str">
        <x:v>DUNE</x:v>
      </x:c>
      <x:c r="C55" s="53" t="str">
        <x:v>Dune / Aggression</x:v>
      </x:c>
      <x:c r="D55" s="53" t="n">
        <x:v>0.166667</x:v>
      </x:c>
      <x:c r="E55" s="54" t="b">
        <x:v>0</x:v>
      </x:c>
      <x:c r="F55" s="53" t="str"/>
    </x:row>
    <x:row r="56">
      <x:c r="A56" s="53" t="n">
        <x:v>17</x:v>
      </x:c>
      <x:c r="B56" s="53" t="str">
        <x:v>INK</x:v>
      </x:c>
      <x:c r="C56" s="53" t="str">
        <x:v>Ink / Altruism</x:v>
      </x:c>
      <x:c r="D56" s="53" t="n">
        <x:v>0.166667</x:v>
      </x:c>
      <x:c r="E56" s="54" t="b">
        <x:v>0</x:v>
      </x:c>
      <x:c r="F56" s="53" t="str"/>
    </x:row>
    <x:row r="57">
      <x:c r="A57" s="53" t="n">
        <x:v>18</x:v>
      </x:c>
      <x:c r="B57" s="53" t="str">
        <x:v>GRIXIS</x:v>
      </x:c>
      <x:c r="C57" s="53" t="str">
        <x:v>Grixis</x:v>
      </x:c>
      <x:c r="D57" s="53" t="n">
        <x:v>0.125</x:v>
      </x:c>
      <x:c r="E57" s="54" t="b">
        <x:v>0</x:v>
      </x:c>
      <x:c r="F57" s="53" t="str"/>
    </x:row>
    <x:row r="58">
      <x:c r="A58" s="53" t="n">
        <x:v>19</x:v>
      </x:c>
      <x:c r="B58" s="53" t="str">
        <x:v>PRISMARI</x:v>
      </x:c>
      <x:c r="C58" s="53" t="str">
        <x:v>Prismari College</x:v>
      </x:c>
      <x:c r="D58" s="53" t="n">
        <x:v>0.083333</x:v>
      </x:c>
      <x:c r="E58" s="54" t="b">
        <x:v>0</x:v>
      </x:c>
      <x:c r="F58" s="53" t="str"/>
    </x:row>
    <x:row r="59">
      <x:c r="A59" s="53" t="n">
        <x:v>20</x:v>
      </x:c>
      <x:c r="B59" s="53" t="str">
        <x:v>BANT</x:v>
      </x:c>
      <x:c r="C59" s="53" t="str">
        <x:v>Bant</x:v>
      </x:c>
      <x:c r="D59" s="53" t="n">
        <x:v>0.083333</x:v>
      </x:c>
      <x:c r="E59" s="54" t="b">
        <x:v>0</x:v>
      </x:c>
      <x:c r="F59" s="53" t="str"/>
    </x:row>
    <x:row r="60">
      <x:c r="A60" s="53" t="n">
        <x:v>21</x:v>
      </x:c>
      <x:c r="B60" s="53" t="str">
        <x:v>BR</x:v>
      </x:c>
      <x:c r="C60" s="53" t="str">
        <x:v>Cult of Rakdos</x:v>
      </x:c>
      <x:c r="D60" s="53" t="n">
        <x:v>0.083333</x:v>
      </x:c>
      <x:c r="E60" s="54" t="b">
        <x:v>0</x:v>
      </x:c>
      <x:c r="F60" s="53" t="str"/>
    </x:row>
    <x:row r="61">
      <x:c r="A61" s="53" t="n">
        <x:v>22</x:v>
      </x:c>
      <x:c r="B61" s="53" t="str">
        <x:v>GLINT</x:v>
      </x:c>
      <x:c r="C61" s="53" t="str">
        <x:v>Glint / Chaos</x:v>
      </x:c>
      <x:c r="D61" s="53" t="n">
        <x:v>0.083333</x:v>
      </x:c>
      <x:c r="E61" s="54" t="b">
        <x:v>0</x:v>
      </x:c>
      <x:c r="F61" s="53" t="str"/>
    </x:row>
    <x:row r="62">
      <x:c r="A62" s="53" t="n">
        <x:v>23</x:v>
      </x:c>
      <x:c r="B62" s="53" t="str">
        <x:v>LOREHOLD</x:v>
      </x:c>
      <x:c r="C62" s="53" t="str">
        <x:v>Lorehold College</x:v>
      </x:c>
      <x:c r="D62" s="53" t="n">
        <x:v>0.083333</x:v>
      </x:c>
      <x:c r="E62" s="54" t="b">
        <x:v>0</x:v>
      </x:c>
      <x:c r="F62" s="53" t="str"/>
    </x:row>
    <x:row r="63">
      <x:c r="A63" s="53" t="n">
        <x:v>24</x:v>
      </x:c>
      <x:c r="B63" s="53" t="str">
        <x:v>QUANDRIX</x:v>
      </x:c>
      <x:c r="C63" s="53" t="str">
        <x:v>Quandrix College</x:v>
      </x:c>
      <x:c r="D63" s="53" t="n">
        <x:v>0.083333</x:v>
      </x:c>
      <x:c r="E63" s="54" t="b">
        <x:v>0</x:v>
      </x:c>
      <x:c r="F63" s="53" t="str"/>
    </x:row>
    <x:row r="64">
      <x:c r="A64" s="53" t="n">
        <x:v>25</x:v>
      </x:c>
      <x:c r="B64" s="53" t="str">
        <x:v>SULTAI</x:v>
      </x:c>
      <x:c r="C64" s="53" t="str">
        <x:v>Sultai Brood</x:v>
      </x:c>
      <x:c r="D64" s="53" t="n">
        <x:v>0.083333</x:v>
      </x:c>
      <x:c r="E64" s="54" t="b">
        <x:v>0</x:v>
      </x:c>
      <x:c r="F64" s="53" t="str"/>
    </x:row>
    <x:row r="65">
      <x:c r="A65" s="53" t="n">
        <x:v>26</x:v>
      </x:c>
      <x:c r="B65" s="53" t="str">
        <x:v>UR</x:v>
      </x:c>
      <x:c r="C65" s="53" t="str">
        <x:v>Izzet League</x:v>
      </x:c>
      <x:c r="D65" s="53" t="n">
        <x:v>0.083333</x:v>
      </x:c>
      <x:c r="E65" s="54" t="b">
        <x:v>0</x:v>
      </x:c>
      <x:c r="F65" s="53" t="str"/>
    </x:row>
    <x:row r="66">
      <x:c r="A66" s="53" t="n">
        <x:v>27</x:v>
      </x:c>
      <x:c r="B66" s="53" t="str">
        <x:v>WB</x:v>
      </x:c>
      <x:c r="C66" s="53" t="str">
        <x:v>Orzhov Syndicate</x:v>
      </x:c>
      <x:c r="D66" s="53" t="n">
        <x:v>0.083333</x:v>
      </x:c>
      <x:c r="E66" s="54" t="b">
        <x:v>0</x:v>
      </x:c>
      <x:c r="F66" s="53" t="str"/>
    </x:row>
    <x:row r="67">
      <x:c r="A67" s="53" t="n">
        <x:v>28</x:v>
      </x:c>
      <x:c r="B67" s="53" t="str">
        <x:v>WITCH</x:v>
      </x:c>
      <x:c r="C67" s="53" t="str">
        <x:v>Witch / Growth</x:v>
      </x:c>
      <x:c r="D67" s="53" t="n">
        <x:v>0.083333</x:v>
      </x:c>
      <x:c r="E67" s="54" t="b">
        <x:v>0</x:v>
      </x:c>
      <x:c r="F67" s="53" t="str"/>
    </x:row>
    <x:row r="68">
      <x:c r="A68" s="53" t="n">
        <x:v>29</x:v>
      </x:c>
      <x:c r="B68" s="53" t="str">
        <x:v>JESKAI</x:v>
      </x:c>
      <x:c r="C68" s="53" t="str">
        <x:v>Jeskai Way</x:v>
      </x:c>
      <x:c r="D68" s="53" t="n">
        <x:v>0.0625</x:v>
      </x:c>
      <x:c r="E68" s="54" t="b">
        <x:v>0</x:v>
      </x:c>
      <x:c r="F68" s="53" t="str"/>
    </x:row>
    <x:row r="69">
      <x:c r="A69" s="53" t="n">
        <x:v>30</x:v>
      </x:c>
      <x:c r="B69" s="53" t="str">
        <x:v>U</x:v>
      </x:c>
      <x:c r="C69" s="53" t="str">
        <x:v>Blue</x:v>
      </x:c>
      <x:c r="D69" s="53" t="n">
        <x:v>0.0625</x:v>
      </x:c>
      <x:c r="E69" s="54" t="b">
        <x:v>0</x:v>
      </x:c>
      <x:c r="F69" s="53" t="str"/>
    </x:row>
    <x:row r="70">
      <x:c r="A70" s="53" t="n">
        <x:v>31</x:v>
      </x:c>
      <x:c r="B70" s="53" t="str">
        <x:v>UB</x:v>
      </x:c>
      <x:c r="C70" s="53" t="str">
        <x:v>House Dimir</x:v>
      </x:c>
      <x:c r="D70" s="53" t="n">
        <x:v>0.0625</x:v>
      </x:c>
      <x:c r="E70" s="54" t="b">
        <x:v>0</x:v>
      </x:c>
      <x:c r="F70" s="53" t="str"/>
    </x:row>
    <x:row r="71">
      <x:c r="A71" s="53" t="n">
        <x:v>32</x:v>
      </x:c>
      <x:c r="B71" s="53" t="str">
        <x:v>WU</x:v>
      </x:c>
      <x:c r="C71" s="53" t="str">
        <x:v>Azorius Senate</x:v>
      </x:c>
      <x:c r="D71" s="53" t="n">
        <x:v>0.0625</x:v>
      </x:c>
      <x:c r="E71" s="54" t="b">
        <x:v>0</x:v>
      </x:c>
      <x:c r="F71" s="53" t="str"/>
    </x:row>
    <x:row r="72">
      <x:c r="A72" s="53" t="n">
        <x:v>33</x:v>
      </x:c>
      <x:c r="B72" s="53" t="str">
        <x:v>B</x:v>
      </x:c>
      <x:c r="C72" s="53" t="str">
        <x:v>Black</x:v>
      </x:c>
      <x:c r="D72" s="53" t="n">
        <x:v>0</x:v>
      </x:c>
      <x:c r="E72" s="54" t="b">
        <x:v>0</x:v>
      </x:c>
      <x:c r="F72" s="53" t="str"/>
    </x:row>
    <x:row r="73">
      <x:c r="A73" s="53" t="n">
        <x:v>34</x:v>
      </x:c>
      <x:c r="B73" s="53" t="str">
        <x:v>COLORLESS</x:v>
      </x:c>
      <x:c r="C73" s="53" t="str">
        <x:v>Colorless</x:v>
      </x:c>
      <x:c r="D73" s="53" t="n">
        <x:v>0</x:v>
      </x:c>
      <x:c r="E73" s="54" t="b">
        <x:v>0</x:v>
      </x:c>
      <x:c r="F73" s="53" t="str"/>
    </x:row>
    <x:row r="74">
      <x:c r="A74" s="53" t="n">
        <x:v>35</x:v>
      </x:c>
      <x:c r="B74" s="53" t="str">
        <x:v>ESPER</x:v>
      </x:c>
      <x:c r="C74" s="53" t="str">
        <x:v>Esper</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YORE</x:v>
      </x:c>
      <x:c r="C76" s="53" t="str">
        <x:v>Yore / Artifice</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"NAYA",
  "faction_name": "Naya",
  "institution_type": "shard",
  "world": "Alara",
  "identity": {
    "core_color": "G",
    "secondary_colors": [
      "R",
      "W"
    ],
    "secondary_color": "R",
    "expression_key": "NAYA",
    "expression_name": "Naya",
    "expression_kind": "shard",
    "purity": null,
    "routing": {
      "edhrec_slug": "naya",
      "mtgdecks_slug": "naya",
      "color_identity": "RGW",
      "label": "Naya"
    }
  },
  "decree": "This is the identity your recorded answers favored most in this reading.",
  "confidence": 0.039,
  "confidence_gap": 1,
  "mana_scores": {
    "W": 9,
    "U": 8,
    "B": 9,
    "R": 9,
    "G": 10
  },
  "top_matches": [
    {
      "rank": 1,
      "faction": "NAYA",
      "faction_name": "Naya",
      "institution_type": "shard",
      "world": "Alara",
      "identity": {
        "core_color": "G",
        "secondary_colors": [
          "R",
          "W"
        ],
        "secondary_color": "R",
        "expression_key": "NAYA",
        "expression_name": "Naya",
        "expression_kind": "shard",
        "purity": null,
        "routing": {
          "edhrec_slug": "naya",
          "mtgdecks_slug": "naya",
          "color_identity": "RGW",
          "label": "Naya"
        }
      },
      "score": 0.645833,
      "confidence": 0.039,
      "reason": "Naya remained plausible through C07; identity mapping remains a hypothesis."
    }
  ],
  "adjacent_matches": [],
  "internal_candidate_order": [
    {
      "identity": "NAYA",
      "score": 0.645833,
      "positive_dependencies": 2,
      "qualification_dependencies": 2,
      "naming_dependencies": 1,
      "positive_constructs": [
        "C07",
        "C14"
      ],
      "satisfied_naming_rule_ids": [
        "instrument_completion_overlay:b1.hall.pressure.v1.abundance:NAYA"
      ],
      "naming_qualification": {
        "identity": "NAYA",
        "qualified": true,
        "satisfied_naming_rule_ids": [
          "instrument_completion_overlay:b1.hall.pressure.v1.abundance:NAYA"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"ABZAN",
      "score": 0.625,
      "positive_dependencies": 1,
      "qualification_dependencies": 1,
      "naming_dependencies": 0,
      "positive_constructs": [
        "C14"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"G",
      "score": 0.541667,
      "positive_dependencies": 1,
      "qualification_dependencies": 1,
      "naming_dependencies": 0,
      "positive_constructs": [
        "C14"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"UG",
      "score": 0.541667,
      "positive_dependencies": 1,
      "qualification_dependencies": 1,
      "naming_dependencies": 0,
      "positive_constructs": [
        "C14"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"BG",
      "score": 0.458333,
      "positive_dependencies": 1,
      "qualification_dependencies": 1,
      "naming_dependencies": 0,
      "positive_constructs": [
        "C14"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"SILVERQUILL",
      "score": 0.458333,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"WITHERBLOOM",
      "score": 0.458333,
      "positive_dependencies": 1,
      "qualification_dependencies": 1,
      "naming_dependencies": 0,
      "positive_constructs": [
        "C14"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"TEMUR",
      "score": 0.25,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"W",
      "score": 0.25,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"C13"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"MARDU",
      "score": 0.25,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"WG",
      "score": 0.166667,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"naming_qualification": {
        "identity": "WB",
        "qualified": false,
  </x:v>
      </x:c>
    </x:row>
    <x:row r="80">
      <x:c r="A80" s="53" t="str">
        <x:v>Part 2/3</x:v>
      </x:c>
      <x:c r="B80" s="53" t="str">
        <x:v>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"NAYA",
    "ABZAN",
    "G",
    "JUND",
    "R",
    "RG",
    "UG",
    "BG"
  ],
  "alternatives": [],
  "refinement": {
    "kind": "no_approved_discriminator",
    "can_reduce_ambiguity": false,
    "remaining_candidates": [
      "NAYA"
    ],
    "unresolved_boundaries": [],
    "missing_constructs": [
      "C10"
    ],
    "question_id": null,
    "purpose": "no_approved_discriminator",
    "target_identities": [
      "NAYA"
    ],
    "target_pair_ids": [],
    "distinction": "",
    "revisit": null,
    "limitation": "The approved instrument cannot responsibly distinguish the remaining candidates with another available observation."
  },
  "stopping": {
    "stop": true,
    "state": "close",
    "reason": "single_named_direction_with_unresolved_alternatives",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"answer_title": "Keep the wide board moving",
      "prompt": "The player ahead uses all their mana and leaves one turn where the table can take control. Which kind of pressure do you want your deck to create?",
      "observation": "Prefers abundance-based board pressure rather than one concentrated strike.",
      "deltas": [
        {
          "faction": "NAYA",
          "delta": 1
        }
      ]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"answer_title": "Let each step matter",
      "prompt": "Your deck becomes much stronger after several setup turns, but the table is already developing threats. What must the setup do along the way?",
      "observation": "Prefers staged cultivation where development contributes along the way.",
      "deltas": [
        {
          "faction": "ABZAN",
          "delta": 0.5
        },
        {
          "faction": "BG",
          "delta": 0.5
        },
        {
          "faction": "G",
          "delta": 0.5
        },
        {
          "faction": "NAYA",
          "delta": 0.5
        },
        {
          "faction": "UG",
          "delta": 0.5
        },
        {
          "faction": "WITHERBLOOM",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"b1.crucible.disruption-boundary.v1",
      "answer_id": "b1.crucible.disruption-boundary.v1.preserve",
      "stage": "crucible",
      "construct": "C03",
      "bounded_observation": "Prioritizes continuity through remaining protection.",
      "signal": "SIG_C03_PROTECT",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"E-VM555;E-CERTIFIED;E-CECOS;E-PLAYER-LANGUAGE",
      "evidence_provenance": "E-VM555;E-CERTIFIED;E-CECOS;E-PLAYER-LANGUAGE",
      "limitation": "The remaining protection may simply be the strongest available line.",
      "behavioral_vs_lens": "behavioral",
      "answer_title": "Keep the protection intact",
      "prompt": "An opponent removes the piece your deck was built around after using most of their mana and cards. Your turn begins with the rest of your board still available. What do you try first?",
      "observation": "Prioritizes continuity through remaining protection.",
      "deltas":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x:v>
      </x:c>
    </x:row>
    <x:row r="81">
      <x:c r="A81" s="53" t="str">
        <x:v>Part 3/3</x:v>
      </x:c>
      <x:c r="B81" s="53" t="str">
        <x:v>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
    {
      "question_id": "b1.hall.setup.v1",
      "answer_id": "b1.hall.setup.v1.staged",
      "stage": "hall",
      "construct": "C14",
      "bounded_observation": "Prefers staged cultivation where development contributes along the way.",
      "signal": "SIG_C14_STAGED",
      "dependency_group": "DG_C14",
      "evidence_class": "BEHAVIORAL_OBSERVATION",
      "affected_identities": [
        "ABZAN",
        "BG",
        "G",
        "NAYA",
        "UG",
        "WITHERBLOOM"
      ],
      "positive_support": [
        "ABZAN",
        "BG",
        "G",
        "NAYA",
        "UG",
        "WITHERBLOOM"
      ],
      "contradiction": [],
      "neutral": false,
      "mapping_strength": 0.5,
      "naming_evidence": false,
      "qualification_eligible": true,
      "qualification_support": [
        "ABZAN",
        "BG",
        "G",
        "NAYA",
        "UG",
        "WITHERBLOOM"
      ],
      "naming_support": [],
      "naming_rule_ids_by_identity": {},
      "mapping_role": "completion_corroboration_direction",
      "mapping_status": "REMEDIATION_MAPPING_HYPOTHESIS",
      "mapping_provenance": "docs/plans/vm551-gate-b1-instrument-completion/instrument-change-adjudication.tsv#b1.hall.setup.v1.staged;docs/audits/vm555-b1-identity-evidence-gap-bridge/identity-evidence-gap-matrix.tsv",
      "evidence_provenance": "E-VM555;E-CERTIFIED;E-CECOS;E-PLAYER-LANGUAGE",
      "limitation": "Value engines commonly reward staged play for mechanical reasons.",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"b1.crucible.disruption-boundary.v1",
      "answer_id": "b1.crucible.disruption-boundary.v1.preserve",
      "stage": "crucible",
      "construct": "C03",
      "bounded_observation": "Prioritizes continuity through remaining protection.",
      "signal": "SIG_C03_PROTECT",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"E-VM555;E-CERTIFIED;E-CECOS;E-PLAYER-LANGUAGE",
      "evidence_provenance": "E-VM555;E-CERTIFIED;E-CECOS;E-PLAYER-LANGUAGE",
      "limitation": "The remaining protection may simply be the strongest available line.",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"b1.hall.pressure.v1.abundance",
      "stage": "hall",
      "evidence_class": "BEHAVIORAL_OBSERVATION"
    },
    {
      "question_id": "b1.hall.setup.v1",
      "answer_id": "b1.hall.setup.v1.staged",
      "stage": "hall",
      "evidence_class": "BEHAVIORAL_OBSERVATION"
    },
    {
      "question_id": "b1.hall.commitment.v1",
      "answer_id": "b1.hall.commitment.v1.reopen",
      "stage": "hall",
      "evidence_class": "BEHAVIORAL_OBSERVATION"
    },
    {
      "question_id": "b1.crucible.disruption-boundary.v1",
      "answer_id": "b1.crucible.disruption-boundary.v1.preserve",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8:T38"/>
    <x:mergeCell ref="A78:T78"/>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Abzan Houses — Engine Trace</x:v>
      </x:c>
      <x:c r="B1" s="3"/>
      <x:c r="C1" s="3"/>
      <x:c r="D1" s="3"/>
      <x:c r="E1" s="3"/>
      <x:c r="F1" s="3"/>
      <x:c r="G1" s="3"/>
      <x:c r="H1" s="3"/>
      <x:c r="I1" s="3"/>
      <x:c r="J1" s="3"/>
      <x:c r="K1" s="3"/>
      <x:c r="L1" s="3"/>
      <x:c r="M1" s="3"/>
      <x:c r="N1" s="3"/>
      <x:c r="O1" s="3"/>
      <x:c r="P1" s="3"/>
      <x:c r="Q1" s="3"/>
      <x:c r="R1" s="3"/>
      <x:c r="S1" s="3"/>
      <x:c r="T1" s="3"/>
    </x:row>
    <x:row r="2" ht="30" customHeight="1">
      <x:c r="A2" s="7" t="str">
        <x:v>ENGINE-ABZAN • PASS_MATCH • primary • trace c16c024f4c4d1a1f8e45115e0309c89462f95728ed1e99ea700cd07a10656e82</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ABZAN</x:v>
      </x:c>
    </x:row>
    <x:row r="6">
      <x:c r="A6" s="53" t="str">
        <x:v>Expected public contract</x:v>
      </x:c>
      <x:c r="B6" s="53" t="str">
        <x:v>NAMED_DOSSIER</x:v>
      </x:c>
    </x:row>
    <x:row r="7">
      <x:c r="A7" s="53" t="str">
        <x:v>Witness status</x:v>
      </x:c>
      <x:c r="B7" s="53" t="str">
        <x:v>CURRENT_COMPATIBLE</x:v>
      </x:c>
    </x:row>
    <x:row r="8">
      <x:c r="A8" s="53" t="str">
        <x:v>Actual result</x:v>
      </x:c>
      <x:c r="B8" s="53" t="str">
        <x:v>ABZAN</x:v>
      </x:c>
    </x:row>
    <x:row r="9">
      <x:c r="A9" s="53" t="str">
        <x:v>Directional result</x:v>
      </x:c>
      <x:c r="B9" s="53" t="str">
        <x:v>ABZAN</x:v>
      </x:c>
    </x:row>
    <x:row r="10">
      <x:c r="A10" s="53" t="str">
        <x:v>Public state</x:v>
      </x:c>
      <x:c r="B10" s="53" t="str">
        <x:v>current-best-fit</x:v>
      </x:c>
    </x:row>
    <x:row r="11">
      <x:c r="A11" s="53" t="str">
        <x:v>Raw numeric leader</x:v>
      </x:c>
      <x:c r="B11" s="53" t="str">
        <x:v>ABZAN</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ABZAN</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outputs/01a02cd6-bce7-7832-9558-3075c52f146a/archscry-current-state-2026-08-22/evidence/engine/traces/abzan.json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b1.gate.disruption.v1.protect</x:v>
      </x:c>
      <x:c r="G31" s="53" t="str">
        <x:v>A way to keep the board</x:v>
      </x:c>
      <x:c r="H31" s="53" t="str">
        <x:v>C03</x:v>
      </x:c>
      <x:c r="I31" s="53" t="str">
        <x:v>SIG_C03_PROTECT</x:v>
      </x:c>
      <x:c r="J31" s="53" t="str">
        <x:v>DG_C03</x:v>
      </x:c>
      <x:c r="K31" s="53" t="str">
        <x:v>BEHAVIORAL_OBSERVATION</x:v>
      </x:c>
      <x:c r="L31" s="53" t="str">
        <x:v>ABZAN | W | WG</x:v>
      </x:c>
      <x:c r="M31" s="53" t="str"/>
      <x:c r="N31" s="53" t="n">
        <x:v>0.5</x:v>
      </x:c>
      <x:c r="O31" s="54" t="b">
        <x:v>0</x:v>
      </x:c>
      <x:c r="P31" s="53" t="str">
        <x:v>REMEDIATION_MAPPING_HYPOTHESIS</x:v>
      </x:c>
      <x:c r="Q31" s="53" t="str">
        <x:v>Prefers protection before broad disruption.</x:v>
      </x:c>
      <x:c r="R31" s="53" t="str">
        <x:v>Observation wording and identity association require player validation; no weight is authorized.</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ABZAN</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b1.hall.commitment.v1.terms</x:v>
      </x:c>
      <x:c r="G33" s="53" t="str">
        <x:v>Keep the promise</x:v>
      </x:c>
      <x:c r="H33" s="53" t="str">
        <x:v>C13</x:v>
      </x:c>
      <x:c r="I33" s="53" t="str">
        <x:v>SIG_C13_DURABLE</x:v>
      </x:c>
      <x:c r="J33" s="53" t="str">
        <x:v>DG_C13</x:v>
      </x:c>
      <x:c r="K33" s="53" t="str">
        <x:v>BEHAVIORAL_OBSERVATION</x:v>
      </x:c>
      <x:c r="L33" s="53" t="str">
        <x:v>ABZAN</x:v>
      </x:c>
      <x:c r="M33" s="53" t="str"/>
      <x:c r="N33" s="53" t="n">
        <x:v>1</x:v>
      </x:c>
      <x:c r="O33" s="54" t="b">
        <x:v>1</x:v>
      </x:c>
      <x:c r="P33" s="53" t="str">
        <x:v>REMEDIATION_MAPPING_HYPOTHESIS</x:v>
      </x:c>
      <x:c r="Q33" s="53" t="str">
        <x:v>Prefers durable obligation despite a changed immediate advantage.</x:v>
      </x:c>
      <x:c r="R33" s="53" t="str">
        <x:v>Deal-keeping can reflect reputation management or table norms rather than durable-obligation preference.</x:v>
      </x:c>
      <x:c r="S33" s="53" t="str">
        <x:v>ABZAN</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b1.hall.setup.v1.change</x:v>
      </x:c>
      <x:c r="G34" s="53" t="str">
        <x:v>Change plans for this game</x:v>
      </x:c>
      <x:c r="H34" s="53" t="str">
        <x:v>C14</x:v>
      </x:c>
      <x:c r="I34" s="53" t="str">
        <x:v>SIG_C14_BOARD_RESPONSIVE</x:v>
      </x:c>
      <x:c r="J34" s="53" t="str">
        <x:v>DG_C14</x:v>
      </x:c>
      <x:c r="K34" s="53" t="str">
        <x:v>BEHAVIORAL_OBSERVATION</x:v>
      </x:c>
      <x:c r="L34" s="53" t="str">
        <x:v>GLINT | TEMUR</x:v>
      </x:c>
      <x:c r="M34" s="53" t="str"/>
      <x:c r="N34" s="53" t="n">
        <x:v>0.5</x:v>
      </x:c>
      <x:c r="O34" s="54" t="b">
        <x:v>0</x:v>
      </x:c>
      <x:c r="P34" s="53" t="str">
        <x:v>REMEDIATION_MAPPING_HYPOTHESIS</x:v>
      </x:c>
      <x:c r="Q34" s="53" t="str">
        <x:v>Prefers board-responsive development over preserving a stalled long plan.</x:v>
      </x:c>
      <x:c r="R34" s="53" t="str">
        <x:v>A clearly lost setup can make changing plans tactically mandatory.</x:v>
      </x:c>
      <x:c r="S34" s="53" t="str">
        <x:v>ABZAN</x:v>
      </x:c>
      <x:c r="T34" s="53" t="str">
        <x:v>primary / clear_separation / b1.hall.interaction-window.v1</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ABZAN</x:v>
      </x:c>
      <x:c r="C38" s="53" t="str">
        <x:v>Abzan Houses</x:v>
      </x:c>
      <x:c r="D38" s="53" t="n">
        <x:v>0.8125</x:v>
      </x:c>
      <x:c r="E38" s="54" t="b">
        <x:v>1</x:v>
      </x:c>
      <x:c r="F38" s="53" t="str">
        <x:v>C03 | C13</x:v>
      </x:c>
    </x:row>
    <x:row r="39">
      <x:c r="A39" s="53" t="n">
        <x:v>2</x:v>
      </x:c>
      <x:c r="B39" s="53" t="str">
        <x:v>TEMUR</x:v>
      </x:c>
      <x:c r="C39" s="53" t="str">
        <x:v>Temur Frontier</x:v>
      </x:c>
      <x:c r="D39" s="53" t="n">
        <x:v>0.541667</x:v>
      </x:c>
      <x:c r="E39" s="54" t="b">
        <x:v>0</x:v>
      </x:c>
      <x:c r="F39" s="53" t="str">
        <x:v>C14</x:v>
      </x:c>
    </x:row>
    <x:row r="40">
      <x:c r="A40" s="53" t="n">
        <x:v>3</x:v>
      </x:c>
      <x:c r="B40" s="53" t="str">
        <x:v>W</x:v>
      </x:c>
      <x:c r="C40" s="53" t="str">
        <x:v>White</x:v>
      </x:c>
      <x:c r="D40" s="53" t="n">
        <x:v>0.541667</x:v>
      </x:c>
      <x:c r="E40" s="54" t="b">
        <x:v>0</x:v>
      </x:c>
      <x:c r="F40" s="53" t="str">
        <x:v>C03</x:v>
      </x:c>
    </x:row>
    <x:row r="41">
      <x:c r="A41" s="53" t="n">
        <x:v>4</x:v>
      </x:c>
      <x:c r="B41" s="53" t="str">
        <x:v>WG</x:v>
      </x:c>
      <x:c r="C41" s="53" t="str">
        <x:v>Selesnya Conclave</x:v>
      </x:c>
      <x:c r="D41" s="53" t="n">
        <x:v>0.541667</x:v>
      </x:c>
      <x:c r="E41" s="54" t="b">
        <x:v>0</x:v>
      </x:c>
      <x:c r="F41" s="53" t="str">
        <x:v>C03</x:v>
      </x:c>
    </x:row>
    <x:row r="42">
      <x:c r="A42" s="53" t="n">
        <x:v>5</x:v>
      </x:c>
      <x:c r="B42" s="53" t="str">
        <x:v>GLINT</x:v>
      </x:c>
      <x:c r="C42" s="53" t="str">
        <x:v>Glint / Chaos</x:v>
      </x:c>
      <x:c r="D42" s="53" t="n">
        <x:v>0.458333</x:v>
      </x:c>
      <x:c r="E42" s="54" t="b">
        <x:v>0</x:v>
      </x:c>
      <x:c r="F42" s="53" t="str">
        <x:v>C14</x:v>
      </x:c>
    </x:row>
    <x:row r="43">
      <x:c r="A43" s="53" t="n">
        <x:v>6</x:v>
      </x:c>
      <x:c r="B43" s="53" t="str">
        <x:v>JESKAI</x:v>
      </x:c>
      <x:c r="C43" s="53" t="str">
        <x:v>Jeskai Way</x:v>
      </x:c>
      <x:c r="D43" s="53" t="n">
        <x:v>0.4375</x:v>
      </x:c>
      <x:c r="E43" s="54" t="b">
        <x:v>0</x:v>
      </x:c>
      <x:c r="F43" s="53" t="str">
        <x:v>C01</x:v>
      </x:c>
    </x:row>
    <x:row r="44">
      <x:c r="A44" s="53" t="n">
        <x:v>7</x:v>
      </x:c>
      <x:c r="B44" s="53" t="str">
        <x:v>INK</x:v>
      </x:c>
      <x:c r="C44" s="53" t="str">
        <x:v>Ink / Altruism</x:v>
      </x:c>
      <x:c r="D44" s="53" t="n">
        <x:v>0.166667</x:v>
      </x:c>
      <x:c r="E44" s="54" t="b">
        <x:v>0</x:v>
      </x:c>
      <x:c r="F44" s="53" t="str"/>
    </x:row>
    <x:row r="45">
      <x:c r="A45" s="53" t="n">
        <x:v>8</x:v>
      </x:c>
      <x:c r="B45" s="53" t="str">
        <x:v>WR</x:v>
      </x:c>
      <x:c r="C45" s="53" t="str">
        <x:v>Boros Legion</x:v>
      </x:c>
      <x:c r="D45" s="53" t="n">
        <x:v>0.166667</x:v>
      </x:c>
      <x:c r="E45" s="54" t="b">
        <x:v>0</x:v>
      </x:c>
      <x:c r="F45" s="53" t="str"/>
    </x:row>
    <x:row r="46">
      <x:c r="A46" s="53" t="n">
        <x:v>9</x:v>
      </x:c>
      <x:c r="B46" s="53" t="str">
        <x:v>G</x:v>
      </x:c>
      <x:c r="C46" s="53" t="str">
        <x:v>Green</x:v>
      </x:c>
      <x:c r="D46" s="53" t="n">
        <x:v>0.166667</x:v>
      </x:c>
      <x:c r="E46" s="54" t="b">
        <x:v>0</x:v>
      </x:c>
      <x:c r="F46" s="53" t="str"/>
    </x:row>
    <x:row r="47">
      <x:c r="A47" s="53" t="n">
        <x:v>10</x:v>
      </x:c>
      <x:c r="B47" s="53" t="str">
        <x:v>MARDU</x:v>
      </x:c>
      <x:c r="C47" s="53" t="str">
        <x:v>Mardu Horde</x:v>
      </x:c>
      <x:c r="D47" s="53" t="n">
        <x:v>0.166667</x:v>
      </x:c>
      <x:c r="E47" s="54" t="b">
        <x:v>0</x:v>
      </x:c>
      <x:c r="F47" s="53" t="str"/>
    </x:row>
    <x:row r="48">
      <x:c r="A48" s="53" t="n">
        <x:v>11</x:v>
      </x:c>
      <x:c r="B48" s="53" t="str">
        <x:v>R</x:v>
      </x:c>
      <x:c r="C48" s="53" t="str">
        <x:v>Red</x:v>
      </x:c>
      <x:c r="D48" s="53" t="n">
        <x:v>0.166667</x:v>
      </x:c>
      <x:c r="E48" s="54" t="b">
        <x:v>0</x:v>
      </x:c>
      <x:c r="F48" s="53" t="str"/>
    </x:row>
    <x:row r="49">
      <x:c r="A49" s="53" t="n">
        <x:v>12</x:v>
      </x:c>
      <x:c r="B49" s="53" t="str">
        <x:v>UG</x:v>
      </x:c>
      <x:c r="C49" s="53" t="str">
        <x:v>Simic Combine</x:v>
      </x:c>
      <x:c r="D49" s="53" t="n">
        <x:v>0.166667</x:v>
      </x:c>
      <x:c r="E49" s="54" t="b">
        <x:v>0</x:v>
      </x:c>
      <x:c r="F49" s="53" t="str"/>
    </x:row>
    <x:row r="50">
      <x:c r="A50" s="53" t="n">
        <x:v>13</x:v>
      </x:c>
      <x:c r="B50" s="53" t="str">
        <x:v>GRIXIS</x:v>
      </x:c>
      <x:c r="C50" s="53" t="str">
        <x:v>Grixis</x:v>
      </x:c>
      <x:c r="D50" s="53" t="n">
        <x:v>0.125</x:v>
      </x:c>
      <x:c r="E50" s="54" t="b">
        <x:v>0</x:v>
      </x:c>
      <x:c r="F50" s="53" t="str"/>
    </x:row>
    <x:row r="51">
      <x:c r="A51" s="53" t="n">
        <x:v>14</x:v>
      </x:c>
      <x:c r="B51" s="53" t="str">
        <x:v>PRISMARI</x:v>
      </x:c>
      <x:c r="C51" s="53" t="str">
        <x:v>Prismari College</x:v>
      </x:c>
      <x:c r="D51" s="53" t="n">
        <x:v>0.083333</x:v>
      </x:c>
      <x:c r="E51" s="54" t="b">
        <x:v>0</x:v>
      </x:c>
      <x:c r="F51" s="53" t="str"/>
    </x:row>
    <x:row r="52">
      <x:c r="A52" s="53" t="n">
        <x:v>15</x:v>
      </x:c>
      <x:c r="B52" s="53" t="str">
        <x:v>WB</x:v>
      </x:c>
      <x:c r="C52" s="53" t="str">
        <x:v>Orzhov Syndicate</x:v>
      </x:c>
      <x:c r="D52" s="53" t="n">
        <x:v>0.083333</x:v>
      </x:c>
      <x:c r="E52" s="54" t="b">
        <x:v>0</x:v>
      </x:c>
      <x:c r="F52" s="53" t="str"/>
    </x:row>
    <x:row r="53">
      <x:c r="A53" s="53" t="n">
        <x:v>16</x:v>
      </x:c>
      <x:c r="B53" s="53" t="str">
        <x:v>BANT</x:v>
      </x:c>
      <x:c r="C53" s="53" t="str">
        <x:v>Bant</x:v>
      </x:c>
      <x:c r="D53" s="53" t="n">
        <x:v>0.083333</x:v>
      </x:c>
      <x:c r="E53" s="54" t="b">
        <x:v>0</x:v>
      </x:c>
      <x:c r="F53" s="53" t="str"/>
    </x:row>
    <x:row r="54">
      <x:c r="A54" s="53" t="n">
        <x:v>17</x:v>
      </x:c>
      <x:c r="B54" s="53" t="str">
        <x:v>BG</x:v>
      </x:c>
      <x:c r="C54" s="53" t="str">
        <x:v>Golgari Swarm</x:v>
      </x:c>
      <x:c r="D54" s="53" t="n">
        <x:v>0.083333</x:v>
      </x:c>
      <x:c r="E54" s="54" t="b">
        <x:v>0</x:v>
      </x:c>
      <x:c r="F54" s="53" t="str"/>
    </x:row>
    <x:row r="55">
      <x:c r="A55" s="53" t="n">
        <x:v>18</x:v>
      </x:c>
      <x:c r="B55" s="53" t="str">
        <x:v>BR</x:v>
      </x:c>
      <x:c r="C55" s="53" t="str">
        <x:v>Cult of Rakdos</x:v>
      </x:c>
      <x:c r="D55" s="53" t="n">
        <x:v>0.083333</x:v>
      </x:c>
      <x:c r="E55" s="54" t="b">
        <x:v>0</x:v>
      </x:c>
      <x:c r="F55" s="53" t="str"/>
    </x:row>
    <x:row r="56">
      <x:c r="A56" s="53" t="n">
        <x:v>19</x:v>
      </x:c>
      <x:c r="B56" s="53" t="str">
        <x:v>DUNE</x:v>
      </x:c>
      <x:c r="C56" s="53" t="str">
        <x:v>Dune / Aggression</x:v>
      </x:c>
      <x:c r="D56" s="53" t="n">
        <x:v>0.083333</x:v>
      </x:c>
      <x:c r="E56" s="54" t="b">
        <x:v>0</x:v>
      </x:c>
      <x:c r="F56" s="53" t="str"/>
    </x:row>
    <x:row r="57">
      <x:c r="A57" s="53" t="n">
        <x:v>20</x:v>
      </x:c>
      <x:c r="B57" s="53" t="str">
        <x:v>JUND</x:v>
      </x:c>
      <x:c r="C57" s="53" t="str">
        <x:v>Jund</x:v>
      </x:c>
      <x:c r="D57" s="53" t="n">
        <x:v>0.083333</x:v>
      </x:c>
      <x:c r="E57" s="54" t="b">
        <x:v>0</x:v>
      </x:c>
      <x:c r="F57" s="53" t="str"/>
    </x:row>
    <x:row r="58">
      <x:c r="A58" s="53" t="n">
        <x:v>21</x:v>
      </x:c>
      <x:c r="B58" s="53" t="str">
        <x:v>LOREHOLD</x:v>
      </x:c>
      <x:c r="C58" s="53" t="str">
        <x:v>Lorehold College</x:v>
      </x:c>
      <x:c r="D58" s="53" t="n">
        <x:v>0.083333</x:v>
      </x:c>
      <x:c r="E58" s="54" t="b">
        <x:v>0</x:v>
      </x:c>
      <x:c r="F58" s="53" t="str"/>
    </x:row>
    <x:row r="59">
      <x:c r="A59" s="53" t="n">
        <x:v>22</x:v>
      </x:c>
      <x:c r="B59" s="53" t="str">
        <x:v>QUANDRIX</x:v>
      </x:c>
      <x:c r="C59" s="53" t="str">
        <x:v>Quandrix College</x:v>
      </x:c>
      <x:c r="D59" s="53" t="n">
        <x:v>0.083333</x:v>
      </x:c>
      <x:c r="E59" s="54" t="b">
        <x:v>0</x:v>
      </x:c>
      <x:c r="F59" s="53" t="str"/>
    </x:row>
    <x:row r="60">
      <x:c r="A60" s="53" t="n">
        <x:v>23</x:v>
      </x:c>
      <x:c r="B60" s="53" t="str">
        <x:v>RG</x:v>
      </x:c>
      <x:c r="C60" s="53" t="str">
        <x:v>Gruul Clans</x:v>
      </x:c>
      <x:c r="D60" s="53" t="n">
        <x:v>0.083333</x:v>
      </x:c>
      <x:c r="E60" s="54" t="b">
        <x:v>0</x:v>
      </x:c>
      <x:c r="F60" s="53" t="str"/>
    </x:row>
    <x:row r="61">
      <x:c r="A61" s="53" t="n">
        <x:v>24</x:v>
      </x:c>
      <x:c r="B61" s="53" t="str">
        <x:v>SILVERQUILL</x:v>
      </x:c>
      <x:c r="C61" s="53" t="str">
        <x:v>Silverquill College</x:v>
      </x:c>
      <x:c r="D61" s="53" t="n">
        <x:v>0.083333</x:v>
      </x:c>
      <x:c r="E61" s="54" t="b">
        <x:v>0</x:v>
      </x:c>
      <x:c r="F61" s="53" t="str"/>
    </x:row>
    <x:row r="62">
      <x:c r="A62" s="53" t="n">
        <x:v>25</x:v>
      </x:c>
      <x:c r="B62" s="53" t="str">
        <x:v>SULTAI</x:v>
      </x:c>
      <x:c r="C62" s="53" t="str">
        <x:v>Sultai Brood</x:v>
      </x:c>
      <x:c r="D62" s="53" t="n">
        <x:v>0.083333</x:v>
      </x:c>
      <x:c r="E62" s="54" t="b">
        <x:v>0</x:v>
      </x:c>
      <x:c r="F62" s="53" t="str"/>
    </x:row>
    <x:row r="63">
      <x:c r="A63" s="53" t="n">
        <x:v>26</x:v>
      </x:c>
      <x:c r="B63" s="53" t="str">
        <x:v>UR</x:v>
      </x:c>
      <x:c r="C63" s="53" t="str">
        <x:v>Izzet League</x:v>
      </x:c>
      <x:c r="D63" s="53" t="n">
        <x:v>0.083333</x:v>
      </x:c>
      <x:c r="E63" s="54" t="b">
        <x:v>0</x:v>
      </x:c>
      <x:c r="F63" s="53" t="str"/>
    </x:row>
    <x:row r="64">
      <x:c r="A64" s="53" t="n">
        <x:v>27</x:v>
      </x:c>
      <x:c r="B64" s="53" t="str">
        <x:v>WITCH</x:v>
      </x:c>
      <x:c r="C64" s="53" t="str">
        <x:v>Witch / Growth</x:v>
      </x:c>
      <x:c r="D64" s="53" t="n">
        <x:v>0.083333</x:v>
      </x:c>
      <x:c r="E64" s="54" t="b">
        <x:v>0</x:v>
      </x:c>
      <x:c r="F64" s="53" t="str"/>
    </x:row>
    <x:row r="65">
      <x:c r="A65" s="53" t="n">
        <x:v>28</x:v>
      </x:c>
      <x:c r="B65" s="53" t="str">
        <x:v>WITHERBLOOM</x:v>
      </x:c>
      <x:c r="C65" s="53" t="str">
        <x:v>Witherbloom College</x:v>
      </x:c>
      <x:c r="D65" s="53" t="n">
        <x:v>0.083333</x:v>
      </x:c>
      <x:c r="E65" s="54" t="b">
        <x:v>0</x:v>
      </x:c>
      <x:c r="F65" s="53" t="str"/>
    </x:row>
    <x:row r="66">
      <x:c r="A66" s="53" t="n">
        <x:v>29</x:v>
      </x:c>
      <x:c r="B66" s="53" t="str">
        <x:v>U</x:v>
      </x:c>
      <x:c r="C66" s="53" t="str">
        <x:v>Blue</x:v>
      </x:c>
      <x:c r="D66" s="53" t="n">
        <x:v>0.0625</x:v>
      </x:c>
      <x:c r="E66" s="54" t="b">
        <x:v>0</x:v>
      </x:c>
      <x:c r="F66" s="53" t="str"/>
    </x:row>
    <x:row r="67">
      <x:c r="A67" s="53" t="n">
        <x:v>30</x:v>
      </x:c>
      <x:c r="B67" s="53" t="str">
        <x:v>UB</x:v>
      </x:c>
      <x:c r="C67" s="53" t="str">
        <x:v>House Dimir</x:v>
      </x:c>
      <x:c r="D67" s="53" t="n">
        <x:v>0.0625</x:v>
      </x:c>
      <x:c r="E67" s="54" t="b">
        <x:v>0</x:v>
      </x:c>
      <x:c r="F67" s="53" t="str"/>
    </x:row>
    <x:row r="68">
      <x:c r="A68" s="53" t="n">
        <x:v>31</x:v>
      </x:c>
      <x:c r="B68" s="53" t="str">
        <x:v>WU</x:v>
      </x:c>
      <x:c r="C68" s="53" t="str">
        <x:v>Azorius Senate</x:v>
      </x:c>
      <x:c r="D68" s="53" t="n">
        <x:v>0.0625</x:v>
      </x:c>
      <x:c r="E68" s="54" t="b">
        <x:v>0</x:v>
      </x:c>
      <x:c r="F68" s="53" t="str"/>
    </x:row>
    <x:row r="69">
      <x:c r="A69" s="53" t="n">
        <x:v>32</x:v>
      </x:c>
      <x:c r="B69" s="53" t="str">
        <x:v>B</x:v>
      </x:c>
      <x:c r="C69" s="53" t="str">
        <x:v>Black</x:v>
      </x:c>
      <x:c r="D69" s="53" t="n">
        <x:v>0</x:v>
      </x:c>
      <x:c r="E69" s="54" t="b">
        <x:v>0</x:v>
      </x:c>
      <x:c r="F69" s="53" t="str"/>
    </x:row>
    <x:row r="70">
      <x:c r="A70" s="53" t="n">
        <x:v>33</x:v>
      </x:c>
      <x:c r="B70" s="53" t="str">
        <x:v>COLORLESS</x:v>
      </x:c>
      <x:c r="C70" s="53" t="str">
        <x:v>Colorless</x:v>
      </x:c>
      <x:c r="D70" s="53" t="n">
        <x:v>0</x:v>
      </x:c>
      <x:c r="E70" s="54" t="b">
        <x:v>0</x:v>
      </x:c>
      <x:c r="F70" s="53" t="str"/>
    </x:row>
    <x:row r="71">
      <x:c r="A71" s="53" t="n">
        <x:v>34</x:v>
      </x:c>
      <x:c r="B71" s="53" t="str">
        <x:v>ESPER</x:v>
      </x:c>
      <x:c r="C71" s="53" t="str">
        <x:v>Esper</x:v>
      </x:c>
      <x:c r="D71" s="53" t="n">
        <x:v>0</x:v>
      </x:c>
      <x:c r="E71" s="54" t="b">
        <x:v>0</x:v>
      </x:c>
      <x:c r="F71" s="53" t="str"/>
    </x:row>
    <x:row r="72">
      <x:c r="A72" s="53" t="n">
        <x:v>35</x:v>
      </x:c>
      <x:c r="B72" s="53" t="str">
        <x:v>NAYA</x:v>
      </x:c>
      <x:c r="C72" s="53" t="str">
        <x:v>Naya</x:v>
      </x:c>
      <x:c r="D72" s="53" t="n">
        <x:v>0</x:v>
      </x:c>
      <x:c r="E72" s="54" t="b">
        <x:v>0</x:v>
      </x:c>
      <x:c r="F72" s="53" t="str"/>
    </x:row>
    <x:row r="73">
      <x:c r="A73" s="53" t="n">
        <x:v>36</x:v>
      </x:c>
      <x:c r="B73" s="53" t="str">
        <x:v>WUBRG</x:v>
      </x:c>
      <x:c r="C73" s="53" t="str">
        <x:v>Five-Color / WUBRG</x:v>
      </x:c>
      <x:c r="D73" s="53" t="n">
        <x:v>0</x:v>
      </x:c>
      <x:c r="E73" s="54" t="b">
        <x:v>0</x:v>
      </x:c>
      <x:c r="F73" s="53" t="str"/>
    </x:row>
    <x:row r="74">
      <x:c r="A74" s="53" t="n">
        <x:v>37</x:v>
      </x:c>
      <x:c r="B74" s="53" t="str">
        <x:v>YORE</x:v>
      </x:c>
      <x:c r="C74" s="53" t="str">
        <x:v>Yore / Artifice</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"ABZAN",
  "faction_name": "Abzan Houses",
  "institution_type": "wedge",
  "world": "Tarkir",
  "identity": {
    "core_color": "W",
    "secondary_colors": [
      "B",
      "G"
    ],
    "secondary_color": "B",
    "expression_key": "ABZAN",
    "expression_name": "Abzan Houses",
    "expression_kind": "wedge",
    "purity": null,
    "routing": {
      "color_identity": "WBG",
      "label": "Abzan"
    }
  },
  "decree": "Abzan Houses is the clearest current fit from the approved observations.",
  "confidence": 0.046,
  "confidence_gap": 1,
  "mana_scores": {
    "W": 10,
    "U": 9,
    "B": 9,
    "R": 10,
    "G": 10
  },
  "top_matches": [
    {
      "rank": 1,
      "faction": "ABZAN",
      "faction_name": "Abzan Houses",
      "institution_type": "wedge",
      "world": "Tarkir",
      "identity": {
        "core_color": "W",
        "secondary_colors": [
          "B",
          "G"
        ],
        "secondary_color": "B",
        "expression_key": "ABZAN",
        "expression_name": "Abzan Houses",
        "expression_kind": "wedge",
        "purity": null,
        "routing": {
          "color_identity": "WBG",
          "label": "Abzan"
        }
      },
      "score": 0.8125,
      "confidence": 0.046,
      "reason": "Abzan Houses remained plausible through C03, C13, C14; identity mapping remains a hypothesis."
    }
  ],
  "adjacent_matches": [],
  "internal_candidate_order": [
    {
      "identity": "ABZAN",
      "score": 0.8125,
      "positive_dependencies": 2,
      "qualification_dependencies": 2,
      "naming_dependencies": 1,
      "positive_constructs": [
        "C03",
        "C13"
      ],
      "satisfied_naming_rule_ids": [
        "instrument_completion_overlay:b1.hall.commitment.v1.terms:ABZAN"
      ],
      "naming_qualification": {
        "identity": "ABZAN",
        "qualified": true,
        "satisfied_naming_rule_ids": [
          "instrument_completion_overlay:b1.hall.commitment.v1.terms:ABZAN"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"TEMUR",
      "score": 0.541667,
      "positive_dependencies": 1,
      "qualification_dependencies": 1,
      "naming_dependencies": 0,
      "positive_constructs": [
        "C14"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"W",
      "score": 0.541667,
      "positive_dependencies": 1,
      "qualification_dependencies": 1,
      "naming_dependencies": 0,
      "positive_constructs": [
        "C03"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"WG",
      "score": 0.541667,
      "positive_dependencies": 1,
      "qualification_dependencies": 1,
      "naming_dependencies": 0,
      "positive_constructs": [
        "C03"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"GLINT",
      "score": 0.458333,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0.166667,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"R",
      "score": 0.166667,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x:v>
      </x:c>
    </x:row>
    <x:row r="78">
      <x:c r="A78" s="53" t="str">
        <x:v>Part 2/3</x:v>
      </x:c>
      <x:c r="B78" s="53" t="str">
        <x: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"ABZAN",
    "TEMUR",
    "W",
    "WG"
  ],
  "alternatives": [],
  "refinement": {
    "kind": "no_approved_discriminator",
    "can_reduce_ambiguity": false,
    "remaining_candidates": [
      "ABZAN",
      "TEMUR",
      "W",
      "WG",
      "GLINT",
      "JESKAI"
    ],
    "unresolved_boundaries": [
      {
        "pair_id": "GLINT__TEMUR",
        "identities": [
          "GLINT",
          "TEMUR"
        ],
        "distinction": "Direct scenario tests one bounded Commander behavior.",
        "question_ids": [
          "b1.crucible.temur.v1",
          "b1.crucible.yore-glint.v1",
          "b1.crucible.glint-dune.v1",
          "b1.hall.interaction-window.v1"
        ],
        "coverage_status": "DIRECT-OR-STRUCTURAL-MAPPING-HYPOTHESIS; bounded player validation required"
      },
      {
        "pair_id": "JESKAI__TEMUR",
        "identities": [
          "JESKAI",
          "TEMUR"
        ],
        "distinction": "JESKAI uses Mana commitment and interaction window evidence; TEMUR uses Pressure channel evidence. No direct pair claim is made.",
        "question_ids": [
          "b1.hall.interaction-window.v1",
          "b1.hall.pressure.v1",
          "b1.crucible.mono-multi.v1",
          "b1.hall.information-to-plan.v1",
          "b1.crucible.temur.v1",
          "b1.crucible.jeskai.v1",
          "b1.hall.setup.v1",
          "b1.gate.initiative.v1"
        ],
        "coverage_status": "DIRECT-OR-STRUCTURAL-MAPPING-HYPOTHESIS; bounded player validation required"
      },
      {
        "pair_id": "JESKAI__W",
        "identities": [
          "JESKAI",
          "W"
        ],
        "distinction": "JESKAI uses Mana commitment and interaction window evidence; W uses Disruption response evidence. No direct pair claim is made.",
        "question_ids": [
          "b1.hall.interaction-window.v1",
          "b1.gate.disruption.v1",
          "b1.crucible.mono-multi.v1",
          "b1.hall.information-to-plan.v1",
          "b1.crucible.jeskai.v1",
          "b1.hall.commitment.v1",
          "b1.gate.initiative.v1"
        ],
        "coverage_status": "DIRECT-OR-STRUCTURAL-MAPPING-HYPOTHESIS; bounded player validation required"
      }
    ],
    "missing_constructs": [
      "C07",
      "C08",
      "C09"
    ],
    "question_id": null,
    "purpose": "none_for_clean_primary",
    "target_identities": [
      "ABZAN",
      "TEMUR",
      "W"
    ],
    "target_pair_ids": [
      "GLINT__TEMUR",
      "JESKAI__TEMUR",
      "JESKAI__W"
    ],
    "distinction": "",
    "revisit": null,
    "limitation": "The named reading is complete; optional questioning is not used merely to add another explanation card."
  },
  "stopping": {
    "stop": true,
    "state": "primary",
    "reason": "clear_separation",
    "can_improve": true,
    "next_question_id": "b1.hall.interaction-window.v1"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keep the board",
      "prompt": "A board wipe—an effect that removes many cards and tokens from the battlefield—is likely next turn. What would you rather have prepared?",
      "observation": "Prefers protection before broad disruption.",
      "deltas": [
        {
          "faction": "ABZAN",
          "delta": 0.5
        },
        {
          "faction": "W",
          "delta": 0.5
        },
        {
          "faction": "WG",
          "delta": 0.5
        }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"b1.hall.commitment.v1",
      "answer_id": "b1.hall.commitment.v1.terms",
      "stage": "hall",
      "construct": "C13",
      "bounded_observation": "Prefers durable obligation despite a changed immediate advantage.",
      "signal": "SIG_C13_DURABLE",
      "dependency_group": "DG_C13",
      "evidence_class": "BEHAVIORAL_OBSERVATION",
      "affected_identities": [
        "ABZAN"
      ],
      "positive_support": [
        "ABZAN"
      ],
      "contradiction": [],
      "neutral": false,
      "mapping_strength": 1,
      "naming_evidence": true,
      "qualification_eligible": true,
      "qualification_support": [
        "ABZAN"
      ],
      "naming_support": [
        "ABZAN"
      ],
      "naming_rule_ids_by_identity": {
        "ABZAN": [
          "instrument_completion_overlay:b1.hall.commitment.v1.terms:ABZAN"
        ]
      },
      "mapping_role": "completion_boundary_direction",
      "mapping_status": "REMEDIATION_MAPPING_HYPOTHESIS",
      "mapping_provenance": "docs/plans/vm551-gate-b1-instrument-completion/instrument-change-adjudication.tsv#b1.hall.commitment.v1.terms;docs/audits/vm555-b1-identity-evidence-gap-bridge/identity-evidence-gap-matrix.tsv",
      "evidence_provenance": "E-VM555;E-CERTIFIED;E-CECOS;E-PLAYER-LANGUAGE",
      "limitation": "Deal-keeping can reflect reputation management or table norms rather than durable-obligation preference.",
      "behavioral_vs_lens": "behavioral",
      "answer_title": "Keep the promise",
      "prompt": "The table agrees to stop a repeatable threat. Before your next turn, the board changes and that threat is weaker but still present. What should the agreement require now?",
      "observation": "Prefers durable obligation despite a changed immediate advantage.",
      "deltas": [
        {
          "faction": "ABZAN",
          "delta": 1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"b1.hall.c</x:v>
      </x:c>
    </x:row>
    <x:row r="79">
      <x:c r="A79" s="53" t="str">
        <x:v>Part 3/3</x:v>
      </x:c>
      <x:c r="B79" s="53" t="str">
        <x:v>ommitment.v1",
      "answer_id": "b1.hall.commitment.v1.terms",
      "stage": "hall",
      "construct": "C13",
      "bounded_observation": "Prefers durable obligation despite a changed immediate advantage.",
      "signal": "SIG_C13_DURABLE",
      "dependency_group": "DG_C13",
      "evidence_class": "BEHAVIORAL_OBSERVATION",
      "affected_identities": [
        "ABZAN"
      ],
      "positive_support": [
        "ABZAN"
      ],
      "contradiction": [],
      "neutral": false,
      "mapping_strength": 1,
      "naming_evidence": true,
      "qualification_eligible": true,
      "qualification_support": [
        "ABZAN"
      ],
      "naming_support": [
        "ABZAN"
      ],
      "naming_rule_ids_by_identity": {
        "ABZAN": [
          "instrument_completion_overlay:b1.hall.commitment.v1.terms:ABZAN"
        ]
      },
      "mapping_role": "completion_boundary_direction",
      "mapping_status": "REMEDIATION_MAPPING_HYPOTHESIS",
      "mapping_provenance": "docs/plans/vm551-gate-b1-instrument-completion/instrument-change-adjudication.tsv#b1.hall.commitment.v1.terms;docs/audits/vm555-b1-identity-evidence-gap-bridge/identity-evidence-gap-matrix.tsv",
      "evidence_provenance": "E-VM555;E-CERTIFIED;E-CECOS;E-PLAYER-LANGUAGE",
      "limitation": "Deal-keeping can reflect reputation management or table norms rather than durable-obligation preference.",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"b1.gate.disruption.v1.protect",
      "stage": "gate",
      "evidence_class": "BEHAVIORAL_OBSERVATION"
    },
    {
      "question_id": "b1.gate.tempo.v1",
      "answer_id": "b1.gate.tempo.v1.burst",
      "stage": "gate",
      "evidence_class": "BEHAVIORAL_OBSERVATION"
    },
    {
      "question_id": "b1.hall.commitment.v1",
      "answer_id": "b1.hall.commitment.v1.terms",
      "stage": "hall",
      "evidence_class": "BEHAVIORAL_OBSERVATION"
    },
    {
      "question_id": "b1.hall.setup.v1",
      "answer_id": "b1.hall.setup.v1.change",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6:T36"/>
    <x:mergeCell ref="A76:T76"/>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Jeskai Way — Engine Trace</x:v>
      </x:c>
      <x:c r="B1" s="3"/>
      <x:c r="C1" s="3"/>
      <x:c r="D1" s="3"/>
      <x:c r="E1" s="3"/>
      <x:c r="F1" s="3"/>
      <x:c r="G1" s="3"/>
      <x:c r="H1" s="3"/>
      <x:c r="I1" s="3"/>
      <x:c r="J1" s="3"/>
      <x:c r="K1" s="3"/>
      <x:c r="L1" s="3"/>
      <x:c r="M1" s="3"/>
      <x:c r="N1" s="3"/>
      <x:c r="O1" s="3"/>
      <x:c r="P1" s="3"/>
      <x:c r="Q1" s="3"/>
      <x:c r="R1" s="3"/>
      <x:c r="S1" s="3"/>
      <x:c r="T1" s="3"/>
    </x:row>
    <x:row r="2" ht="30" customHeight="1">
      <x:c r="A2" s="7" t="str">
        <x:v>ENGINE-JESKAI • PASS_MATCH • primary • trace e2de686d7135eb8ef410c62ddee2c71b1fb50c9efd5285cd4091d4a42e8f0653</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JESKAI</x:v>
      </x:c>
    </x:row>
    <x:row r="6">
      <x:c r="A6" s="53" t="str">
        <x:v>Expected public contract</x:v>
      </x:c>
      <x:c r="B6" s="53" t="str">
        <x:v>NAMED_DOSSIER</x:v>
      </x:c>
    </x:row>
    <x:row r="7">
      <x:c r="A7" s="53" t="str">
        <x:v>Witness status</x:v>
      </x:c>
      <x:c r="B7" s="53" t="str">
        <x:v>CURRENT_COMPATIBLE</x:v>
      </x:c>
    </x:row>
    <x:row r="8">
      <x:c r="A8" s="53" t="str">
        <x:v>Actual result</x:v>
      </x:c>
      <x:c r="B8" s="53" t="str">
        <x:v>JESKAI</x:v>
      </x:c>
    </x:row>
    <x:row r="9">
      <x:c r="A9" s="53" t="str">
        <x:v>Directional result</x:v>
      </x:c>
      <x:c r="B9" s="53" t="str">
        <x:v>JESKAI</x:v>
      </x:c>
    </x:row>
    <x:row r="10">
      <x:c r="A10" s="53" t="str">
        <x:v>Public state</x:v>
      </x:c>
      <x:c r="B10" s="53" t="str">
        <x:v>current-best-fit</x:v>
      </x:c>
    </x:row>
    <x:row r="11">
      <x:c r="A11" s="53" t="str">
        <x:v>Raw numeric leader</x:v>
      </x:c>
      <x:c r="B11" s="53" t="str">
        <x:v>JESKAI</x:v>
      </x:c>
    </x:row>
    <x:row r="12">
      <x:c r="A12" s="53" t="str">
        <x:v>Raw score</x:v>
      </x:c>
      <x:c r="B12" s="53" t="n">
        <x:v>0.75</x:v>
      </x:c>
    </x:row>
    <x:row r="13">
      <x:c r="A13" s="53" t="str">
        <x:v>Raw leader qualified</x:v>
      </x:c>
      <x:c r="B13" s="54" t="b">
        <x:v>1</x:v>
      </x:c>
    </x:row>
    <x:row r="14">
      <x:c r="A14" s="53" t="str">
        <x:v>Selected qualified</x:v>
      </x:c>
      <x:c r="B14" s="54" t="b">
        <x:v>1</x:v>
      </x:c>
    </x:row>
    <x:row r="15">
      <x:c r="A15" s="53" t="str">
        <x:v>Frontier</x:v>
      </x:c>
      <x:c r="B15" s="53" t="str">
        <x:v>JESKAI</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outputs/01a02cd6-bce7-7832-9558-3075c52f146a/archscry-current-state-2026-08-22/evidence/engine/traces/jeskai.json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b1.hall.interaction-window.v1.split</x:v>
      </x:c>
      <x:c r="G33" s="53" t="str">
        <x:v>Advance with one answer ready</x:v>
      </x:c>
      <x:c r="H33" s="53" t="str">
        <x:v>C08</x:v>
      </x:c>
      <x:c r="I33" s="53" t="str">
        <x:v>SIG_C08_SPLIT</x:v>
      </x:c>
      <x:c r="J33" s="53" t="str">
        <x:v>DG_C08</x:v>
      </x:c>
      <x:c r="K33" s="53" t="str">
        <x:v>BEHAVIORAL_OBSERVATION</x:v>
      </x:c>
      <x:c r="L33" s="53" t="str">
        <x:v>JESKAI | UR</x:v>
      </x:c>
      <x:c r="M33" s="53" t="str"/>
      <x:c r="N33" s="53" t="n">
        <x:v>0.5</x:v>
      </x:c>
      <x:c r="O33" s="54" t="b">
        <x:v>0</x:v>
      </x:c>
      <x:c r="P33" s="53" t="str">
        <x:v>REMEDIATION_MAPPING_HYPOTHESIS</x:v>
      </x:c>
      <x:c r="Q33" s="53" t="str">
        <x:v>Prefers split commitment between development and one bounded response.</x:v>
      </x:c>
      <x:c r="R33" s="53" t="str">
        <x:v>Efficient curves can produce this line without a stable interaction preference.</x:v>
      </x:c>
      <x:c r="S33" s="53" t="str">
        <x:v>JESKAI</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b1.hall.engine-shape.v1.central</x:v>
      </x:c>
      <x:c r="G34" s="53" t="str">
        <x:v>Rebuild the center</x:v>
      </x:c>
      <x:c r="H34" s="53" t="str">
        <x:v>C06</x:v>
      </x:c>
      <x:c r="I34" s="53" t="str">
        <x:v>SIG_C06_CENTRAL</x:v>
      </x:c>
      <x:c r="J34" s="53" t="str">
        <x:v>DG_C06</x:v>
      </x:c>
      <x:c r="K34" s="53" t="str">
        <x:v>BEHAVIORAL_OBSERVATION</x:v>
      </x:c>
      <x:c r="L34" s="53" t="str">
        <x:v>ESPER | QUANDRIX | U</x:v>
      </x:c>
      <x:c r="M34" s="53" t="str"/>
      <x:c r="N34" s="53" t="n">
        <x:v>0.5</x:v>
      </x:c>
      <x:c r="O34" s="54" t="b">
        <x:v>0</x:v>
      </x:c>
      <x:c r="P34" s="53" t="str">
        <x:v>REMEDIATION_MAPPING_HYPOTHESIS</x:v>
      </x:c>
      <x:c r="Q34" s="53" t="str">
        <x:v>Accepts one designed central dependency after revision.</x:v>
      </x:c>
      <x:c r="R34" s="53" t="str">
        <x:v>Some decks have a central engine because of card availability or commander design.</x:v>
      </x:c>
      <x:c r="S34" s="53" t="str">
        <x:v>U</x:v>
      </x:c>
      <x:c r="T34" s="53" t="str">
        <x:v>incomplete / useful_evidence_remains / b1.hall.information-to-plan.v1</x:v>
      </x:c>
    </x:row>
    <x:row r="35">
      <x:c r="A35" s="53" t="n">
        <x:v>7</x:v>
      </x:c>
      <x:c r="B35" s="53" t="str">
        <x:v>main</x:v>
      </x:c>
      <x:c r="C35" s="53" t="str">
        <x:v>hall</x:v>
      </x:c>
      <x:c r="D35" s="53" t="str">
        <x:v>b1.hall.information-to-plan.v1</x:v>
      </x:c>
      <x:c r="E35" s="53" t="str">
        <x:v>A dangerous opposing play has been stopped, and you now have enough cards to choose among several workable plans. What do you most want to do next?</x:v>
      </x:c>
      <x:c r="F35" s="53" t="str">
        <x:v>b1.hall.information-to-plan.v1.open</x:v>
      </x:c>
      <x:c r="G35" s="53" t="str">
        <x:v>Keep several routes open</x:v>
      </x:c>
      <x:c r="H35" s="53" t="str">
        <x:v>C16</x:v>
      </x:c>
      <x:c r="I35" s="53" t="str">
        <x:v>SIG_C16_OPTIONALITY</x:v>
      </x:c>
      <x:c r="J35" s="53" t="str">
        <x:v>DG_C16</x:v>
      </x:c>
      <x:c r="K35" s="53" t="str">
        <x:v>BEHAVIORAL_OBSERVATION</x:v>
      </x:c>
      <x:c r="L35" s="53" t="str">
        <x:v>U | UB | WU</x:v>
      </x:c>
      <x:c r="M35" s="53" t="str"/>
      <x:c r="N35" s="53" t="n">
        <x:v>0.5</x:v>
      </x:c>
      <x:c r="O35" s="54" t="b">
        <x:v>0</x:v>
      </x:c>
      <x:c r="P35" s="53" t="str">
        <x:v>MAPPING_HYPOTHESIS</x:v>
      </x:c>
      <x:c r="Q35" s="53" t="str">
        <x:v>Prefers to retain broad optionality after gaining information.</x:v>
      </x:c>
      <x:c r="R35" s="53" t="str">
        <x:v>Observation wording and identity association require player validation; no weight is authorized.</x:v>
      </x:c>
      <x:c r="S35" s="53" t="str">
        <x:v>U</x:v>
      </x:c>
      <x:c r="T35" s="53" t="str">
        <x:v>incomplete / useful_evidence_remains / b1.crucible.jeskai.v1</x:v>
      </x:c>
    </x:row>
    <x:row r="36">
      <x:c r="A36" s="53" t="n">
        <x:v>8</x:v>
      </x:c>
      <x:c r="B36" s="53" t="str">
        <x:v>main</x:v>
      </x:c>
      <x:c r="C36" s="53" t="str">
        <x:v>crucible</x:v>
      </x:c>
      <x:c r="D36" s="53" t="str">
        <x:v>b1.crucible.jeskai.v1</x:v>
      </x:c>
      <x:c r="E36" s="53" t="str">
        <x:v>You can attack this turn, but an opponent may make a decisive play before your next turn. What timing fits?</x:v>
      </x:c>
      <x:c r="F36" s="53" t="str">
        <x:v>b1.crucible.jeskai.v1.sequence</x:v>
      </x:c>
      <x:c r="G36" s="53" t="str">
        <x:v>Attack and keep one precise answer</x:v>
      </x:c>
      <x:c r="H36" s="53" t="str">
        <x:v>C08</x:v>
      </x:c>
      <x:c r="I36" s="53" t="str">
        <x:v>SIG_C08_SPLIT</x:v>
      </x:c>
      <x:c r="J36" s="53" t="str">
        <x:v>DG_C08</x:v>
      </x:c>
      <x:c r="K36" s="53" t="str">
        <x:v>BEHAVIORAL_OBSERVATION</x:v>
      </x:c>
      <x:c r="L36" s="53" t="str">
        <x:v>JESKAI</x:v>
      </x:c>
      <x:c r="M36" s="53" t="str"/>
      <x:c r="N36" s="53" t="n">
        <x:v>1</x:v>
      </x:c>
      <x:c r="O36" s="54" t="b">
        <x:v>1</x:v>
      </x:c>
      <x:c r="P36" s="53" t="str">
        <x:v>MAPPING_HYPOTHESIS</x:v>
      </x:c>
      <x:c r="Q36" s="53" t="str">
        <x:v>Prefers sequenced pressure with bounded interaction.</x:v>
      </x:c>
      <x:c r="R36" s="53" t="str">
        <x:v>Use only after prior independent observations leave the stated competitor boundary plausible; the identity association requires player validation.</x:v>
      </x:c>
      <x:c r="S36" s="53" t="str">
        <x:v>JESKAI</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JESKAI</x:v>
      </x:c>
      <x:c r="C40" s="53" t="str">
        <x:v>Jeskai Way</x:v>
      </x:c>
      <x:c r="D40" s="53" t="n">
        <x:v>0.75</x:v>
      </x:c>
      <x:c r="E40" s="54" t="b">
        <x:v>1</x:v>
      </x:c>
      <x:c r="F40" s="53" t="str">
        <x:v>C01 | C08</x:v>
      </x:c>
    </x:row>
    <x:row r="41">
      <x:c r="A41" s="53" t="n">
        <x:v>2</x:v>
      </x:c>
      <x:c r="B41" s="53" t="str">
        <x:v>U</x:v>
      </x:c>
      <x:c r="C41" s="53" t="str">
        <x:v>Blue</x:v>
      </x:c>
      <x:c r="D41" s="53" t="n">
        <x:v>0.625</x:v>
      </x:c>
      <x:c r="E41" s="54" t="b">
        <x:v>0</x:v>
      </x:c>
      <x:c r="F41" s="53" t="str">
        <x:v>C06 | C16</x:v>
      </x:c>
    </x:row>
    <x:row r="42">
      <x:c r="A42" s="53" t="n">
        <x:v>3</x:v>
      </x:c>
      <x:c r="B42" s="53" t="str">
        <x:v>ESPER</x:v>
      </x:c>
      <x:c r="C42" s="53" t="str">
        <x:v>Esper</x:v>
      </x:c>
      <x:c r="D42" s="53" t="n">
        <x:v>0.5625</x:v>
      </x:c>
      <x:c r="E42" s="54" t="b">
        <x:v>0</x:v>
      </x:c>
      <x:c r="F42" s="53" t="str">
        <x:v>C06</x:v>
      </x:c>
    </x:row>
    <x:row r="43">
      <x:c r="A43" s="53" t="n">
        <x:v>4</x:v>
      </x:c>
      <x:c r="B43" s="53" t="str">
        <x:v>UB</x:v>
      </x:c>
      <x:c r="C43" s="53" t="str">
        <x:v>House Dimir</x:v>
      </x:c>
      <x:c r="D43" s="53" t="n">
        <x:v>0.5625</x:v>
      </x:c>
      <x:c r="E43" s="54" t="b">
        <x:v>0</x:v>
      </x:c>
      <x:c r="F43" s="53" t="str">
        <x:v>C16</x:v>
      </x:c>
    </x:row>
    <x:row r="44">
      <x:c r="A44" s="53" t="n">
        <x:v>5</x:v>
      </x:c>
      <x:c r="B44" s="53" t="str">
        <x:v>WU</x:v>
      </x:c>
      <x:c r="C44" s="53" t="str">
        <x:v>Azorius Senate</x:v>
      </x:c>
      <x:c r="D44" s="53" t="n">
        <x:v>0.5</x:v>
      </x:c>
      <x:c r="E44" s="54" t="b">
        <x:v>0</x:v>
      </x:c>
      <x:c r="F44" s="53" t="str">
        <x:v>C16</x:v>
      </x:c>
    </x:row>
    <x:row r="45">
      <x:c r="A45" s="53" t="n">
        <x:v>6</x:v>
      </x:c>
      <x:c r="B45" s="53" t="str">
        <x:v>QUANDRIX</x:v>
      </x:c>
      <x:c r="C45" s="53" t="str">
        <x:v>Quandrix College</x:v>
      </x:c>
      <x:c r="D45" s="53" t="n">
        <x:v>0.458333</x:v>
      </x:c>
      <x:c r="E45" s="54" t="b">
        <x:v>0</x:v>
      </x:c>
      <x:c r="F45" s="53" t="str">
        <x:v>C06</x:v>
      </x:c>
    </x:row>
    <x:row r="46">
      <x:c r="A46" s="53" t="n">
        <x:v>7</x:v>
      </x:c>
      <x:c r="B46" s="53" t="str">
        <x:v>UR</x:v>
      </x:c>
      <x:c r="C46" s="53" t="str">
        <x:v>Izzet League</x:v>
      </x:c>
      <x:c r="D46" s="53" t="n">
        <x:v>0.458333</x:v>
      </x:c>
      <x:c r="E46" s="54" t="b">
        <x:v>0</x:v>
      </x:c>
      <x:c r="F46" s="53" t="str">
        <x:v>C08</x:v>
      </x:c>
    </x:row>
    <x:row r="47">
      <x:c r="A47" s="53" t="n">
        <x:v>8</x:v>
      </x:c>
      <x:c r="B47" s="53" t="str">
        <x:v>GRIXIS</x:v>
      </x:c>
      <x:c r="C47" s="53" t="str">
        <x:v>Grixis</x:v>
      </x:c>
      <x:c r="D47" s="53" t="n">
        <x:v>0.1875</x:v>
      </x:c>
      <x:c r="E47" s="54" t="b">
        <x:v>0</x:v>
      </x:c>
      <x:c r="F47" s="53" t="str"/>
    </x:row>
    <x:row r="48">
      <x:c r="A48" s="53" t="n">
        <x:v>9</x:v>
      </x:c>
      <x:c r="B48" s="53" t="str">
        <x:v>WITCH</x:v>
      </x:c>
      <x:c r="C48" s="53" t="str">
        <x:v>Witch / Growth</x:v>
      </x:c>
      <x:c r="D48" s="53" t="n">
        <x:v>0.083333</x:v>
      </x:c>
      <x:c r="E48" s="54" t="b">
        <x:v>0</x:v>
      </x:c>
      <x:c r="F48" s="53" t="str"/>
    </x:row>
    <x:row r="49">
      <x:c r="A49" s="53" t="n">
        <x:v>10</x:v>
      </x:c>
      <x:c r="B49" s="53" t="str">
        <x:v>BG</x:v>
      </x:c>
      <x:c r="C49" s="53" t="str">
        <x:v>Golgari Swarm</x:v>
      </x:c>
      <x:c r="D49" s="53" t="n">
        <x:v>0.083333</x:v>
      </x:c>
      <x:c r="E49" s="54" t="b">
        <x:v>0</x:v>
      </x:c>
      <x:c r="F49" s="53" t="str"/>
    </x:row>
    <x:row r="50">
      <x:c r="A50" s="53" t="n">
        <x:v>11</x:v>
      </x:c>
      <x:c r="B50" s="53" t="str">
        <x:v>COLORLESS</x:v>
      </x:c>
      <x:c r="C50" s="53" t="str">
        <x:v>Colorless</x:v>
      </x:c>
      <x:c r="D50" s="53" t="n">
        <x:v>0.083333</x:v>
      </x:c>
      <x:c r="E50" s="54" t="b">
        <x:v>0</x:v>
      </x:c>
      <x:c r="F50" s="53" t="str"/>
    </x:row>
    <x:row r="51">
      <x:c r="A51" s="53" t="n">
        <x:v>12</x:v>
      </x:c>
      <x:c r="B51" s="53" t="str">
        <x:v>GLINT</x:v>
      </x:c>
      <x:c r="C51" s="53" t="str">
        <x:v>Glint / Chaos</x:v>
      </x:c>
      <x:c r="D51" s="53" t="n">
        <x:v>0.083333</x:v>
      </x:c>
      <x:c r="E51" s="54" t="b">
        <x:v>0</x:v>
      </x:c>
      <x:c r="F51" s="53" t="str"/>
    </x:row>
    <x:row r="52">
      <x:c r="A52" s="53" t="n">
        <x:v>13</x:v>
      </x:c>
      <x:c r="B52" s="53" t="str">
        <x:v>JUND</x:v>
      </x:c>
      <x:c r="C52" s="53" t="str">
        <x:v>Jund</x:v>
      </x:c>
      <x:c r="D52" s="53" t="n">
        <x:v>0.083333</x:v>
      </x:c>
      <x:c r="E52" s="54" t="b">
        <x:v>0</x:v>
      </x:c>
      <x:c r="F52" s="53" t="str"/>
    </x:row>
    <x:row r="53">
      <x:c r="A53" s="53" t="n">
        <x:v>14</x:v>
      </x:c>
      <x:c r="B53" s="53" t="str">
        <x:v>LOREHOLD</x:v>
      </x:c>
      <x:c r="C53" s="53" t="str">
        <x:v>Lorehold College</x:v>
      </x:c>
      <x:c r="D53" s="53" t="n">
        <x:v>0.083333</x:v>
      </x:c>
      <x:c r="E53" s="54" t="b">
        <x:v>0</x:v>
      </x:c>
      <x:c r="F53" s="53" t="str"/>
    </x:row>
    <x:row r="54">
      <x:c r="A54" s="53" t="n">
        <x:v>15</x:v>
      </x:c>
      <x:c r="B54" s="53" t="str">
        <x:v>MARDU</x:v>
      </x:c>
      <x:c r="C54" s="53" t="str">
        <x:v>Mardu Horde</x:v>
      </x:c>
      <x:c r="D54" s="53" t="n">
        <x:v>0.083333</x:v>
      </x:c>
      <x:c r="E54" s="54" t="b">
        <x:v>0</x:v>
      </x:c>
      <x:c r="F54" s="53" t="str"/>
    </x:row>
    <x:row r="55">
      <x:c r="A55" s="53" t="n">
        <x:v>16</x:v>
      </x:c>
      <x:c r="B55" s="53" t="str">
        <x:v>R</x:v>
      </x:c>
      <x:c r="C55" s="53" t="str">
        <x:v>Red</x:v>
      </x:c>
      <x:c r="D55" s="53" t="n">
        <x:v>0.083333</x:v>
      </x:c>
      <x:c r="E55" s="54" t="b">
        <x:v>0</x:v>
      </x:c>
      <x:c r="F55" s="53" t="str"/>
    </x:row>
    <x:row r="56">
      <x:c r="A56" s="53" t="n">
        <x:v>17</x:v>
      </x:c>
      <x:c r="B56" s="53" t="str">
        <x:v>RG</x:v>
      </x:c>
      <x:c r="C56" s="53" t="str">
        <x:v>Gruul Clans</x:v>
      </x:c>
      <x:c r="D56" s="53" t="n">
        <x:v>0.083333</x:v>
      </x:c>
      <x:c r="E56" s="54" t="b">
        <x:v>0</x:v>
      </x:c>
      <x:c r="F56" s="53" t="str"/>
    </x:row>
    <x:row r="57">
      <x:c r="A57" s="53" t="n">
        <x:v>18</x:v>
      </x:c>
      <x:c r="B57" s="53" t="str">
        <x:v>SULTAI</x:v>
      </x:c>
      <x:c r="C57" s="53" t="str">
        <x:v>Sultai Brood</x:v>
      </x:c>
      <x:c r="D57" s="53" t="n">
        <x:v>0.083333</x:v>
      </x:c>
      <x:c r="E57" s="54" t="b">
        <x:v>0</x:v>
      </x:c>
      <x:c r="F57" s="53" t="str"/>
    </x:row>
    <x:row r="58">
      <x:c r="A58" s="53" t="n">
        <x:v>19</x:v>
      </x:c>
      <x:c r="B58" s="53" t="str">
        <x:v>TEMUR</x:v>
      </x:c>
      <x:c r="C58" s="53" t="str">
        <x:v>Temur Frontier</x:v>
      </x:c>
      <x:c r="D58" s="53" t="n">
        <x:v>0.083333</x:v>
      </x:c>
      <x:c r="E58" s="54" t="b">
        <x:v>0</x:v>
      </x:c>
      <x:c r="F58" s="53" t="str"/>
    </x:row>
    <x:row r="59">
      <x:c r="A59" s="53" t="n">
        <x:v>20</x:v>
      </x:c>
      <x:c r="B59" s="53" t="str">
        <x:v>UG</x:v>
      </x:c>
      <x:c r="C59" s="53" t="str">
        <x:v>Simic Combine</x:v>
      </x:c>
      <x:c r="D59" s="53" t="n">
        <x:v>0.083333</x:v>
      </x:c>
      <x:c r="E59" s="54" t="b">
        <x:v>0</x:v>
      </x:c>
      <x:c r="F59" s="53" t="str"/>
    </x:row>
    <x:row r="60">
      <x:c r="A60" s="53" t="n">
        <x:v>21</x:v>
      </x:c>
      <x:c r="B60" s="53" t="str">
        <x:v>WITHERBLOOM</x:v>
      </x:c>
      <x:c r="C60" s="53" t="str">
        <x:v>Witherbloom College</x:v>
      </x:c>
      <x:c r="D60" s="53" t="n">
        <x:v>0.083333</x:v>
      </x:c>
      <x:c r="E60" s="54" t="b">
        <x:v>0</x:v>
      </x:c>
      <x:c r="F60" s="53" t="str"/>
    </x:row>
    <x:row r="61">
      <x:c r="A61" s="53" t="n">
        <x:v>22</x:v>
      </x:c>
      <x:c r="B61" s="53" t="str">
        <x:v>WR</x:v>
      </x:c>
      <x:c r="C61" s="53" t="str">
        <x:v>Boros Legion</x:v>
      </x:c>
      <x:c r="D61" s="53" t="n">
        <x:v>0.083333</x:v>
      </x:c>
      <x:c r="E61" s="54" t="b">
        <x:v>0</x:v>
      </x:c>
      <x:c r="F61" s="53" t="str"/>
    </x:row>
    <x:row r="62">
      <x:c r="A62" s="53" t="n">
        <x:v>23</x:v>
      </x:c>
      <x:c r="B62" s="53" t="str">
        <x:v>YORE</x:v>
      </x:c>
      <x:c r="C62" s="53" t="str">
        <x:v>Yore / Artifice</x:v>
      </x:c>
      <x:c r="D62" s="53" t="n">
        <x:v>0.083333</x:v>
      </x:c>
      <x:c r="E62" s="54" t="b">
        <x:v>0</x:v>
      </x:c>
      <x:c r="F62" s="53" t="str"/>
    </x:row>
    <x:row r="63">
      <x:c r="A63" s="53" t="n">
        <x:v>24</x:v>
      </x:c>
      <x:c r="B63" s="53" t="str">
        <x:v>B</x:v>
      </x:c>
      <x:c r="C63" s="53" t="str">
        <x:v>Black</x:v>
      </x:c>
      <x:c r="D63" s="53" t="n">
        <x:v>0.0625</x:v>
      </x:c>
      <x:c r="E63" s="54" t="b">
        <x:v>0</x:v>
      </x:c>
      <x:c r="F63" s="53" t="str"/>
    </x:row>
    <x:row r="64">
      <x:c r="A64" s="53" t="n">
        <x:v>25</x:v>
      </x:c>
      <x:c r="B64" s="53" t="str">
        <x:v>ABZAN</x:v>
      </x:c>
      <x:c r="C64" s="53" t="str">
        <x:v>Abzan Houses</x:v>
      </x:c>
      <x:c r="D64" s="53" t="n">
        <x:v>0</x:v>
      </x:c>
      <x:c r="E64" s="54" t="b">
        <x:v>0</x:v>
      </x:c>
      <x:c r="F64" s="53" t="str"/>
    </x:row>
    <x:row r="65">
      <x:c r="A65" s="53" t="n">
        <x:v>26</x:v>
      </x:c>
      <x:c r="B65" s="53" t="str">
        <x:v>BANT</x:v>
      </x:c>
      <x:c r="C65" s="53" t="str">
        <x:v>Bant</x:v>
      </x:c>
      <x:c r="D65" s="53" t="n">
        <x:v>0</x:v>
      </x:c>
      <x:c r="E65" s="54" t="b">
        <x:v>0</x:v>
      </x:c>
      <x:c r="F65" s="53" t="str"/>
    </x:row>
    <x:row r="66">
      <x:c r="A66" s="53" t="n">
        <x:v>27</x:v>
      </x:c>
      <x:c r="B66" s="53" t="str">
        <x:v>BR</x:v>
      </x:c>
      <x:c r="C66" s="53" t="str">
        <x:v>Cult of Rakdos</x:v>
      </x:c>
      <x:c r="D66" s="53" t="n">
        <x:v>0</x:v>
      </x:c>
      <x:c r="E66" s="54" t="b">
        <x:v>0</x:v>
      </x:c>
      <x:c r="F66" s="53" t="str"/>
    </x:row>
    <x:row r="67">
      <x:c r="A67" s="53" t="n">
        <x:v>28</x:v>
      </x:c>
      <x:c r="B67" s="53" t="str">
        <x:v>DUNE</x:v>
      </x:c>
      <x:c r="C67" s="53" t="str">
        <x:v>Dune / Aggression</x:v>
      </x:c>
      <x:c r="D67" s="53" t="n">
        <x:v>0</x:v>
      </x:c>
      <x:c r="E67" s="54" t="b">
        <x:v>0</x:v>
      </x:c>
      <x:c r="F67" s="53" t="str"/>
    </x:row>
    <x:row r="68">
      <x:c r="A68" s="53" t="n">
        <x:v>29</x:v>
      </x:c>
      <x:c r="B68" s="53" t="str">
        <x:v>G</x:v>
      </x:c>
      <x:c r="C68" s="53" t="str">
        <x:v>Green</x:v>
      </x:c>
      <x:c r="D68" s="53" t="n">
        <x:v>0</x:v>
      </x:c>
      <x:c r="E68" s="54" t="b">
        <x:v>0</x:v>
      </x:c>
      <x:c r="F68" s="53" t="str"/>
    </x:row>
    <x:row r="69">
      <x:c r="A69" s="53" t="n">
        <x:v>30</x:v>
      </x:c>
      <x:c r="B69" s="53" t="str">
        <x:v>INK</x:v>
      </x:c>
      <x:c r="C69" s="53" t="str">
        <x:v>Ink / Altruism</x:v>
      </x:c>
      <x:c r="D69" s="53" t="n">
        <x:v>0</x:v>
      </x:c>
      <x:c r="E69" s="54" t="b">
        <x:v>0</x:v>
      </x:c>
      <x:c r="F69" s="53" t="str"/>
    </x:row>
    <x:row r="70">
      <x:c r="A70" s="53" t="n">
        <x:v>31</x:v>
      </x:c>
      <x:c r="B70" s="53" t="str">
        <x:v>NAYA</x:v>
      </x:c>
      <x:c r="C70" s="53" t="str">
        <x:v>Naya</x:v>
      </x:c>
      <x:c r="D70" s="53" t="n">
        <x:v>0</x:v>
      </x:c>
      <x:c r="E70" s="54" t="b">
        <x:v>0</x:v>
      </x:c>
      <x:c r="F70" s="53" t="str"/>
    </x:row>
    <x:row r="71">
      <x:c r="A71" s="53" t="n">
        <x:v>32</x:v>
      </x:c>
      <x:c r="B71" s="53" t="str">
        <x:v>PRISMARI</x:v>
      </x:c>
      <x:c r="C71" s="53" t="str">
        <x:v>Prismari College</x:v>
      </x:c>
      <x:c r="D71" s="53" t="n">
        <x:v>0</x:v>
      </x:c>
      <x:c r="E71" s="54" t="b">
        <x:v>0</x:v>
      </x:c>
      <x:c r="F71" s="53" t="str"/>
    </x:row>
    <x:row r="72">
      <x:c r="A72" s="53" t="n">
        <x:v>33</x:v>
      </x:c>
      <x:c r="B72" s="53" t="str">
        <x:v>SILVERQUILL</x:v>
      </x:c>
      <x:c r="C72" s="53" t="str">
        <x:v>Silverquill College</x:v>
      </x:c>
      <x:c r="D72" s="53" t="n">
        <x:v>0</x:v>
      </x:c>
      <x:c r="E72" s="54" t="b">
        <x:v>0</x:v>
      </x:c>
      <x:c r="F72" s="53" t="str"/>
    </x:row>
    <x:row r="73">
      <x:c r="A73" s="53" t="n">
        <x:v>34</x:v>
      </x:c>
      <x:c r="B73" s="53" t="str">
        <x:v>W</x:v>
      </x:c>
      <x:c r="C73" s="53" t="str">
        <x:v>White</x:v>
      </x:c>
      <x:c r="D73" s="53" t="n">
        <x:v>0</x:v>
      </x:c>
      <x:c r="E73" s="54" t="b">
        <x:v>0</x:v>
      </x:c>
      <x:c r="F73" s="53" t="str"/>
    </x:row>
    <x:row r="74">
      <x:c r="A74" s="53" t="n">
        <x:v>35</x:v>
      </x:c>
      <x:c r="B74" s="53" t="str">
        <x:v>WB</x:v>
      </x:c>
      <x:c r="C74" s="53" t="str">
        <x:v>Orzhov Syndicate</x:v>
      </x:c>
      <x:c r="D74" s="53" t="n">
        <x:v>0</x:v>
      </x:c>
      <x:c r="E74" s="54" t="b">
        <x:v>0</x:v>
      </x:c>
      <x:c r="F74" s="53" t="str"/>
    </x:row>
    <x:row r="75">
      <x:c r="A75" s="53" t="n">
        <x:v>36</x:v>
      </x:c>
      <x:c r="B75" s="53" t="str">
        <x:v>WG</x:v>
      </x:c>
      <x:c r="C75" s="53" t="str">
        <x:v>Selesnya Conclave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"JESKAI",
  "faction_name": "Jeskai Way",
  "institution_type": "wedge",
  "world": "Tarkir",
  "identity": {
    "core_color": "U",
    "secondary_colors": [
      "R",
      "W"
    ],
    "secondary_color": "R",
    "expression_key": "JESKAI",
    "expression_name": "Jeskai Way",
    "expression_kind": "wedge",
    "purity": null,
    "routing": {
      "color_identity": "URW",
      "label": "Jeskai"
    }
  },
  "decree": "Jeskai Way is the clearest current fit from the approved observations.",
  "confidence": 0.045,
  "confidence_gap": 1,
  "mana_scores": {
    "W": 9,
    "U": 10,
    "B": 9,
    "R": 9,
    "G": 8
  },
  "top_matches": [
    {
      "rank": 1,
      "faction": "JESKAI",
      "faction_name": "Jeskai Way",
      "institution_type": "wedge",
      "world": "Tarkir",
      "identity": {
        "core_color": "U",
        "secondary_colors": [
          "R",
          "W"
        ],
        "secondary_color": "R",
        "expression_key": "JESKAI",
        "expression_name": "Jeskai Way",
        "expression_kind": "wedge",
        "purity": null,
        "routing": {
          "color_identity": "URW",
          "label": "Jeskai"
        }
      },
      "score": 0.75,
      "confidence": 0.045,
      "reason": "Jeskai Way remained plausible through C01, C08, C16; identity mapping remains a hypothesis."
    }
  ],
  "adjacent_matches": [],
  "internal_candidate_order": [
    {
      "identity": "JESKAI",
      "score": 0.75,
      "positive_dependencies": 2,
      "qualification_dependencies": 2,
      "naming_dependencies": 1,
      "positive_constructs": [
        "C01",
        "C08"
      ],
      "satisfied_naming_rule_ids": [
        "baseline_40:b1.crucible.jeskai.v1.sequence:JESKAI"
      ],
      "naming_qualification": {
        "identity": "JESKAI",
        "qualified": true,
        "satisfied_naming_rule_ids": [
          "baseline_40:b1.crucible.jeskai.v1.sequence:JESKAI"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"C16"
      ]
    },
    {
      "identity": "U",
      "score": 0.625,
      "positive_dependencies": 2,
      "qualification_dependencies": 2,
      "naming_dependencies": 0,
      "positive_constructs": [
        "C06",
        "C16"
      ],
      "satisfied_naming_rule_ids": [],
      "naming_qualification": {
        "identity": "U",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"C16"
      ]
    },
    {
      "identity": "ESPER",
      "score": 0.5625,
      "positive_dependencies": 1,
      "qualification_dependencies": 1,
      "naming_dependencies": 0,
      "positive_constructs": [
        "C06"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"C16"
      ]
    },
    {
      "identity": "UB",
      "score": 0.5625,
      "positive_dependencies": 1,
      "qualification_dependencies": 1,
      "naming_dependencies": 0,
      "positive_constructs": [
        "C16"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"WU",
      "score": 0.5,
      "positive_dependencies": 1,
      "qualification_dependencies": 1,
      "naming_dependencies": 0,
      "positive_constructs": [
        "C16"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"C16"
      ]
    },
    {
      "identity": "QUANDRIX",
      "score": 0.458333,
      "positive_dependencies": 1,
      "qualification_dependencies": 1,
      "naming_dependencies": 0,
      "positive_constructs": [
        "C06"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"UR",
      "score": 0.458333,
      "positive_dependencies": 1,
      "qualification_dependencies": 1,
      "naming_dependencies": 0,
      "positive_constructs": [
        "C08"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"C16"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"C16"
      ]
    },
    {
      "identity": "ABZAN",
      "score": 0,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x:v>
      </x:c>
    </x:row>
    <x:row r="80">
      <x:c r="A80" s="53" t="str">
        <x:v>Part 2/3</x:v>
      </x:c>
      <x:c r="B80" s="53" t="str">
        <x:v>      },
        "minimum_positive_dependencies": 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
      "score": 0,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"JESKAI",
    "U",
    "ESPER",
    "UB",
    "WU",
    "QUANDRIX",
    "UR"
  ],
  "alternatives": [],
  "refinement": {
    "kind": "no_approved_discriminator",
    "can_reduce_ambiguity": false,
    "remaining_candidates": [
      "JESKAI",
      "U",
      "ESPER",
      "UB",
      "WU",
      "QUANDRIX",
      "UR"
    ],
    "unresolved_boundaries": [
      {
        "pair_id": "ESPER__JESKAI",
        "identities": [
          "ESPER",
          "JESKAI"
        ],
        "distinction": "Direct scenario tests one bounded Commander behavior.",
        "question_ids": [
          "b1.hall.information-to-plan.v1",
          "b1.crucible.esper.v1",
          "b1.crucible.jeskai.v1",
          "b1.hall.engine-shape.v1",
          "b1.hall.interaction-window.v1",
          "b1.crucible.disruption-boundary.v1",
          "b1.gate.initiative.v1"
        ],
        "coverage_status": "DIRECT-OR-STRUCTURAL-MAPPING-HYPOTHESIS; bounded player validation required"
      },
      {
        "pair_id": "JESKAI__QUANDRIX",
        "identities": [
          "JESKAI",
          "QUANDRIX"
        ],
        "distinction": "JESKAI uses Mana commitment and interaction window evidence; QUANDRIX uses Engine concentration evidence. No direct pair claim is made.",
        "question_ids": [
          "b1.hall.interaction-window.v1",
          "b1.hall.engine-shape.v1",
          "b1.crucible.mono-multi.v1",
          "b1.hall.information-to-plan.v1",
          "b1.crucible.ug.v1",
          "b1.crucible.jeskai.v1",
          "b1.hall.setup.v1",
          "b1.gate.initiative.v1"
        ],
        "coverage_status": "DIRECT-OR-STRUCTURAL-MAPPING-HYPOTHESIS; bounded player validation required"
      },
      {
        "pair_id": "JESKAI__U",
        "identities": [
          "JESKAI",
          "U"
        ],
        "distinction": "JESKAI uses Repeatability preference evidence; U uses Engine concentration evidence. No direct pair claim is made.",
        "question_ids": [
          "b1.hall.repeatability.v1",
          "b1.hall.engine-shape.v1",
          "b1.crucible.mono-multi.v1",
          "b1.hall.information-to-plan.v1",
          "b1.crucible.jeskai.v1",
          "b1.hall.interaction-window.v1",
          "b1.crucible.disruption-boundary.v1",
          "b1.gate.initiative.v1"
        ],
        "coverage_status": "DIRECT-OR-STRUCTURAL-MAPPING-HYPOTHESIS; bounded player validation required"
      },
      {
        "pair_id": "JESKAI__UR",
        "identities": [
          "JESKAI",
          "UR"
        ],
        "distinction": "JESKAI uses Mana commitment and interaction window evidence; UR uses Engine concentration evidence. No direct pair claim is made.",
        "question_ids": [
          "b1.hall.interaction-window.v1",
          "b1.hall.engine-shape.v1",
          "b1.crucible.mono-multi.v1",
          "b1.hall.information-to-plan.v1",
          "b1.crucible.ur.v1",
          "b1.crucible.jeskai.v1",
          "b1.hall.pressure.v1",
          "b1.gate.initiative.v1"
        ],
        "coverage_status": "DIRECT-OR-STRUCTURAL-MAPPING-HYPOTHESIS; bounded player validation required"
      },
      {
        "pair_id": "JESKAI__WU",
        "identities": [
          "JESKAI",
          "WU"
        ],
        "distinction": "JESKAI uses Initiative posture evidence; WU uses Public commitment evidence. No direct pair claim is made.",
        "question_ids": [
          "b1.gate.initiative.v1",
          "b1.hall.commitment.v1",
          "b1.crucible.mono-multi.v1",
          "b1.hall.information-to-plan.v1",
          "b1.crucible.jeskai.v1",
          "b1.hall.interaction-window.v1"
        ],
        "coverage_status": "DIRECT-OR-STRUCTURAL-MAPPING-HYPOTHESIS; bounded player validation required"
      },
      {
        "pair_id": "U__UB",
        "identities": [
          "U",
          "UB"
        ],
        "distinction": "U uses Initiative posture evidence; UB uses Resource visibility evidence. No direct pair claim is made.",
        "question_ids": [
          "b1.gate.initiative.v1",
          "b1.gate.visibility.v1",
          "b1.crucible.mono-multi.v1",
          "b1.hall.engine-shape.v1",
          "b1.hall.interaction-window.v1",
          "b1.crucible.disruption-boundary.v1"
        ],
        "coverage_status": "DIRECT-OR-STRUCTURAL-MAPPING-HYPOTHESIS; bounded player validation required"
      }
    ],
    "missing_constructs": [
      "C04",
      "C09",
      "C13"
    ],
    "question_id": null,
    "purpose": "none_for_clean_primary",
    "target_identities": [
      "JESKAI",
      "U",
      "ESPER"
    ],
    "target_pair_ids": [
      "ESPER__JESKAI",
      "JESKAI__QUANDRIX",
      "JESKAI__U",
      "JESKAI__UR",
      "JESKAI__WU",
      "U__UB"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"answer_title": "Advance with one answer ready",
      "prompt": "An opponent begins a decisive turn, but you do not yet know which card matters most. When do you want your deck to use the card or mana it kept available?",
      "observation": "Prefers split commitment between development and one bounded response.",
      "deltas": [
        {
          "faction": "JESKAI",
          "delta": 0.5
        },
        {
          "faction": "UR",
          "delta": 0.5
        }
      ]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"answer_title": "Rebuild the center",
      "prompt": "Opponents have learned how to stop your main engine. When you revise the deck, what structure do you want next?",
      "observation": "Accepts one designed central dependency after revision.",
      "deltas": [
        {
          "faction": "ESPER",
          "delta": 0.5
        },
        {
          "faction": "QUANDRIX",
          "delta": 0.5
        },
        {
          "faction": "U",
          "delta": 0.5
        }
      ]
    },
    {
      "question_id": "b1.hall.information-to-plan.v1",
      "answer_id": "b1.hall.information-to-plan.v1.open",
      "stage": "hall",
      "construct": "C16",
      "bounded_observation": "Prefers to retain broad optionality after gaining information.",
      "signal": "SIG_C16_OPTIONALITY",
      "dependency_group": "DG_C16",
      "evidence_class": "BEHAVIORAL_OBSERVATION",
      "affected_identities": [
        "U",
        "UB",
        "WU"
      ],
      "positive_support": [
        "U",
        "UB",
        "WU"
      ],
      "contradiction": [],
      "neutral": false,
      "mapping_strength": 0.5,
      "naming_evidence": false,
      "qualification_eligible": true,
      "qualification_support": [
        "U",
        "UB",
        "WU"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"answer_title": "Keep several routes open",
      "prompt": "A dangerous opposing play has been stopped, and you now have enough cards to choose among several workable plans. What do you most want to do next?",
      "observation": "Prefers to retain broad optionality after gaining information.",
      "deltas": [
        {
          "faction": "U",
          "delta": 0.5
        },
        {
          "faction": "UB",
          "delta": 0.5
        },
        {
          "faction": "WU",
          "delta": 0.5
        }
      ]
    },
    {
      "question_id": "b1.crucible.jeskai.v1",
      "answer_id": "b1.crucible.jeskai.v1.sequence",
      "stage": "crucible",
      "construct": "C08",
      "bounded_observation": "Prefers sequenced pressure with bounded interaction.",
      "signal": "SIG_C08_SPLIT",
      "dependency_group": "DG_C08",
      "evidence_class": "BEHAVIORAL_OBSERVATION",
      "affected_identities": [
        "JESKAI"
      ],
      "positive_support": [
        "JESKAI"
      ],
      "contradiction": [],
      "neutral": false,
      "mapping_strength": 1,
      "naming_evidence": true,
      "qualification_eligible": true,
      "qualification_support": [
        "JESKAI"
      ],
      "naming_support": [
        "JESKAI"
      ],
      "naming_rule_ids_by_identity": {
        "JESKAI": [
          "baseline_40:b1.crucible.jeskai.v1.sequence:JESKAI"
        ]
      },
      "mapping_role": "bounded_target_direction",
      "mapping_status": "MAPPING_HYPOTHESIS",
      "mapping_provenance": "answer-semantic-adjudication.tsv JESKAI boundary evidence-required hypothesis",
      "evidence_provenance": "E-CERTIFIED;E-PLAYER-PACE;E-PLAYER-THREAT;E-AUDIT;E-CECOS;E-VOICE",
      "limitation": "Use only after prior independent observations leave the stated competitor boundary plausible; the identity association requires player validation.",
      "behavioral_vs_lens": "behavioral",
      "answer_title": "Attack and keep one p</x:v>
      </x:c>
    </x:row>
    <x:row r="81">
      <x:c r="A81" s="53" t="str">
        <x:v>Part 3/3</x:v>
      </x:c>
      <x:c r="B81" s="53" t="str">
        <x:v>recise answer",
      "prompt": "You can attack this turn, but an opponent may make a decisive play before your next turn. What timing fits?",
      "observation": "Prefers sequenced pressure with bounded interaction.",
      "deltas": [
        {
          "faction": "JESKAI",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"b1.hall.interaction-window.v1.split",
      "stage": "hall",
      "construct": "C08",
      "bounded_observation": "Prefers split commitment between development and one bounded response.",
      "signal": "SIG_C08_SPLIT",
      "dependency_group": "DG_C08",
      "evidence_class": "BEHAVIORAL_OBSERVATION",
      "affected_identities": [
        "JESKAI",
        "UR"
      ],
      "positive_support": [
        "JESKAI",
        "UR"
      ],
      "contradiction": [],
      "neutral": false,
      "mapping_strength": 0.5,
      "naming_evidence": false,
      "qualification_eligible": true,
      "qualification_support": [
        "JESKAI",
        "UR"
      ],
      "naming_support": [],
      "naming_rule_ids_by_identity": {},
      "mapping_role": "completion_corroboration_direction",
      "mapping_status": "REMEDIATION_MAPPING_HYPOTHESIS",
      "mapping_provenance": "docs/plans/vm551-gate-b1-instrument-completion/instrument-change-adjudication.tsv#b1.hall.interaction-window.v1.split;docs/audits/vm555-b1-identity-evidence-gap-bridge/identity-evidence-gap-matrix.tsv",
      "evidence_provenance": "E-VM555;E-CERTIFIED;E-CECOS;E-PLAYER-LANGUAGE",
      "limitation": "Efficient curves can produce this line without a stable interaction preference.",
      "behavioral_vs_lens": "behavioral"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
    {
      "question_id": "b1.hall.information-to-plan.v1",
      "answer_id": "b1.hall.information-to-plan.v1.open",
      "stage": "hall",
      "construct": "C16",
      "bounded_observation": "Prefers to retain broad optionality after gaining information.",
      "signal": "SIG_C16_OPTIONALITY",
      "dependency_group": "DG_C16",
      "evidence_class": "BEHAVIORAL_OBSERVATION",
      "affected_identities": [
        "U",
        "UB",
        "WU"
      ],
      "positive_support": [
        "U",
        "UB",
        "WU"
      ],
      "contradiction": [],
      "neutral": false,
      "mapping_strength": 0.5,
      "naming_evidence": false,
      "qualification_eligible": true,
      "qualification_support": [
        "U",
        "UB",
        "WU"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
    {
      "question_id": "b1.crucible.jeskai.v1",
      "answer_id": "b1.crucible.jeskai.v1.sequence",
      "stage": "crucible",
      "construct": "C08",
      "bounded_observation": "Prefers sequenced pressure with bounded interaction.",
      "signal": "SIG_C08_SPLIT",
      "dependency_group": "DG_C08",
      "evidence_class": "BEHAVIORAL_OBSERVATION",
      "affected_identities": [
        "JESKAI"
      ],
      "positive_support": [
        "JESKAI"
      ],
      "contradiction": [],
      "neutral": false,
      "mapping_strength": 1,
      "naming_evidence": true,
      "qualification_eligible": true,
      "qualification_support": [
        "JESKAI"
      ],
      "naming_support": [
        "JESKAI"
      ],
      "naming_rule_ids_by_identity": {
        "JESKAI": [
          "baseline_40:b1.crucible.jeskai.v1.sequence:JESKAI"
        ]
      },
      "mapping_role": "bounded_target_direction",
      "mapping_status": "MAPPING_HYPOTHESIS",
      "mapping_provenance": "answer-semantic-adjudication.tsv JESKAI boundary evidence-required hypothesis",
      "evidence_provenance": "E-CERTIFIED;E-PLAYER-PACE;E-PLAYER-THREAT;E-AUDIT;E-CECOS;E-VOICE",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"b1.hall.interaction-window.v1.split",
      "stage": "hall",
      "evidence_class": "BEHAVIORAL_OBSERVATION"
    },
    {
      "question_id": "b1.hall.engine-shape.v1",
      "answer_id": "b1.hall.engine-shape.v1.central",
      "stage": "hall",
      "evidence_class": "BEHAVIORAL_OBSERVATION"
    },
    {
      "question_id": "b1.hall.information-to-plan.v1",
      "answer_id": "b1.hall.information-to-plan.v1.open",
      "stage": "hall",
      "evidence_class": "BEHAVIORAL_OBSERVATION"
    },
    {
      "question_id": "b1.crucible.jeskai.v1",
      "answer_id": "b1.crucible.jeskai.v1.sequence",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Mardu Horde — Engine Trace</x:v>
      </x:c>
      <x:c r="B1" s="3"/>
      <x:c r="C1" s="3"/>
      <x:c r="D1" s="3"/>
      <x:c r="E1" s="3"/>
      <x:c r="F1" s="3"/>
      <x:c r="G1" s="3"/>
      <x:c r="H1" s="3"/>
      <x:c r="I1" s="3"/>
      <x:c r="J1" s="3"/>
      <x:c r="K1" s="3"/>
      <x:c r="L1" s="3"/>
      <x:c r="M1" s="3"/>
      <x:c r="N1" s="3"/>
      <x:c r="O1" s="3"/>
      <x:c r="P1" s="3"/>
      <x:c r="Q1" s="3"/>
      <x:c r="R1" s="3"/>
      <x:c r="S1" s="3"/>
      <x:c r="T1" s="3"/>
    </x:row>
    <x:row r="2" ht="30" customHeight="1">
      <x:c r="A2" s="7" t="str">
        <x:v>ENGINE-MARDU • PASS_MATCH • primary • trace 4bdbd7841d56178b8fcbeecd69b30ec91b90b6baffcf90ea4f3da48ce622e87c</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MARDU</x:v>
      </x:c>
    </x:row>
    <x:row r="6">
      <x:c r="A6" s="53" t="str">
        <x:v>Expected public contract</x:v>
      </x:c>
      <x:c r="B6" s="53" t="str">
        <x:v>NAMED_DOSSIER</x:v>
      </x:c>
    </x:row>
    <x:row r="7">
      <x:c r="A7" s="53" t="str">
        <x:v>Witness status</x:v>
      </x:c>
      <x:c r="B7" s="53" t="str">
        <x:v>CURRENT_COMPATIBLE</x:v>
      </x:c>
    </x:row>
    <x:row r="8">
      <x:c r="A8" s="53" t="str">
        <x:v>Actual result</x:v>
      </x:c>
      <x:c r="B8" s="53" t="str">
        <x:v>MARDU</x:v>
      </x:c>
    </x:row>
    <x:row r="9">
      <x:c r="A9" s="53" t="str">
        <x:v>Directional result</x:v>
      </x:c>
      <x:c r="B9" s="53" t="str">
        <x:v>MARDU</x:v>
      </x:c>
    </x:row>
    <x:row r="10">
      <x:c r="A10" s="53" t="str">
        <x:v>Public state</x:v>
      </x:c>
      <x:c r="B10" s="53" t="str">
        <x:v>current-best-fit</x:v>
      </x:c>
    </x:row>
    <x:row r="11">
      <x:c r="A11" s="53" t="str">
        <x:v>Raw numeric leader</x:v>
      </x:c>
      <x:c r="B11" s="53" t="str">
        <x:v>MARDU</x:v>
      </x:c>
    </x:row>
    <x:row r="12">
      <x:c r="A12" s="53" t="str">
        <x:v>Raw score</x:v>
      </x:c>
      <x:c r="B12" s="53" t="n">
        <x:v>0.8125</x:v>
      </x:c>
    </x:row>
    <x:row r="13">
      <x:c r="A13" s="53" t="str">
        <x:v>Raw leader qualified</x:v>
      </x:c>
      <x:c r="B13" s="54" t="b">
        <x:v>1</x:v>
      </x:c>
    </x:row>
    <x:row r="14">
      <x:c r="A14" s="53" t="str">
        <x:v>Selected qualified</x:v>
      </x:c>
      <x:c r="B14" s="54" t="b">
        <x:v>1</x:v>
      </x:c>
    </x:row>
    <x:row r="15">
      <x:c r="A15" s="53" t="str">
        <x:v>Frontier</x:v>
      </x:c>
      <x:c r="B15" s="53" t="str">
        <x:v>MARDU</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outputs/01a02cd6-bce7-7832-9558-3075c52f146a/archscry-current-state-2026-08-22/evidence/engine/traces/mardu.json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b1.hall.pressure.v1.coordinate</x:v>
      </x:c>
      <x:c r="G33" s="53" t="str">
        <x:v>Coordinate one attack</x:v>
      </x:c>
      <x:c r="H33" s="53" t="str">
        <x:v>C07</x:v>
      </x:c>
      <x:c r="I33" s="53" t="str">
        <x:v>SIG_C07_COORDINATED_COMBAT</x:v>
      </x:c>
      <x:c r="J33" s="53" t="str">
        <x:v>DG_C07</x:v>
      </x:c>
      <x:c r="K33" s="53" t="str">
        <x:v>BEHAVIORAL_OBSERVATION</x:v>
      </x:c>
      <x:c r="L33" s="53" t="str">
        <x:v>DUNE | MARDU | WR</x:v>
      </x:c>
      <x:c r="M33" s="53" t="str"/>
      <x:c r="N33" s="53" t="n">
        <x:v>0.5</x:v>
      </x:c>
      <x:c r="O33" s="54" t="b">
        <x:v>0</x:v>
      </x:c>
      <x:c r="P33" s="53" t="str">
        <x:v>REMEDIATION_MAPPING_HYPOTHESIS</x:v>
      </x:c>
      <x:c r="Q33" s="53" t="str">
        <x:v>Prefers formation-based combat pressure during a shared opening.</x:v>
      </x:c>
      <x:c r="R33" s="53" t="str">
        <x:v>The tactically strongest attack may look coordinated without reflecting a stable preference.</x:v>
      </x:c>
      <x:c r="S33" s="53" t="str">
        <x:v>JUND</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b1.hall.commitment.v1.short</x:v>
      </x:c>
      <x:c r="G34" s="53" t="str">
        <x:v>Keep only this opening</x:v>
      </x:c>
      <x:c r="H34" s="53" t="str">
        <x:v>C13</x:v>
      </x:c>
      <x:c r="I34" s="53" t="str">
        <x:v>SIG_C13_BOUNDED</x:v>
      </x:c>
      <x:c r="J34" s="53" t="str">
        <x:v>DG_C13</x:v>
      </x:c>
      <x:c r="K34" s="53" t="str">
        <x:v>BEHAVIORAL_OBSERVATION</x:v>
      </x:c>
      <x:c r="L34" s="53" t="str">
        <x:v>DUNE | MARDU | WR</x:v>
      </x:c>
      <x:c r="M34" s="53" t="str"/>
      <x:c r="N34" s="53" t="n">
        <x:v>1</x:v>
      </x:c>
      <x:c r="O34" s="54" t="b">
        <x:v>1</x:v>
      </x:c>
      <x:c r="P34" s="53" t="str">
        <x:v>REMEDIATION_MAPPING_HYPOTHESIS</x:v>
      </x:c>
      <x:c r="Q34" s="53" t="str">
        <x:v>Prefers bounded coordination tied to the present opening.</x:v>
      </x:c>
      <x:c r="R34" s="53" t="str">
        <x:v>A short deal may be tactically obvious rather than an enduring behavioral preference.</x:v>
      </x:c>
      <x:c r="S34" s="53" t="str">
        <x:v>MARDU</x:v>
      </x:c>
      <x:c r="T34" s="53" t="str">
        <x:v>primary / clear_separation / b1.hall.sacrifice.v1</x:v>
      </x:c>
    </x:row>
    <x:row r="36" ht="28" customHeight="1">
      <x:c r="A36" s="45" t="str">
        <x:v>FINAL CANDIDATE INVENTORY</x:v>
      </x:c>
      <x:c r="B36" s="45"/>
      <x:c r="C36" s="45"/>
      <x:c r="D36" s="45"/>
      <x:c r="E36" s="45"/>
      <x:c r="F36" s="45"/>
      <x:c r="G36" s="45"/>
      <x:c r="H36" s="45"/>
      <x:c r="I36" s="45"/>
      <x:c r="J36" s="45"/>
      <x:c r="K36" s="45"/>
      <x:c r="L36" s="45"/>
      <x:c r="M36" s="45"/>
      <x:c r="N36" s="45"/>
      <x:c r="O36" s="45"/>
      <x:c r="P36" s="45"/>
      <x:c r="Q36" s="45"/>
      <x:c r="R36" s="45"/>
      <x:c r="S36" s="45"/>
      <x:c r="T36" s="45"/>
    </x:row>
    <x:row r="37" ht="28" customHeight="1">
      <x:c r="A37" s="45" t="str">
        <x:v>Rank</x:v>
      </x:c>
      <x:c r="B37" s="45" t="str">
        <x:v>Identity</x:v>
      </x:c>
      <x:c r="C37" s="45" t="str">
        <x:v>Name</x:v>
      </x:c>
      <x:c r="D37" s="45" t="str">
        <x:v>Score</x:v>
      </x:c>
      <x:c r="E37" s="45" t="str">
        <x:v>Qualified</x:v>
      </x:c>
      <x:c r="F37" s="45" t="str">
        <x:v>Positive Constructs</x:v>
      </x:c>
    </x:row>
    <x:row r="38">
      <x:c r="A38" s="53" t="n">
        <x:v>1</x:v>
      </x:c>
      <x:c r="B38" s="53" t="str">
        <x:v>MARDU</x:v>
      </x:c>
      <x:c r="C38" s="53" t="str">
        <x:v>Mardu Horde</x:v>
      </x:c>
      <x:c r="D38" s="53" t="n">
        <x:v>0.8125</x:v>
      </x:c>
      <x:c r="E38" s="54" t="b">
        <x:v>1</x:v>
      </x:c>
      <x:c r="F38" s="53" t="str">
        <x:v>C07 | C13</x:v>
      </x:c>
    </x:row>
    <x:row r="39">
      <x:c r="A39" s="53" t="n">
        <x:v>2</x:v>
      </x:c>
      <x:c r="B39" s="53" t="str">
        <x:v>DUNE</x:v>
      </x:c>
      <x:c r="C39" s="53" t="str">
        <x:v>Dune / Aggression</x:v>
      </x:c>
      <x:c r="D39" s="53" t="n">
        <x:v>0.729167</x:v>
      </x:c>
      <x:c r="E39" s="54" t="b">
        <x:v>0</x:v>
      </x:c>
      <x:c r="F39" s="53" t="str">
        <x:v>C07 | C13</x:v>
      </x:c>
    </x:row>
    <x:row r="40">
      <x:c r="A40" s="53" t="n">
        <x:v>3</x:v>
      </x:c>
      <x:c r="B40" s="53" t="str">
        <x:v>WR</x:v>
      </x:c>
      <x:c r="C40" s="53" t="str">
        <x:v>Boros Legion</x:v>
      </x:c>
      <x:c r="D40" s="53" t="n">
        <x:v>0.729167</x:v>
      </x:c>
      <x:c r="E40" s="54" t="b">
        <x:v>0</x:v>
      </x:c>
      <x:c r="F40" s="53" t="str">
        <x:v>C07 | C13</x:v>
      </x:c>
    </x:row>
    <x:row r="41">
      <x:c r="A41" s="53" t="n">
        <x:v>4</x:v>
      </x:c>
      <x:c r="B41" s="53" t="str">
        <x:v>JUND</x:v>
      </x:c>
      <x:c r="C41" s="53" t="str">
        <x:v>Jund</x:v>
      </x:c>
      <x:c r="D41" s="53" t="n">
        <x:v>0.541667</x:v>
      </x:c>
      <x:c r="E41" s="54" t="b">
        <x:v>0</x:v>
      </x:c>
      <x:c r="F41" s="53" t="str">
        <x:v>C01</x:v>
      </x:c>
    </x:row>
    <x:row r="42">
      <x:c r="A42" s="53" t="n">
        <x:v>5</x:v>
      </x:c>
      <x:c r="B42" s="53" t="str">
        <x:v>R</x:v>
      </x:c>
      <x:c r="C42" s="53" t="str">
        <x:v>Red</x:v>
      </x:c>
      <x:c r="D42" s="53" t="n">
        <x:v>0.541667</x:v>
      </x:c>
      <x:c r="E42" s="54" t="b">
        <x:v>0</x:v>
      </x:c>
      <x:c r="F42" s="53" t="str">
        <x:v>C01</x:v>
      </x:c>
    </x:row>
    <x:row r="43">
      <x:c r="A43" s="53" t="n">
        <x:v>6</x:v>
      </x:c>
      <x:c r="B43" s="53" t="str">
        <x:v>RG</x:v>
      </x:c>
      <x:c r="C43" s="53" t="str">
        <x:v>Gruul Clans</x:v>
      </x:c>
      <x:c r="D43" s="53" t="n">
        <x:v>0.541667</x:v>
      </x:c>
      <x:c r="E43" s="54" t="b">
        <x:v>0</x:v>
      </x:c>
      <x:c r="F43" s="53" t="str">
        <x:v>C01</x:v>
      </x:c>
    </x:row>
    <x:row r="44">
      <x:c r="A44" s="53" t="n">
        <x:v>7</x:v>
      </x:c>
      <x:c r="B44" s="53" t="str">
        <x:v>TEMUR</x:v>
      </x:c>
      <x:c r="C44" s="53" t="str">
        <x:v>Temur Frontier</x:v>
      </x:c>
      <x:c r="D44" s="53" t="n">
        <x:v>0.166667</x:v>
      </x:c>
      <x:c r="E44" s="54" t="b">
        <x:v>0</x:v>
      </x:c>
      <x:c r="F44" s="53" t="str"/>
    </x:row>
    <x:row r="45">
      <x:c r="A45" s="53" t="n">
        <x:v>8</x:v>
      </x:c>
      <x:c r="B45" s="53" t="str">
        <x:v>W</x:v>
      </x:c>
      <x:c r="C45" s="53" t="str">
        <x:v>White</x:v>
      </x:c>
      <x:c r="D45" s="53" t="n">
        <x:v>0.166667</x:v>
      </x:c>
      <x:c r="E45" s="54" t="b">
        <x:v>0</x:v>
      </x:c>
      <x:c r="F45" s="53" t="str"/>
    </x:row>
    <x:row r="46">
      <x:c r="A46" s="53" t="n">
        <x:v>9</x:v>
      </x:c>
      <x:c r="B46" s="53" t="str">
        <x:v>GRIXIS</x:v>
      </x:c>
      <x:c r="C46" s="53" t="str">
        <x:v>Grixis</x:v>
      </x:c>
      <x:c r="D46" s="53" t="n">
        <x:v>0.125</x:v>
      </x:c>
      <x:c r="E46" s="54" t="b">
        <x:v>0</x:v>
      </x:c>
      <x:c r="F46" s="53" t="str"/>
    </x:row>
    <x:row r="47">
      <x:c r="A47" s="53" t="n">
        <x:v>10</x:v>
      </x:c>
      <x:c r="B47" s="53" t="str">
        <x:v>PRISMARI</x:v>
      </x:c>
      <x:c r="C47" s="53" t="str">
        <x:v>Prismari College</x:v>
      </x:c>
      <x:c r="D47" s="53" t="n">
        <x:v>0.083333</x:v>
      </x:c>
      <x:c r="E47" s="54" t="b">
        <x:v>0</x:v>
      </x:c>
      <x:c r="F47" s="53" t="str"/>
    </x:row>
    <x:row r="48">
      <x:c r="A48" s="53" t="n">
        <x:v>11</x:v>
      </x:c>
      <x:c r="B48" s="53" t="str">
        <x:v>ABZAN</x:v>
      </x:c>
      <x:c r="C48" s="53" t="str">
        <x:v>Abzan Houses</x:v>
      </x:c>
      <x:c r="D48" s="53" t="n">
        <x:v>0.083333</x:v>
      </x:c>
      <x:c r="E48" s="54" t="b">
        <x:v>0</x:v>
      </x:c>
      <x:c r="F48" s="53" t="str"/>
    </x:row>
    <x:row r="49">
      <x:c r="A49" s="53" t="n">
        <x:v>12</x:v>
      </x:c>
      <x:c r="B49" s="53" t="str">
        <x:v>BR</x:v>
      </x:c>
      <x:c r="C49" s="53" t="str">
        <x:v>Cult of Rakdos</x:v>
      </x:c>
      <x:c r="D49" s="53" t="n">
        <x:v>0.083333</x:v>
      </x:c>
      <x:c r="E49" s="54" t="b">
        <x:v>0</x:v>
      </x:c>
      <x:c r="F49" s="53" t="str"/>
    </x:row>
    <x:row r="50">
      <x:c r="A50" s="53" t="n">
        <x:v>13</x:v>
      </x:c>
      <x:c r="B50" s="53" t="str">
        <x:v>GLINT</x:v>
      </x:c>
      <x:c r="C50" s="53" t="str">
        <x:v>Glint / Chaos</x:v>
      </x:c>
      <x:c r="D50" s="53" t="n">
        <x:v>0.083333</x:v>
      </x:c>
      <x:c r="E50" s="54" t="b">
        <x:v>0</x:v>
      </x:c>
      <x:c r="F50" s="53" t="str"/>
    </x:row>
    <x:row r="51">
      <x:c r="A51" s="53" t="n">
        <x:v>14</x:v>
      </x:c>
      <x:c r="B51" s="53" t="str">
        <x:v>INK</x:v>
      </x:c>
      <x:c r="C51" s="53" t="str">
        <x:v>Ink / Altruism</x:v>
      </x:c>
      <x:c r="D51" s="53" t="n">
        <x:v>0.083333</x:v>
      </x:c>
      <x:c r="E51" s="54" t="b">
        <x:v>0</x:v>
      </x:c>
      <x:c r="F51" s="53" t="str"/>
    </x:row>
    <x:row r="52">
      <x:c r="A52" s="53" t="n">
        <x:v>15</x:v>
      </x:c>
      <x:c r="B52" s="53" t="str">
        <x:v>NAYA</x:v>
      </x:c>
      <x:c r="C52" s="53" t="str">
        <x:v>Naya</x:v>
      </x:c>
      <x:c r="D52" s="53" t="n">
        <x:v>0.083333</x:v>
      </x:c>
      <x:c r="E52" s="54" t="b">
        <x:v>0</x:v>
      </x:c>
      <x:c r="F52" s="53" t="str"/>
    </x:row>
    <x:row r="53">
      <x:c r="A53" s="53" t="n">
        <x:v>16</x:v>
      </x:c>
      <x:c r="B53" s="53" t="str">
        <x:v>SILVERQUILL</x:v>
      </x:c>
      <x:c r="C53" s="53" t="str">
        <x:v>Silverquill College</x:v>
      </x:c>
      <x:c r="D53" s="53" t="n">
        <x:v>0.083333</x:v>
      </x:c>
      <x:c r="E53" s="54" t="b">
        <x:v>0</x:v>
      </x:c>
      <x:c r="F53" s="53" t="str"/>
    </x:row>
    <x:row r="54">
      <x:c r="A54" s="53" t="n">
        <x:v>17</x:v>
      </x:c>
      <x:c r="B54" s="53" t="str">
        <x:v>UR</x:v>
      </x:c>
      <x:c r="C54" s="53" t="str">
        <x:v>Izzet League</x:v>
      </x:c>
      <x:c r="D54" s="53" t="n">
        <x:v>0.083333</x:v>
      </x:c>
      <x:c r="E54" s="54" t="b">
        <x:v>0</x:v>
      </x:c>
      <x:c r="F54" s="53" t="str"/>
    </x:row>
    <x:row r="55">
      <x:c r="A55" s="53" t="n">
        <x:v>18</x:v>
      </x:c>
      <x:c r="B55" s="53" t="str">
        <x:v>WB</x:v>
      </x:c>
      <x:c r="C55" s="53" t="str">
        <x:v>Orzhov Syndicate</x:v>
      </x:c>
      <x:c r="D55" s="53" t="n">
        <x:v>0.083333</x:v>
      </x:c>
      <x:c r="E55" s="54" t="b">
        <x:v>0</x:v>
      </x:c>
      <x:c r="F55" s="53" t="str"/>
    </x:row>
    <x:row r="56">
      <x:c r="A56" s="53" t="n">
        <x:v>19</x:v>
      </x:c>
      <x:c r="B56" s="53" t="str">
        <x:v>WG</x:v>
      </x:c>
      <x:c r="C56" s="53" t="str">
        <x:v>Selesnya Conclave</x:v>
      </x:c>
      <x:c r="D56" s="53" t="n">
        <x:v>0.083333</x:v>
      </x:c>
      <x:c r="E56" s="54" t="b">
        <x:v>0</x:v>
      </x:c>
      <x:c r="F56" s="53" t="str"/>
    </x:row>
    <x:row r="57">
      <x:c r="A57" s="53" t="n">
        <x:v>20</x:v>
      </x:c>
      <x:c r="B57" s="53" t="str">
        <x:v>JESKAI</x:v>
      </x:c>
      <x:c r="C57" s="53" t="str">
        <x:v>Jeskai Way</x:v>
      </x:c>
      <x:c r="D57" s="53" t="n">
        <x:v>0.0625</x:v>
      </x:c>
      <x:c r="E57" s="54" t="b">
        <x:v>0</x:v>
      </x:c>
      <x:c r="F57" s="53" t="str"/>
    </x:row>
    <x:row r="58">
      <x:c r="A58" s="53" t="n">
        <x:v>21</x:v>
      </x:c>
      <x:c r="B58" s="53" t="str">
        <x:v>U</x:v>
      </x:c>
      <x:c r="C58" s="53" t="str">
        <x:v>Blue</x:v>
      </x:c>
      <x:c r="D58" s="53" t="n">
        <x:v>0.0625</x:v>
      </x:c>
      <x:c r="E58" s="54" t="b">
        <x:v>0</x:v>
      </x:c>
      <x:c r="F58" s="53" t="str"/>
    </x:row>
    <x:row r="59">
      <x:c r="A59" s="53" t="n">
        <x:v>22</x:v>
      </x:c>
      <x:c r="B59" s="53" t="str">
        <x:v>UB</x:v>
      </x:c>
      <x:c r="C59" s="53" t="str">
        <x:v>House Dimir</x:v>
      </x:c>
      <x:c r="D59" s="53" t="n">
        <x:v>0.0625</x:v>
      </x:c>
      <x:c r="E59" s="54" t="b">
        <x:v>0</x:v>
      </x:c>
      <x:c r="F59" s="53" t="str"/>
    </x:row>
    <x:row r="60">
      <x:c r="A60" s="53" t="n">
        <x:v>23</x:v>
      </x:c>
      <x:c r="B60" s="53" t="str">
        <x:v>WU</x:v>
      </x:c>
      <x:c r="C60" s="53" t="str">
        <x:v>Azorius Senate</x:v>
      </x:c>
      <x:c r="D60" s="53" t="n">
        <x:v>0.0625</x:v>
      </x:c>
      <x:c r="E60" s="54" t="b">
        <x:v>0</x:v>
      </x:c>
      <x:c r="F60" s="53" t="str"/>
    </x:row>
    <x:row r="61">
      <x:c r="A61" s="53" t="n">
        <x:v>24</x:v>
      </x:c>
      <x:c r="B61" s="53" t="str">
        <x:v>B</x:v>
      </x:c>
      <x:c r="C61" s="53" t="str">
        <x:v>Black</x:v>
      </x:c>
      <x:c r="D61" s="53" t="n">
        <x:v>0</x:v>
      </x:c>
      <x:c r="E61" s="54" t="b">
        <x:v>0</x:v>
      </x:c>
      <x:c r="F61" s="53" t="str"/>
    </x:row>
    <x:row r="62">
      <x:c r="A62" s="53" t="n">
        <x:v>25</x:v>
      </x:c>
      <x:c r="B62" s="53" t="str">
        <x:v>BANT</x:v>
      </x:c>
      <x:c r="C62" s="53" t="str">
        <x:v>Bant</x:v>
      </x:c>
      <x:c r="D62" s="53" t="n">
        <x:v>0</x:v>
      </x:c>
      <x:c r="E62" s="54" t="b">
        <x:v>0</x:v>
      </x:c>
      <x:c r="F62" s="53" t="str"/>
    </x:row>
    <x:row r="63">
      <x:c r="A63" s="53" t="n">
        <x:v>26</x:v>
      </x:c>
      <x:c r="B63" s="53" t="str">
        <x:v>BG</x:v>
      </x:c>
      <x:c r="C63" s="53" t="str">
        <x:v>Golgari Swarm</x:v>
      </x:c>
      <x:c r="D63" s="53" t="n">
        <x:v>0</x:v>
      </x:c>
      <x:c r="E63" s="54" t="b">
        <x:v>0</x:v>
      </x:c>
      <x:c r="F63" s="53" t="str"/>
    </x:row>
    <x:row r="64">
      <x:c r="A64" s="53" t="n">
        <x:v>27</x:v>
      </x:c>
      <x:c r="B64" s="53" t="str">
        <x:v>COLORLESS</x:v>
      </x:c>
      <x:c r="C64" s="53" t="str">
        <x:v>Colorless</x:v>
      </x:c>
      <x:c r="D64" s="53" t="n">
        <x:v>0</x:v>
      </x:c>
      <x:c r="E64" s="54" t="b">
        <x:v>0</x:v>
      </x:c>
      <x:c r="F64" s="53" t="str"/>
    </x:row>
    <x:row r="65">
      <x:c r="A65" s="53" t="n">
        <x:v>28</x:v>
      </x:c>
      <x:c r="B65" s="53" t="str">
        <x:v>ESPER</x:v>
      </x:c>
      <x:c r="C65" s="53" t="str">
        <x:v>Esper</x:v>
      </x:c>
      <x:c r="D65" s="53" t="n">
        <x:v>0</x:v>
      </x:c>
      <x:c r="E65" s="54" t="b">
        <x:v>0</x:v>
      </x:c>
      <x:c r="F65" s="53" t="str"/>
    </x:row>
    <x:row r="66">
      <x:c r="A66" s="53" t="n">
        <x:v>29</x:v>
      </x:c>
      <x:c r="B66" s="53" t="str">
        <x:v>G</x:v>
      </x:c>
      <x:c r="C66" s="53" t="str">
        <x:v>Green</x:v>
      </x:c>
      <x:c r="D66" s="53" t="n">
        <x:v>0</x:v>
      </x:c>
      <x:c r="E66" s="54" t="b">
        <x:v>0</x:v>
      </x:c>
      <x:c r="F66" s="53" t="str"/>
    </x:row>
    <x:row r="67">
      <x:c r="A67" s="53" t="n">
        <x:v>30</x:v>
      </x:c>
      <x:c r="B67" s="53" t="str">
        <x:v>LOREHOLD</x:v>
      </x:c>
      <x:c r="C67" s="53" t="str">
        <x:v>Lorehold College</x:v>
      </x:c>
      <x:c r="D67" s="53" t="n">
        <x:v>0</x:v>
      </x:c>
      <x:c r="E67" s="54" t="b">
        <x:v>0</x:v>
      </x:c>
      <x:c r="F67" s="53" t="str"/>
    </x:row>
    <x:row r="68">
      <x:c r="A68" s="53" t="n">
        <x:v>31</x:v>
      </x:c>
      <x:c r="B68" s="53" t="str">
        <x:v>QUANDRIX</x:v>
      </x:c>
      <x:c r="C68" s="53" t="str">
        <x:v>Quandrix College</x:v>
      </x:c>
      <x:c r="D68" s="53" t="n">
        <x:v>0</x:v>
      </x:c>
      <x:c r="E68" s="54" t="b">
        <x:v>0</x:v>
      </x:c>
      <x:c r="F68" s="53" t="str"/>
    </x:row>
    <x:row r="69">
      <x:c r="A69" s="53" t="n">
        <x:v>32</x:v>
      </x:c>
      <x:c r="B69" s="53" t="str">
        <x:v>SULTAI</x:v>
      </x:c>
      <x:c r="C69" s="53" t="str">
        <x:v>Sultai Brood</x:v>
      </x:c>
      <x:c r="D69" s="53" t="n">
        <x:v>0</x:v>
      </x:c>
      <x:c r="E69" s="54" t="b">
        <x:v>0</x:v>
      </x:c>
      <x:c r="F69" s="53" t="str"/>
    </x:row>
    <x:row r="70">
      <x:c r="A70" s="53" t="n">
        <x:v>33</x:v>
      </x:c>
      <x:c r="B70" s="53" t="str">
        <x:v>UG</x:v>
      </x:c>
      <x:c r="C70" s="53" t="str">
        <x:v>Simic Combine</x:v>
      </x:c>
      <x:c r="D70" s="53" t="n">
        <x:v>0</x:v>
      </x:c>
      <x:c r="E70" s="54" t="b">
        <x:v>0</x:v>
      </x:c>
      <x:c r="F70" s="53" t="str"/>
    </x:row>
    <x:row r="71">
      <x:c r="A71" s="53" t="n">
        <x:v>34</x:v>
      </x:c>
      <x:c r="B71" s="53" t="str">
        <x:v>WITCH</x:v>
      </x:c>
      <x:c r="C71" s="53" t="str">
        <x:v>Witch / Growth</x:v>
      </x:c>
      <x:c r="D71" s="53" t="n">
        <x:v>0</x:v>
      </x:c>
      <x:c r="E71" s="54" t="b">
        <x:v>0</x:v>
      </x:c>
      <x:c r="F71" s="53" t="str"/>
    </x:row>
    <x:row r="72">
      <x:c r="A72" s="53" t="n">
        <x:v>35</x:v>
      </x:c>
      <x:c r="B72" s="53" t="str">
        <x:v>WITHERBLOOM</x:v>
      </x:c>
      <x:c r="C72" s="53" t="str">
        <x:v>Witherbloom College</x:v>
      </x:c>
      <x:c r="D72" s="53" t="n">
        <x:v>0</x:v>
      </x:c>
      <x:c r="E72" s="54" t="b">
        <x:v>0</x:v>
      </x:c>
      <x:c r="F72" s="53" t="str"/>
    </x:row>
    <x:row r="73">
      <x:c r="A73" s="53" t="n">
        <x:v>36</x:v>
      </x:c>
      <x:c r="B73" s="53" t="str">
        <x:v>WUBRG</x:v>
      </x:c>
      <x:c r="C73" s="53" t="str">
        <x:v>Five-Color / WUBRG</x:v>
      </x:c>
      <x:c r="D73" s="53" t="n">
        <x:v>0</x:v>
      </x:c>
      <x:c r="E73" s="54" t="b">
        <x:v>0</x:v>
      </x:c>
      <x:c r="F73" s="53" t="str"/>
    </x:row>
    <x:row r="74">
      <x:c r="A74" s="53" t="n">
        <x:v>37</x:v>
      </x:c>
      <x:c r="B74" s="53" t="str">
        <x:v>YORE</x:v>
      </x:c>
      <x:c r="C74" s="53" t="str">
        <x:v>Yore / Artifice</x:v>
      </x:c>
      <x:c r="D74" s="53" t="n">
        <x:v>0</x:v>
      </x:c>
      <x:c r="E74" s="54" t="b">
        <x:v>0</x:v>
      </x:c>
      <x:c r="F74" s="53" t="str"/>
    </x:row>
    <x:row r="76" ht="28" customHeight="1">
      <x:c r="A76" s="45" t="str">
        <x:v>FINAL RESULT JSON — CHUNKED ONLY FOR XLSX CELL LIMIT</x:v>
      </x:c>
      <x:c r="B76" s="45"/>
      <x:c r="C76" s="45"/>
      <x:c r="D76" s="45"/>
      <x:c r="E76" s="45"/>
      <x:c r="F76" s="45"/>
      <x:c r="G76" s="45"/>
      <x:c r="H76" s="45"/>
      <x:c r="I76" s="45"/>
      <x:c r="J76" s="45"/>
      <x:c r="K76" s="45"/>
      <x:c r="L76" s="45"/>
      <x:c r="M76" s="45"/>
      <x:c r="N76" s="45"/>
      <x:c r="O76" s="45"/>
      <x:c r="P76" s="45"/>
      <x:c r="Q76" s="45"/>
      <x:c r="R76" s="45"/>
      <x:c r="S76" s="45"/>
      <x:c r="T76" s="45"/>
    </x:row>
    <x:row r="77">
      <x:c r="A77" s="53" t="str">
        <x:v>Part 1/3</x:v>
      </x:c>
      <x:c r="B77" s="53" t="str">
        <x:v>{
  "version": "2026-08-09-gate-b1-v1",
  "model_version": "vm551-gate-b1-placement-engine-v1",
  "instrument_version": "vm551-gate-b1-instrument-v2",
  "mapping_version": "vm551-gate-b1-mapping-v2-instrument-completion",
  "source_mode": "quick",
  "faction": "MARDU",
  "faction_name": "Mardu Horde",
  "institution_type": "wedge",
  "world": "Tarkir",
  "identity": {
    "core_color": "R",
    "secondary_colors": [
      "W",
      "B"
    ],
    "secondary_color": "W",
    "expression_key": "MARDU",
    "expression_name": "Mardu Horde",
    "expression_kind": "wedge",
    "purity": null,
    "routing": {
      "color_identity": "RWB",
      "label": "Mardu"
    }
  },
  "decree": "Mardu Horde is the clearest current fit from the approved observations.",
  "confidence": 0.047,
  "confidence_gap": 1,
  "mana_scores": {
    "W": 9,
    "U": 8,
    "B": 9,
    "R": 10,
    "G": 9
  },
  "top_matches": [
    {
      "rank": 1,
      "faction": "MARDU",
      "faction_name": "Mardu Horde",
      "institution_type": "wedge",
      "world": "Tarkir",
      "identity": {
        "core_color": "R",
        "secondary_colors": [
          "W",
          "B"
        ],
        "secondary_color": "W",
        "expression_key": "MARDU",
        "expression_name": "Mardu Horde",
        "expression_kind": "wedge",
        "purity": null,
        "routing": {
          "color_identity": "RWB",
          "label": "Mardu"
        }
      },
      "score": 0.8125,
      "confidence": 0.047,
      "reason": "Mardu Horde remained plausible through C01, C07, C13; identity mapping remains a hypothesis."
    }
  ],
  "adjacent_matches": [],
  "internal_candidate_order": [
    {
      "identity": "MARDU",
      "score": 0.8125,
      "positive_dependencies": 2,
      "qualification_dependencies": 2,
      "naming_dependencies": 1,
      "positive_constructs": [
        "C07",
        "C13"
      ],
      "satisfied_naming_rule_ids": [
        "instrument_completion_overlay:b1.hall.commitment.v1.short:MARDU"
      ],
      "naming_qualification": {
        "identity": "MARDU",
        "qualified": true,
        "satisfied_naming_rule_ids": [
          "instrument_completion_overlay:b1.hall.commitment.v1.short:MARDU"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"DUNE",
      "score": 0.729167,
      "positive_dependencies": 2,
      "qualification_dependencies": 2,
      "naming_dependencies": 0,
      "positive_constructs": [
        "C07",
        "C13"
      ],
      "satisfied_naming_rule_ids": [],
      "naming_qualification": {
        "identity": "DUNE",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"WR",
      "score": 0.729167,
      "positive_dependencies": 2,
      "qualification_dependencies": 2,
      "naming_dependencies": 0,
      "positive_constructs": [
        "C07",
        "C13"
      ],
      "satisfied_naming_rule_ids": [],
      "naming_qualification": {
        "identity": "WR",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x:v>
      </x:c>
    </x:row>
    <x:row r="78">
      <x:c r="A78" s="53" t="str">
        <x:v>Part 2/3</x:v>
      </x:c>
      <x:c r="B78" s="53" t="str">
        <x:v>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"MARDU",
    "DUNE",
    "WR",
    "JUND",
    "R",
    "RG"
  ],
  "alternatives": [],
  "refinement": {
    "kind": "revisit_prior_answer",
    "can_reduce_ambiguity": true,
    "remaining_candidates": [
      "MARDU",
      "DUNE",
      "WR",
      "JUND",
      "R",
      "RG"
    ],
    "unresolved_boundaries": [
      {
        "pair_id": "MARDU__R",
        "identities": [
          "MARDU",
          "R"
        ],
        "distinction": "MARDU uses Pressure channel evidence; R uses Advantage tempo evidence. No direct pair claim is made.",
        "question_ids": [
          "b1.hall.pressure.v1",
          "b1.gate.tempo.v1",
          "b1.crucible.mono-multi.v1",
          "b1.gate.initiative.v1",
          "b1.hall.commitment.v1",
          "b1.crucible.disruption-boundary.v1"
        ],
        "coverage_status": "DIRECT-OR-STRUCTURAL-MAPPING-HYPOTHESIS; bounded player validation required"
      }
    ],
    "missing_constructs": [
      "C03",
      "C11",
      "C12"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true,
    "next_question_id": "b1.hall.sacrifice.v1"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"answer_title": "Coordinate one attack",
      "prompt": "The player ahead uses all their mana and leaves one turn where the table can take control. Which kind of pressure do you want your deck to create?",
      "observation": "Prefers formation-based combat pressure during a shared opening.",
      "deltas": [
        {
          "faction": "DUNE",
          "delta": 0.5
        },
        {
          "faction": "MARDU",
          "delta": 0.5
        },
        {
          "faction": "WR",
          "delta": 0.5
        }
      ]
    },
    {
      "question_id": "b1.hall.commitment.v1",
      "answer_id": "b1.hall.commitment.v1.short",
      "stage": "hall",
      "construct": "C13",
      "bounded_observation": "Prefers bounded coordination tied to the present opening.",
      "signal": "SIG_C13_BOUNDED",
      "dependency_group": "DG_C13",
      "evidence_class":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"answer_title": "Keep only this opening",
      "prompt": "The table agrees to stop a repeatable threat. Before your next turn, the board changes and that threat is weaker but still present. What should the agreement require now?",
      "observation": "Prefers bounded coordination tied to the present opening.",
      "deltas": [
        {
          "faction": "DUNE",
          "delta": 1
        },
        {
          "faction": "MARDU",
          "delta": 1
        },
        {
          "faction": "WR",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
    {
      "question_id": "b1.hall.commitment.v1",
      "answer_id": "b1.hall.commitment.v1.short",
      "stage": "hall",
      "construct": "C13",
      "bounded_observation": "Prefers bounded coordination tied to the present opening.",
      "signal": "SIG_C13_BOUNDED",
      "dependency_group": "DG_C13",
      "evidenc</x:v>
      </x:c>
    </x:row>
    <x:row r="79">
      <x:c r="A79" s="53" t="str">
        <x:v>Part 3/3</x:v>
      </x:c>
      <x:c r="B79" s="53" t="str">
        <x:v>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"b1.hall.pressure.v1.coordinate",
      "stage": "hall",
      "evidence_class": "BEHAVIORAL_OBSERVATION"
    },
    {
      "question_id": "b1.hall.commitment.v1",
      "answer_id": "b1.hall.commitment.v1.short",
      "stage": "hall",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6:T36"/>
    <x:mergeCell ref="A76:T76"/>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Sultai Brood — Engine Trace</x:v>
      </x:c>
      <x:c r="B1" s="3"/>
      <x:c r="C1" s="3"/>
      <x:c r="D1" s="3"/>
      <x:c r="E1" s="3"/>
      <x:c r="F1" s="3"/>
      <x:c r="G1" s="3"/>
      <x:c r="H1" s="3"/>
      <x:c r="I1" s="3"/>
      <x:c r="J1" s="3"/>
      <x:c r="K1" s="3"/>
      <x:c r="L1" s="3"/>
      <x:c r="M1" s="3"/>
      <x:c r="N1" s="3"/>
      <x:c r="O1" s="3"/>
      <x:c r="P1" s="3"/>
      <x:c r="Q1" s="3"/>
      <x:c r="R1" s="3"/>
      <x:c r="S1" s="3"/>
      <x:c r="T1" s="3"/>
    </x:row>
    <x:row r="2" ht="30" customHeight="1">
      <x:c r="A2" s="7" t="str">
        <x:v>ENGINE-SULTAI • PASS_MATCH • primary • trace 218c8a4b51478bfd10a8cb27e8f0fefd4817d394701800fee836f317ab6ce552</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SULTAI</x:v>
      </x:c>
    </x:row>
    <x:row r="6">
      <x:c r="A6" s="53" t="str">
        <x:v>Expected public contract</x:v>
      </x:c>
      <x:c r="B6" s="53" t="str">
        <x:v>NAMED_DOSSIER</x:v>
      </x:c>
    </x:row>
    <x:row r="7">
      <x:c r="A7" s="53" t="str">
        <x:v>Witness status</x:v>
      </x:c>
      <x:c r="B7" s="53" t="str">
        <x:v>CURRENT_COMPATIBLE</x:v>
      </x:c>
    </x:row>
    <x:row r="8">
      <x:c r="A8" s="53" t="str">
        <x:v>Actual result</x:v>
      </x:c>
      <x:c r="B8" s="53" t="str">
        <x:v>SULTAI</x:v>
      </x:c>
    </x:row>
    <x:row r="9">
      <x:c r="A9" s="53" t="str">
        <x:v>Directional result</x:v>
      </x:c>
      <x:c r="B9" s="53" t="str">
        <x:v>SULTAI</x:v>
      </x:c>
    </x:row>
    <x:row r="10">
      <x:c r="A10" s="53" t="str">
        <x:v>Public state</x:v>
      </x:c>
      <x:c r="B10" s="53" t="str">
        <x:v>current-best-fit</x:v>
      </x:c>
    </x:row>
    <x:row r="11">
      <x:c r="A11" s="53" t="str">
        <x:v>Raw numeric leader</x:v>
      </x:c>
      <x:c r="B11" s="53" t="str">
        <x:v>SULTAI</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SULTAI</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outputs/01a02cd6-bce7-7832-9558-3075c52f146a/archscry-current-state-2026-08-22/evidence/engine/traces/sultai.json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JUND</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JUND</x:v>
      </x:c>
      <x:c r="T33" s="53" t="str">
        <x:v>incomplete / minimum_questions / b1.hall.sacrifice.v1</x:v>
      </x:c>
    </x:row>
    <x:row r="34">
      <x:c r="A34" s="53" t="n">
        <x:v>6</x:v>
      </x:c>
      <x:c r="B34" s="53" t="str">
        <x:v>main</x:v>
      </x:c>
      <x:c r="C34" s="53" t="str">
        <x:v>hall</x:v>
      </x:c>
      <x:c r="D34" s="53" t="str">
        <x:v>b1.hall.sacrifice.v1</x:v>
      </x:c>
      <x:c r="E34" s="53" t="str">
        <x:v>You can give up a useful permanent now for cards or another lasting resource. What feels natural?</x:v>
      </x:c>
      <x:c r="F34" s="53" t="str">
        <x:v>b1.hall.sacrifice.v1.convert</x:v>
      </x:c>
      <x:c r="G34" s="53" t="str">
        <x:v>Spend it for the next advantage</x:v>
      </x:c>
      <x:c r="H34" s="53" t="str">
        <x:v>C12</x:v>
      </x:c>
      <x:c r="I34" s="53" t="str">
        <x:v>SIG_C12_CONVERT</x:v>
      </x:c>
      <x:c r="J34" s="53" t="str">
        <x:v>DG_C12</x:v>
      </x:c>
      <x:c r="K34" s="53" t="str">
        <x:v>BEHAVIORAL_OBSERVATION</x:v>
      </x:c>
      <x:c r="L34" s="53" t="str">
        <x:v>B | JUND</x:v>
      </x:c>
      <x:c r="M34" s="53" t="str"/>
      <x:c r="N34" s="53" t="n">
        <x:v>0.5</x:v>
      </x:c>
      <x:c r="O34" s="54" t="b">
        <x:v>0</x:v>
      </x:c>
      <x:c r="P34" s="53" t="str">
        <x:v>REMEDIATION_MAPPING_HYPOTHESIS</x:v>
      </x:c>
      <x:c r="Q34" s="53" t="str">
        <x:v>Prefers voluntary resource conversion.</x:v>
      </x:c>
      <x:c r="R34" s="53" t="str">
        <x:v>Observation wording and identity association require player validation; no weight is authorized.</x:v>
      </x:c>
      <x:c r="S34" s="53" t="str">
        <x:v>JUND</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b1.hall.engine-shape.v1.purpose</x:v>
      </x:c>
      <x:c r="G35" s="53" t="str">
        <x:v>Keep the goal, change the tool</x:v>
      </x:c>
      <x:c r="H35" s="53" t="str">
        <x:v>C06</x:v>
      </x:c>
      <x:c r="I35" s="53" t="str">
        <x:v>SIG_C06_FLEXIBLE_ROUTE</x:v>
      </x:c>
      <x:c r="J35" s="53" t="str">
        <x:v>DG_C06</x:v>
      </x:c>
      <x:c r="K35" s="53" t="str">
        <x:v>BEHAVIORAL_OBSERVATION</x:v>
      </x:c>
      <x:c r="L35" s="53" t="str">
        <x:v>SULTAI | UB | WUBRG</x:v>
      </x:c>
      <x:c r="M35" s="53" t="str"/>
      <x:c r="N35" s="53" t="n">
        <x:v>0.5</x:v>
      </x:c>
      <x:c r="O35" s="54" t="b">
        <x:v>0</x:v>
      </x:c>
      <x:c r="P35" s="53" t="str">
        <x:v>REMEDIATION_MAPPING_HYPOTHESIS</x:v>
      </x:c>
      <x:c r="Q35" s="53" t="str">
        <x:v>Prefers a stable purpose with flexible implementation routes.</x:v>
      </x:c>
      <x:c r="R35" s="53" t="str">
        <x:v>Flexible tools can be a response to a varied metagame rather than a stable preference.</x:v>
      </x:c>
      <x:c r="S35" s="53" t="str">
        <x:v>JUND</x:v>
      </x:c>
      <x:c r="T35" s="53" t="str">
        <x:v>incomplete / useful_evidence_remains / b1.crucible.disruption-boundary.v1</x:v>
      </x:c>
    </x:row>
    <x:row r="36">
      <x:c r="A36" s="53" t="n">
        <x:v>8</x:v>
      </x:c>
      <x:c r="B36" s="53" t="str">
        <x:v>main</x:v>
      </x:c>
      <x:c r="C36" s="53" t="str">
        <x:v>crucible</x:v>
      </x:c>
      <x:c r="D36" s="53" t="str">
        <x:v>b1.crucible.disruption-boundary.v1</x:v>
      </x:c>
      <x:c r="E36" s="53" t="str">
        <x:v>An opponent removes the piece your deck was built around after using most of their mana and cards. Your turn begins with the rest of your board still available. What do you try first?</x:v>
      </x:c>
      <x:c r="F36" s="53" t="str">
        <x:v>b1.crucible.disruption-boundary.v1.preserve</x:v>
      </x:c>
      <x:c r="G36" s="53" t="str">
        <x:v>Keep the protection intact</x:v>
      </x:c>
      <x:c r="H36" s="53" t="str">
        <x:v>C03</x:v>
      </x:c>
      <x:c r="I36" s="53" t="str">
        <x:v>SIG_C03_PROTECT</x:v>
      </x:c>
      <x:c r="J36" s="53" t="str">
        <x:v>DG_C03</x:v>
      </x:c>
      <x:c r="K36" s="53" t="str">
        <x:v>BEHAVIORAL_OBSERVATION</x:v>
      </x:c>
      <x:c r="L36" s="53" t="str"/>
      <x:c r="M36" s="53" t="str"/>
      <x:c r="N36" s="53" t="n">
        <x:v>0</x:v>
      </x:c>
      <x:c r="O36" s="54" t="b">
        <x:v>0</x:v>
      </x:c>
      <x:c r="P36" s="53" t="str">
        <x:v>OBSERVATION_ONLY</x:v>
      </x:c>
      <x:c r="Q36" s="53" t="str">
        <x:v>Prioritizes continuity through remaining protection.</x:v>
      </x:c>
      <x:c r="R36" s="53" t="str">
        <x:v>The remaining protection may simply be the strongest available line.</x:v>
      </x:c>
      <x:c r="S36" s="53" t="str">
        <x:v>JUND</x:v>
      </x:c>
      <x:c r="T36" s="53" t="str">
        <x:v>insufficient / no_responsible_named_placement / </x:v>
      </x:c>
    </x:row>
    <x:row r="37">
      <x:c r="A37" s="53" t="n">
        <x:v>9</x:v>
      </x:c>
      <x:c r="B37" s="53" t="str">
        <x:v>refinement</x:v>
      </x:c>
      <x:c r="C37" s="53" t="str">
        <x:v>crucible</x:v>
      </x:c>
      <x:c r="D37" s="53" t="str">
        <x:v>b1.crucible.sultai.v1</x:v>
      </x:c>
      <x:c r="E37" s="53" t="str">
        <x:v>A creature, a card, and some life could each become fuel. How should the deck use them?</x:v>
      </x:c>
      <x:c r="F37" s="53" t="str">
        <x:v>b1.crucible.sultai.v1.best</x:v>
      </x:c>
      <x:c r="G37" s="53" t="str">
        <x:v>Convert whichever matters least</x:v>
      </x:c>
      <x:c r="H37" s="53" t="str">
        <x:v>C12</x:v>
      </x:c>
      <x:c r="I37" s="53" t="str">
        <x:v>SIG_C12_CONVERT</x:v>
      </x:c>
      <x:c r="J37" s="53" t="str">
        <x:v>DG_C12</x:v>
      </x:c>
      <x:c r="K37" s="53" t="str">
        <x:v>BEHAVIORAL_OBSERVATION</x:v>
      </x:c>
      <x:c r="L37" s="53" t="str">
        <x:v>SULTAI</x:v>
      </x:c>
      <x:c r="M37" s="53" t="str"/>
      <x:c r="N37" s="53" t="n">
        <x:v>1</x:v>
      </x:c>
      <x:c r="O37" s="54" t="b">
        <x:v>1</x:v>
      </x:c>
      <x:c r="P37" s="53" t="str">
        <x:v>MAPPING_HYPOTHESIS</x:v>
      </x:c>
      <x:c r="Q37" s="53" t="str">
        <x:v>Prefers flexible cross-resource conversion.</x:v>
      </x:c>
      <x:c r="R37" s="53" t="str">
        <x:v>Use only after prior independent observations leave the stated competitor boundary plausible; the identity association requires player validation.</x:v>
      </x:c>
      <x:c r="S37" s="53" t="str">
        <x:v>SULTAI</x:v>
      </x:c>
      <x:c r="T37" s="53" t="str">
        <x:v>primary / clear_separation / </x:v>
      </x:c>
    </x:row>
    <x:row r="39" ht="28" customHeight="1">
      <x:c r="A39" s="45" t="str">
        <x:v>FINAL CANDIDATE INVENTORY</x:v>
      </x:c>
      <x:c r="B39" s="45"/>
      <x:c r="C39" s="45"/>
      <x:c r="D39" s="45"/>
      <x:c r="E39" s="45"/>
      <x:c r="F39" s="45"/>
      <x:c r="G39" s="45"/>
      <x:c r="H39" s="45"/>
      <x:c r="I39" s="45"/>
      <x:c r="J39" s="45"/>
      <x:c r="K39" s="45"/>
      <x:c r="L39" s="45"/>
      <x:c r="M39" s="45"/>
      <x:c r="N39" s="45"/>
      <x:c r="O39" s="45"/>
      <x:c r="P39" s="45"/>
      <x:c r="Q39" s="45"/>
      <x:c r="R39" s="45"/>
      <x:c r="S39" s="45"/>
      <x:c r="T39" s="45"/>
    </x:row>
    <x:row r="40" ht="28" customHeight="1">
      <x:c r="A40" s="45" t="str">
        <x:v>Rank</x:v>
      </x:c>
      <x:c r="B40" s="45" t="str">
        <x:v>Identity</x:v>
      </x:c>
      <x:c r="C40" s="45" t="str">
        <x:v>Name</x:v>
      </x:c>
      <x:c r="D40" s="45" t="str">
        <x:v>Score</x:v>
      </x:c>
      <x:c r="E40" s="45" t="str">
        <x:v>Qualified</x:v>
      </x:c>
      <x:c r="F40" s="45" t="str">
        <x:v>Positive Constructs</x:v>
      </x:c>
    </x:row>
    <x:row r="41">
      <x:c r="A41" s="53" t="n">
        <x:v>1</x:v>
      </x:c>
      <x:c r="B41" s="53" t="str">
        <x:v>SULTAI</x:v>
      </x:c>
      <x:c r="C41" s="53" t="str">
        <x:v>Sultai Brood</x:v>
      </x:c>
      <x:c r="D41" s="53" t="n">
        <x:v>0.729167</x:v>
      </x:c>
      <x:c r="E41" s="54" t="b">
        <x:v>1</x:v>
      </x:c>
      <x:c r="F41" s="53" t="str">
        <x:v>C06 | C12</x:v>
      </x:c>
    </x:row>
    <x:row r="42">
      <x:c r="A42" s="53" t="n">
        <x:v>2</x:v>
      </x:c>
      <x:c r="B42" s="53" t="str">
        <x:v>JUND</x:v>
      </x:c>
      <x:c r="C42" s="53" t="str">
        <x:v>Jund</x:v>
      </x:c>
      <x:c r="D42" s="53" t="n">
        <x:v>0.625</x:v>
      </x:c>
      <x:c r="E42" s="54" t="b">
        <x:v>0</x:v>
      </x:c>
      <x:c r="F42" s="53" t="str">
        <x:v>C01 | C12</x:v>
      </x:c>
    </x:row>
    <x:row r="43">
      <x:c r="A43" s="53" t="n">
        <x:v>3</x:v>
      </x:c>
      <x:c r="B43" s="53" t="str">
        <x:v>RG</x:v>
      </x:c>
      <x:c r="C43" s="53" t="str">
        <x:v>Gruul Clans</x:v>
      </x:c>
      <x:c r="D43" s="53" t="n">
        <x:v>0.541667</x:v>
      </x:c>
      <x:c r="E43" s="54" t="b">
        <x:v>0</x:v>
      </x:c>
      <x:c r="F43" s="53" t="str">
        <x:v>C01</x:v>
      </x:c>
    </x:row>
    <x:row r="44">
      <x:c r="A44" s="53" t="n">
        <x:v>4</x:v>
      </x:c>
      <x:c r="B44" s="53" t="str">
        <x:v>COLORLESS</x:v>
      </x:c>
      <x:c r="C44" s="53" t="str">
        <x:v>Colorless</x:v>
      </x:c>
      <x:c r="D44" s="53" t="n">
        <x:v>0.458333</x:v>
      </x:c>
      <x:c r="E44" s="54" t="b">
        <x:v>0</x:v>
      </x:c>
      <x:c r="F44" s="53" t="str">
        <x:v>C07</x:v>
      </x:c>
    </x:row>
    <x:row r="45">
      <x:c r="A45" s="53" t="n">
        <x:v>5</x:v>
      </x:c>
      <x:c r="B45" s="53" t="str">
        <x:v>R</x:v>
      </x:c>
      <x:c r="C45" s="53" t="str">
        <x:v>Red</x:v>
      </x:c>
      <x:c r="D45" s="53" t="n">
        <x:v>0.458333</x:v>
      </x:c>
      <x:c r="E45" s="54" t="b">
        <x:v>0</x:v>
      </x:c>
      <x:c r="F45" s="53" t="str">
        <x:v>C01</x:v>
      </x:c>
    </x:row>
    <x:row r="46">
      <x:c r="A46" s="53" t="n">
        <x:v>6</x:v>
      </x:c>
      <x:c r="B46" s="53" t="str">
        <x:v>UR</x:v>
      </x:c>
      <x:c r="C46" s="53" t="str">
        <x:v>Izzet League</x:v>
      </x:c>
      <x:c r="D46" s="53" t="n">
        <x:v>0.458333</x:v>
      </x:c>
      <x:c r="E46" s="54" t="b">
        <x:v>0</x:v>
      </x:c>
      <x:c r="F46" s="53" t="str">
        <x:v>C07</x:v>
      </x:c>
    </x:row>
    <x:row r="47">
      <x:c r="A47" s="53" t="n">
        <x:v>7</x:v>
      </x:c>
      <x:c r="B47" s="53" t="str">
        <x:v>B</x:v>
      </x:c>
      <x:c r="C47" s="53" t="str">
        <x:v>Black</x:v>
      </x:c>
      <x:c r="D47" s="53" t="n">
        <x:v>0.4375</x:v>
      </x:c>
      <x:c r="E47" s="54" t="b">
        <x:v>0</x:v>
      </x:c>
      <x:c r="F47" s="53" t="str">
        <x:v>C12</x:v>
      </x:c>
    </x:row>
    <x:row r="48">
      <x:c r="A48" s="53" t="n">
        <x:v>8</x:v>
      </x:c>
      <x:c r="B48" s="53" t="str">
        <x:v>UB</x:v>
      </x:c>
      <x:c r="C48" s="53" t="str">
        <x:v>House Dimir</x:v>
      </x:c>
      <x:c r="D48" s="53" t="n">
        <x:v>0.4375</x:v>
      </x:c>
      <x:c r="E48" s="54" t="b">
        <x:v>0</x:v>
      </x:c>
      <x:c r="F48" s="53" t="str">
        <x:v>C06</x:v>
      </x:c>
    </x:row>
    <x:row r="49">
      <x:c r="A49" s="53" t="n">
        <x:v>9</x:v>
      </x:c>
      <x:c r="B49" s="53" t="str">
        <x:v>WUBRG</x:v>
      </x:c>
      <x:c r="C49" s="53" t="str">
        <x:v>Five-Color / WUBRG</x:v>
      </x:c>
      <x:c r="D49" s="53" t="n">
        <x:v>0.375</x:v>
      </x:c>
      <x:c r="E49" s="54" t="b">
        <x:v>0</x:v>
      </x:c>
      <x:c r="F49" s="53" t="str">
        <x:v>C06</x:v>
      </x:c>
    </x:row>
    <x:row r="50">
      <x:c r="A50" s="53" t="n">
        <x:v>10</x:v>
      </x:c>
      <x:c r="B50" s="53" t="str">
        <x:v>WR</x:v>
      </x:c>
      <x:c r="C50" s="53" t="str">
        <x:v>Boros Legion</x:v>
      </x:c>
      <x:c r="D50" s="53" t="n">
        <x:v>0.25</x:v>
      </x:c>
      <x:c r="E50" s="54" t="b">
        <x:v>0</x:v>
      </x:c>
      <x:c r="F50" s="53" t="str"/>
    </x:row>
    <x:row r="51">
      <x:c r="A51" s="53" t="n">
        <x:v>11</x:v>
      </x:c>
      <x:c r="B51" s="53" t="str">
        <x:v>BG</x:v>
      </x:c>
      <x:c r="C51" s="53" t="str">
        <x:v>Golgari Swarm</x:v>
      </x:c>
      <x:c r="D51" s="53" t="n">
        <x:v>0.25</x:v>
      </x:c>
      <x:c r="E51" s="54" t="b">
        <x:v>0</x:v>
      </x:c>
      <x:c r="F51" s="53" t="str"/>
    </x:row>
    <x:row r="52">
      <x:c r="A52" s="53" t="n">
        <x:v>12</x:v>
      </x:c>
      <x:c r="B52" s="53" t="str">
        <x:v>GRIXIS</x:v>
      </x:c>
      <x:c r="C52" s="53" t="str">
        <x:v>Grixis</x:v>
      </x:c>
      <x:c r="D52" s="53" t="n">
        <x:v>0.1875</x:v>
      </x:c>
      <x:c r="E52" s="54" t="b">
        <x:v>0</x:v>
      </x:c>
      <x:c r="F52" s="53" t="str"/>
    </x:row>
    <x:row r="53">
      <x:c r="A53" s="53" t="n">
        <x:v>13</x:v>
      </x:c>
      <x:c r="B53" s="53" t="str">
        <x:v>TEMUR</x:v>
      </x:c>
      <x:c r="C53" s="53" t="str">
        <x:v>Temur Frontier</x:v>
      </x:c>
      <x:c r="D53" s="53" t="n">
        <x:v>0.166667</x:v>
      </x:c>
      <x:c r="E53" s="54" t="b">
        <x:v>0</x:v>
      </x:c>
      <x:c r="F53" s="53" t="str"/>
    </x:row>
    <x:row r="54">
      <x:c r="A54" s="53" t="n">
        <x:v>14</x:v>
      </x:c>
      <x:c r="B54" s="53" t="str">
        <x:v>W</x:v>
      </x:c>
      <x:c r="C54" s="53" t="str">
        <x:v>White</x:v>
      </x:c>
      <x:c r="D54" s="53" t="n">
        <x:v>0.166667</x:v>
      </x:c>
      <x:c r="E54" s="54" t="b">
        <x:v>0</x:v>
      </x:c>
      <x:c r="F54" s="53" t="str"/>
    </x:row>
    <x:row r="55">
      <x:c r="A55" s="53" t="n">
        <x:v>15</x:v>
      </x:c>
      <x:c r="B55" s="53" t="str">
        <x:v>WITHERBLOOM</x:v>
      </x:c>
      <x:c r="C55" s="53" t="str">
        <x:v>Witherbloom College</x:v>
      </x:c>
      <x:c r="D55" s="53" t="n">
        <x:v>0.166667</x:v>
      </x:c>
      <x:c r="E55" s="54" t="b">
        <x:v>0</x:v>
      </x:c>
      <x:c r="F55" s="53" t="str"/>
    </x:row>
    <x:row r="56">
      <x:c r="A56" s="53" t="n">
        <x:v>16</x:v>
      </x:c>
      <x:c r="B56" s="53" t="str">
        <x:v>LOREHOLD</x:v>
      </x:c>
      <x:c r="C56" s="53" t="str">
        <x:v>Lorehold College</x:v>
      </x:c>
      <x:c r="D56" s="53" t="n">
        <x:v>0.166667</x:v>
      </x:c>
      <x:c r="E56" s="54" t="b">
        <x:v>0</x:v>
      </x:c>
      <x:c r="F56" s="53" t="str"/>
    </x:row>
    <x:row r="57">
      <x:c r="A57" s="53" t="n">
        <x:v>17</x:v>
      </x:c>
      <x:c r="B57" s="53" t="str">
        <x:v>MARDU</x:v>
      </x:c>
      <x:c r="C57" s="53" t="str">
        <x:v>Mardu Horde</x:v>
      </x:c>
      <x:c r="D57" s="53" t="n">
        <x:v>0.166667</x:v>
      </x:c>
      <x:c r="E57" s="54" t="b">
        <x:v>0</x:v>
      </x:c>
      <x:c r="F57" s="53" t="str"/>
    </x:row>
    <x:row r="58">
      <x:c r="A58" s="53" t="n">
        <x:v>18</x:v>
      </x:c>
      <x:c r="B58" s="53" t="str">
        <x:v>UG</x:v>
      </x:c>
      <x:c r="C58" s="53" t="str">
        <x:v>Simic Combine</x:v>
      </x:c>
      <x:c r="D58" s="53" t="n">
        <x:v>0.166667</x:v>
      </x:c>
      <x:c r="E58" s="54" t="b">
        <x:v>0</x:v>
      </x:c>
      <x:c r="F58" s="53" t="str"/>
    </x:row>
    <x:row r="59">
      <x:c r="A59" s="53" t="n">
        <x:v>19</x:v>
      </x:c>
      <x:c r="B59" s="53" t="str">
        <x:v>YORE</x:v>
      </x:c>
      <x:c r="C59" s="53" t="str">
        <x:v>Yore / Artifice</x:v>
      </x:c>
      <x:c r="D59" s="53" t="n">
        <x:v>0.166667</x:v>
      </x:c>
      <x:c r="E59" s="54" t="b">
        <x:v>0</x:v>
      </x:c>
      <x:c r="F59" s="53" t="str"/>
    </x:row>
    <x:row r="60">
      <x:c r="A60" s="53" t="n">
        <x:v>20</x:v>
      </x:c>
      <x:c r="B60" s="53" t="str">
        <x:v>U</x:v>
      </x:c>
      <x:c r="C60" s="53" t="str">
        <x:v>Blue</x:v>
      </x:c>
      <x:c r="D60" s="53" t="n">
        <x:v>0.125</x:v>
      </x:c>
      <x:c r="E60" s="54" t="b">
        <x:v>0</x:v>
      </x:c>
      <x:c r="F60" s="53" t="str"/>
    </x:row>
    <x:row r="61">
      <x:c r="A61" s="53" t="n">
        <x:v>21</x:v>
      </x:c>
      <x:c r="B61" s="53" t="str">
        <x:v>ABZAN</x:v>
      </x:c>
      <x:c r="C61" s="53" t="str">
        <x:v>Abzan Houses</x:v>
      </x:c>
      <x:c r="D61" s="53" t="n">
        <x:v>0.083333</x:v>
      </x:c>
      <x:c r="E61" s="54" t="b">
        <x:v>0</x:v>
      </x:c>
      <x:c r="F61" s="53" t="str"/>
    </x:row>
    <x:row r="62">
      <x:c r="A62" s="53" t="n">
        <x:v>22</x:v>
      </x:c>
      <x:c r="B62" s="53" t="str">
        <x:v>WG</x:v>
      </x:c>
      <x:c r="C62" s="53" t="str">
        <x:v>Selesnya Conclave</x:v>
      </x:c>
      <x:c r="D62" s="53" t="n">
        <x:v>0.083333</x:v>
      </x:c>
      <x:c r="E62" s="54" t="b">
        <x:v>0</x:v>
      </x:c>
      <x:c r="F62" s="53" t="str"/>
    </x:row>
    <x:row r="63">
      <x:c r="A63" s="53" t="n">
        <x:v>23</x:v>
      </x:c>
      <x:c r="B63" s="53" t="str">
        <x:v>BANT</x:v>
      </x:c>
      <x:c r="C63" s="53" t="str">
        <x:v>Bant</x:v>
      </x:c>
      <x:c r="D63" s="53" t="n">
        <x:v>0.083333</x:v>
      </x:c>
      <x:c r="E63" s="54" t="b">
        <x:v>0</x:v>
      </x:c>
      <x:c r="F63" s="53" t="str"/>
    </x:row>
    <x:row r="64">
      <x:c r="A64" s="53" t="n">
        <x:v>24</x:v>
      </x:c>
      <x:c r="B64" s="53" t="str">
        <x:v>BR</x:v>
      </x:c>
      <x:c r="C64" s="53" t="str">
        <x:v>Cult of Rakdos</x:v>
      </x:c>
      <x:c r="D64" s="53" t="n">
        <x:v>0.083333</x:v>
      </x:c>
      <x:c r="E64" s="54" t="b">
        <x:v>0</x:v>
      </x:c>
      <x:c r="F64" s="53" t="str"/>
    </x:row>
    <x:row r="65">
      <x:c r="A65" s="53" t="n">
        <x:v>25</x:v>
      </x:c>
      <x:c r="B65" s="53" t="str">
        <x:v>DUNE</x:v>
      </x:c>
      <x:c r="C65" s="53" t="str">
        <x:v>Dune / Aggression</x:v>
      </x:c>
      <x:c r="D65" s="53" t="n">
        <x:v>0.083333</x:v>
      </x:c>
      <x:c r="E65" s="54" t="b">
        <x:v>0</x:v>
      </x:c>
      <x:c r="F65" s="53" t="str"/>
    </x:row>
    <x:row r="66">
      <x:c r="A66" s="53" t="n">
        <x:v>26</x:v>
      </x:c>
      <x:c r="B66" s="53" t="str">
        <x:v>G</x:v>
      </x:c>
      <x:c r="C66" s="53" t="str">
        <x:v>Green</x:v>
      </x:c>
      <x:c r="D66" s="53" t="n">
        <x:v>0.083333</x:v>
      </x:c>
      <x:c r="E66" s="54" t="b">
        <x:v>0</x:v>
      </x:c>
      <x:c r="F66" s="53" t="str"/>
    </x:row>
    <x:row r="67">
      <x:c r="A67" s="53" t="n">
        <x:v>27</x:v>
      </x:c>
      <x:c r="B67" s="53" t="str">
        <x:v>GLINT</x:v>
      </x:c>
      <x:c r="C67" s="53" t="str">
        <x:v>Glint / Chaos</x:v>
      </x:c>
      <x:c r="D67" s="53" t="n">
        <x:v>0.083333</x:v>
      </x:c>
      <x:c r="E67" s="54" t="b">
        <x:v>0</x:v>
      </x:c>
      <x:c r="F67" s="53" t="str"/>
    </x:row>
    <x:row r="68">
      <x:c r="A68" s="53" t="n">
        <x:v>28</x:v>
      </x:c>
      <x:c r="B68" s="53" t="str">
        <x:v>INK</x:v>
      </x:c>
      <x:c r="C68" s="53" t="str">
        <x:v>Ink / Altruism</x:v>
      </x:c>
      <x:c r="D68" s="53" t="n">
        <x:v>0.083333</x:v>
      </x:c>
      <x:c r="E68" s="54" t="b">
        <x:v>0</x:v>
      </x:c>
      <x:c r="F68" s="53" t="str"/>
    </x:row>
    <x:row r="69">
      <x:c r="A69" s="53" t="n">
        <x:v>29</x:v>
      </x:c>
      <x:c r="B69" s="53" t="str">
        <x:v>NAYA</x:v>
      </x:c>
      <x:c r="C69" s="53" t="str">
        <x:v>Naya</x:v>
      </x:c>
      <x:c r="D69" s="53" t="n">
        <x:v>0.083333</x:v>
      </x:c>
      <x:c r="E69" s="54" t="b">
        <x:v>0</x:v>
      </x:c>
      <x:c r="F69" s="53" t="str"/>
    </x:row>
    <x:row r="70">
      <x:c r="A70" s="53" t="n">
        <x:v>30</x:v>
      </x:c>
      <x:c r="B70" s="53" t="str">
        <x:v>QUANDRIX</x:v>
      </x:c>
      <x:c r="C70" s="53" t="str">
        <x:v>Quandrix College</x:v>
      </x:c>
      <x:c r="D70" s="53" t="n">
        <x:v>0.083333</x:v>
      </x:c>
      <x:c r="E70" s="54" t="b">
        <x:v>0</x:v>
      </x:c>
      <x:c r="F70" s="53" t="str"/>
    </x:row>
    <x:row r="71">
      <x:c r="A71" s="53" t="n">
        <x:v>31</x:v>
      </x:c>
      <x:c r="B71" s="53" t="str">
        <x:v>WB</x:v>
      </x:c>
      <x:c r="C71" s="53" t="str">
        <x:v>Orzhov Syndicate</x:v>
      </x:c>
      <x:c r="D71" s="53" t="n">
        <x:v>0.083333</x:v>
      </x:c>
      <x:c r="E71" s="54" t="b">
        <x:v>0</x:v>
      </x:c>
      <x:c r="F71" s="53" t="str"/>
    </x:row>
    <x:row r="72">
      <x:c r="A72" s="53" t="n">
        <x:v>32</x:v>
      </x:c>
      <x:c r="B72" s="53" t="str">
        <x:v>WITCH</x:v>
      </x:c>
      <x:c r="C72" s="53" t="str">
        <x:v>Witch / Growth</x:v>
      </x:c>
      <x:c r="D72" s="53" t="n">
        <x:v>0.083333</x:v>
      </x:c>
      <x:c r="E72" s="54" t="b">
        <x:v>0</x:v>
      </x:c>
      <x:c r="F72" s="53" t="str"/>
    </x:row>
    <x:row r="73">
      <x:c r="A73" s="53" t="n">
        <x:v>33</x:v>
      </x:c>
      <x:c r="B73" s="53" t="str">
        <x:v>ESPER</x:v>
      </x:c>
      <x:c r="C73" s="53" t="str">
        <x:v>Esper</x:v>
      </x:c>
      <x:c r="D73" s="53" t="n">
        <x:v>0.0625</x:v>
      </x:c>
      <x:c r="E73" s="54" t="b">
        <x:v>0</x:v>
      </x:c>
      <x:c r="F73" s="53" t="str"/>
    </x:row>
    <x:row r="74">
      <x:c r="A74" s="53" t="n">
        <x:v>34</x:v>
      </x:c>
      <x:c r="B74" s="53" t="str">
        <x:v>JESKAI</x:v>
      </x:c>
      <x:c r="C74" s="53" t="str">
        <x:v>Jeskai Way</x:v>
      </x:c>
      <x:c r="D74" s="53" t="n">
        <x:v>0.0625</x:v>
      </x:c>
      <x:c r="E74" s="54" t="b">
        <x:v>0</x:v>
      </x:c>
      <x:c r="F74" s="53" t="str"/>
    </x:row>
    <x:row r="75">
      <x:c r="A75" s="53" t="n">
        <x:v>35</x:v>
      </x:c>
      <x:c r="B75" s="53" t="str">
        <x:v>PRISMARI</x:v>
      </x:c>
      <x:c r="C75" s="53" t="str">
        <x:v>Prismari College</x:v>
      </x:c>
      <x:c r="D75" s="53" t="n">
        <x:v>0</x:v>
      </x:c>
      <x:c r="E75" s="54" t="b">
        <x:v>0</x:v>
      </x:c>
      <x:c r="F75" s="53" t="str"/>
    </x:row>
    <x:row r="76">
      <x:c r="A76" s="53" t="n">
        <x:v>36</x:v>
      </x:c>
      <x:c r="B76" s="53" t="str">
        <x:v>SILVERQUILL</x:v>
      </x:c>
      <x:c r="C76" s="53" t="str">
        <x:v>Silverquill College</x:v>
      </x:c>
      <x:c r="D76" s="53" t="n">
        <x:v>0</x:v>
      </x:c>
      <x:c r="E76" s="54" t="b">
        <x:v>0</x:v>
      </x:c>
      <x:c r="F76" s="53" t="str"/>
    </x:row>
    <x:row r="77">
      <x:c r="A77" s="53" t="n">
        <x:v>37</x:v>
      </x:c>
      <x:c r="B77" s="53" t="str">
        <x:v>WU</x:v>
      </x:c>
      <x:c r="C77" s="53" t="str">
        <x:v>Azorius Senate</x:v>
      </x:c>
      <x:c r="D77" s="53" t="n">
        <x:v>0</x:v>
      </x:c>
      <x:c r="E77" s="54" t="b">
        <x:v>0</x:v>
      </x:c>
      <x:c r="F77" s="53" t="str"/>
    </x:row>
    <x:row r="79" ht="28" customHeight="1">
      <x:c r="A79" s="45" t="str">
        <x:v>FINAL RESULT JSON — CHUNKED ONLY FOR XLSX CELL LIMIT</x:v>
      </x:c>
      <x:c r="B79" s="45"/>
      <x:c r="C79" s="45"/>
      <x:c r="D79" s="45"/>
      <x:c r="E79" s="45"/>
      <x:c r="F79" s="45"/>
      <x:c r="G79" s="45"/>
      <x:c r="H79" s="45"/>
      <x:c r="I79" s="45"/>
      <x:c r="J79" s="45"/>
      <x:c r="K79" s="45"/>
      <x:c r="L79" s="45"/>
      <x:c r="M79" s="45"/>
      <x:c r="N79" s="45"/>
      <x:c r="O79" s="45"/>
      <x:c r="P79" s="45"/>
      <x:c r="Q79" s="45"/>
      <x:c r="R79" s="45"/>
      <x:c r="S79" s="45"/>
      <x:c r="T79" s="45"/>
    </x:row>
    <x:row r="80">
      <x:c r="A80" s="53" t="str">
        <x:v>Part 1/3</x:v>
      </x:c>
      <x:c r="B80" s="53" t="str">
        <x:v>{
  "version": "2026-08-09-gate-b1-v1",
  "model_version": "vm551-gate-b1-placement-engine-v1",
  "instrument_version": "vm551-gate-b1-instrument-v2",
  "mapping_version": "vm551-gate-b1-mapping-v2-instrument-completion",
  "source_mode": "quick",
  "faction": "SULTAI",
  "faction_name": "Sultai Brood",
  "institution_type": "wedge",
  "world": "Tarkir",
  "identity": {
    "core_color": "B",
    "secondary_colors": [
      "G",
      "U"
    ],
    "secondary_color": "G",
    "expression_key": "SULTAI",
    "expression_name": "Sultai Brood",
    "expression_kind": "wedge",
    "purity": null,
    "routing": {
      "color_identity": "BGU",
      "label": "Sultai"
    }
  },
  "decree": "Sultai Brood is the clearest current fit from the approved observations.",
  "confidence": 0.042,
  "confidence_gap": 1,
  "mana_scores": {
    "W": 9,
    "U": 10,
    "B": 10,
    "R": 10,
    "G": 10
  },
  "top_matches": [
    {
      "rank": 1,
      "faction": "SULTAI",
      "faction_name": "Sultai Brood",
      "institution_type": "wedge",
      "world": "Tarkir",
      "identity": {
        "core_color": "B",
        "secondary_colors": [
          "G",
          "U"
        ],
        "secondary_color": "G",
        "expression_key": "SULTAI",
        "expression_name": "Sultai Brood",
        "expression_kind": "wedge",
        "purity": null,
        "routing": {
          "color_identity": "BGU",
          "label": "Sultai"
        }
      },
      "score": 0.729167,
      "confidence": 0.042,
      "reason": "Sultai Brood remained plausible through C06, C12; identity mapping remains a hypothesis."
    }
  ],
  "adjacent_matches": [],
  "internal_candidate_order": [
    {
      "identity": "SULTAI",
      "score": 0.729167,
      "positive_dependencies": 2,
      "qualification_dependencies": 2,
      "naming_dependencies": 1,
      "positive_constructs": [
        "C06",
        "C12"
      ],
      "satisfied_naming_rule_ids": [
        "baseline_40:b1.crucible.sultai.v1.best:SULTAI"
      ],
      "naming_qualification": {
        "identity": "SULTAI",
        "qualified": true,
        "satisfied_naming_rule_ids": [
          "baseline_40:b1.crucible.sultai.v1.best:SULTAI"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"JUND",
      "score": 0.625,
      "positive_dependencies": 2,
      "qualification_dependencies": 2,
      "naming_dependencies": 0,
      "positive_constructs": [
        "C01",
        "C12"
      ],
      "satisfied_naming_rule_ids": [],
      "naming_qualification": {
        "identity": "JUND",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"COLORLESS",
      "score": 0.458333,
      "positive_dependencies": 1,
      "qualification_dependencies": 1,
      "naming_dependencies": 0,
      "positive_constructs": [
        "C07"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"R",
      "score": 0.458333,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"UR",
      "score": 0.458333,
      "positive_dependencies": 1,
      "qualification_dependencies": 1,
      "naming_dependencies": 0,
      "positive_constructs": [
        "C07"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
      "score": 0.4375,
      "positive_dependencies": 1,
      "qualification_dependencies": 1,
      "naming_dependencies": 0,
      "positive_constructs": [
        "C12"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"UB",
      "score": 0.4375,
      "positive_dependencies": 1,
      "qualification_dependencies": 1,
      "naming_dependencies": 0,
      "positive_constructs": [
        "C06"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"WUBRG",
      "score": 0.375,
      "positive_dependencies": 1,
      "qualification_dependencies": 1,
      "naming_dependencies": 0,
      "positive_constructs": [
        "C06"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"WR",
      "score": 0.25,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"C07"
      ]
    },
    {
      "identity": "BG",
      "score": 0.25,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"C12"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"C07"
      ]
    },
    {
      "identity": "WITHERBLOOM",
      "score": 0.166667,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"LOREHOLD",
      "score": 0.166667,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"C06"
      ]
    },
    {
      "identity": "YORE",
      "score": 0.166667,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"C12"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x:v>
      </x:c>
    </x:row>
    <x:row r="81">
      <x:c r="A81" s="53" t="str">
        <x:v>Part 2/3</x:v>
      </x:c>
      <x:c r="B81" s="53" t="str">
        <x:v>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"SULTAI",
    "JUND",
    "RG",
    "COLORLESS",
    "R",
    "UR",
    "B",
    "UB"
  ],
  "alternatives": [],
  "refinement": {
    "kind": "revisit_prior_answer",
    "can_reduce_ambiguity": true,
    "remaining_candidates": [
      "SULTAI",
      "JUND",
      "RG",
      "COLORLESS",
      "R",
      "UR",
      "B",
      "UB"
    ],
    "unresolved_boundaries": [
      {
        "pair_id": "B__R",
        "identities": [
          "B",
          "R"
        ],
        "distinction": "B uses Resource sacrifice evidence; R uses Initiative posture evidence. No direct pair claim is made.",
        "question_ids": [
          "b1.hall.sacrifice.v1",
          "b1.gate.initiative.v1",
          "b1.crucible.mono-multi.v1",
          "b1.hall.information-to-plan.v1",
          "b1.hall.pressure.v1",
          "b1.crucible.disruption-boundary.v1"
        ],
        "coverage_status": "DIRECT-OR-STRUCTURAL-MAPPING-HYPOTHESIS; bounded player validation required"
      },
      {
        "pair_id": "B__RG",
        "identities": [
          "B",
          "RG"
        ],
        "distinction": "B uses Resource sacrifice evidence; RG uses Pressure channel evidence. No direct pair claim is made.",
        "question_ids": [
          "b1.hall.sacrifice.v1",
          "b1.hall.pressure.v1",
          "b1.crucible.mono-multi.v1",
          "b1.hall.information-to-plan.v1",
          "b1.gate.initiative.v1",
          "b1.gate.disruption.v1",
          "b1.crucible.disruption-boundary.v1"
        ],
        "coverage_status": "DIRECT-OR-STRUCTURAL-MAPPING-HYPOTHESIS; bounded player validation required"
      },
      {
        "pair_id": "B__SULTAI",
        "identities": [
          "B",
          "SULTAI"
        ],
        "distinction": "Direct scenario tests one bounded Commander behavior.",
        "question_ids": [
          "b1.crucible.sultai.v1",
          "b1.hall.information-to-plan.v1",
          "b1.crucible.mono-multi.v1",
          "b1.hall.sacrifice.v1",
          "b1.hall.engine-shape.v1",
          "b1.crucible.disruption-boundary.v1"
        ],
        "coverage_status": "DIRECT-OR-STRUCTURAL-MAPPING-HYPOTHESIS; bounded player validation required"
      },
      {
        "pair_id": "B__UB",
        "identities": [
          "B",
          "UB"
        ],
        "distinction": "B uses Resource sacrifice evidence; UB uses Resource visibility evidence. No direct pair claim is made.",
        "question_ids": [
          "b1.hall.sacrifice.v1",
          "b1.gate.visibility.v1",
          "b1.crucible.mono-multi.v1",
          "b1.hall.information-to-plan.v1",
          "b1.hall.engine-shape.v1",
          "b1.hall.interaction-window.v1",
          "b1.crucible.disruption-boundary.v1"
        ],
        "coverage_status": "DIRECT-OR-STRUCTURAL-MAPPING-HYPOTHESIS; bounded player validation required"
      },
      {
        "pair_id": "JUND__UB",
        "identities": [
          "JUND",
          "UB"
        ],
        "distinction": "JUND uses Initiative posture evidence; UB uses Resource visibility evidence. No direct pair claim is made.",
        "question_ids": [
          "b1.gate.initiative.v1",
          "b1.gate.visibility.v1",
          "b1.crucible.mono-multi.v1",
          "b1.hall.information-to-plan.v1",
          "b1.hall.sacrifice.v1",
          "b1.hall.pressure.v1",
          "b1.hall.engine-shape.v1",
          "b1.hall.interaction-window.v1",
          "b1.crucible.disruption-boundary.v1"
        ],
        "coverage_status": "DIRECT-OR-STRUCTURAL-MAPPING-HYPOTHESIS; bounded player validation required"
      },
      {
        "pair_id": "SULTAI__UB",
        "identities": [
          "SULTAI",
          "UB"
        ],
        "distinction": "SULTAI uses Resource sacrifice evidence; UB uses Resource visibility evidence. No direct pair claim is made.",
        "question_ids": [
          "b1.hall.sacrifice.v1",
          "b1.gate.visibility.v1",
          "b1.crucible.mono-multi.v1",
          "b1.hall.information-to-plan.v1",
          "b1.crucible.sultai.v1",
          "b1.hall.interaction-window.v1"
        ],
        "coverage_status": "DIRECT-OR-STRUCTURAL-MAPPING-HYPOTHESIS; bounded player validation required"
      }
    ],
    "missing_constructs": [
      "C04",
      "C08",
      "C11",
      "C15"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"answer_title": "Spend it for the next advantage",
      "prompt": "You can give up a useful permanent now for cards or another lasting resource. What feels natural?",
      "observation": "Prefers voluntary resource conversion.",
      "deltas": [
        {
          "faction": "B",
          "delta": 0.5
        },
        {
          "faction": "JUND",
          "delta": 0.5
        }
      ]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"answer_title": "Keep the goal, change the tool",
      "prompt": "Opponents have learned how to stop your main engine. When you revise the deck, what structure do you want next?",
      "observation": "Prefers a stable purpose with flexible implementation routes.",
      "deltas": [
        {
          "faction": "SULTAI",
          "delta": 0.5
        },
        {
          "faction": "UB",
          "delta": 0.5
        },
        {
          "faction": "WUBRG",
          "delta": 0.5
        }
      ]
    },
    {
      "question_id": "b1.crucible.disruption-boundary.v1",
      "answer_id": "b1.crucible.disruption-boundary.v1.preserve",
      "stage": "crucible",
      "construct": "C03",
      "bounded_observation": "Prioritizes continuity through remaining protection.",
      "signal": "SIG_C03_PROTECT",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"E-VM555;E-CERTIFIED;E-CECOS;E-PLAYER-LANGUAGE",
      "evidence_provenance": "E-VM555;E-CERTIFIED;E-CECOS;E-PLAYER-LANGUAGE",
      "limitation": "The remaining protection may simply be the strongest available line.",
      "behavioral_vs_lens": "behavioral",
      "answer_title": "Keep the protection intact",
      "prompt": "An opponent removes the piece your deck was built around after usi</x:v>
      </x:c>
    </x:row>
    <x:row r="82">
      <x:c r="A82" s="53" t="str">
        <x:v>Part 3/3</x:v>
      </x:c>
      <x:c r="B82" s="53" t="str">
        <x:v>ng most of their mana and cards. Your turn begins with the rest of your board still available. What do you try first?",
      "observation": "Prioritizes continuity through remaining protection.",
      "deltas": []
    },
    {
      "question_id": "b1.crucible.sultai.v1",
      "answer_id": "b1.crucible.sultai.v1.best",
      "stage": "crucible",
      "construct": "C12",
      "bounded_observation": "Prefers flexible cross-resource conversion.",
      "signal": "SIG_C12_CONVERT",
      "dependency_group": "DG_C12",
      "evidence_class": "BEHAVIORAL_OBSERVATION",
      "affected_identities": [
        "SULTAI"
      ],
      "positive_support": [
        "SULTAI"
      ],
      "contradiction": [],
      "neutral": false,
      "mapping_strength": 1,
      "naming_evidence": true,
      "qualification_eligible": true,
      "qualification_support": [
        "SULTAI"
      ],
      "naming_support": [
        "SULTAI"
      ],
      "naming_rule_ids_by_identity": {
        "SULTAI": [
          "baseline_40:b1.crucible.sultai.v1.best:SULTAI"
        ]
      },
      "mapping_role": "bounded_target_direction",
      "mapping_status": "MAPPING_HYPOTHESIS",
      "mapping_provenance": "answer-semantic-adjudication.tsv SULTAI boundary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"Convert whichever matters least",
      "prompt": "A creature, a card, and some life could each become fuel. How should the deck use them?",
      "observation": "Prefers flexible cross-resource conversion.",
      "deltas": [
        {
          "faction": "SULTAI",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"b1.hall.sacrifice.v1",
      "answer_id": "b1.hall.sacrifice.v1.convert",
      "stage": "hall",
      "construct": "C12",
      "bounded_observation": "Prefers voluntary resource conversion.",
      "signal": "SIG_C12_CONVERT",
      "dependency_group": "DG_C12",
      "evidence_class": "BEHAVIORAL_OBSERVATION",
      "affected_identities": [
        "B",
        "JUND"
      ],
      "positive_support": [
        "B",
        "JUND"
      ],
      "contradiction": [],
      "neutral": false,
      "mapping_strength": 0.5,
      "naming_evidence": false,
      "qualification_eligible": true,
      "qualification_support": [
        "B",
        "JUND"
      ],
      "naming_support": [],
      "naming_rule_ids_by_identity": {},
      "mapping_role": "completion_corroboration_direction",
      "mapping_status": "REMEDIATION_MAPPING_HYPOTHESIS",
      "mapping_provenance": "docs/plans/vm551-gate-b1-instrument-completion/instrument-change-adjudication.tsv#b1.hall.sacrifice.v1.convert;docs/audits/vm555-b1-identity-evidence-gap-bridge/identity-evidence-gap-matrix.tsv",
      "evidence_provenance": "E-PLAYER-PACE;E-PLAYER-THREAT;E-CECOS;E-VOICE",
      "limitation": "Observation wording and identity association require player validation; no weight is authorized.",
      "behavioral_vs_lens": "behavioral"
    },
    {
      "question_id": "b1.hall.engine-shape.v1",
      "answer_id": "b1.hall.engine-shape.v1.purpose",
      "stage": "hall",
      "construct": "C06",
      "bounded_observation": "Prefers a stable purpose with flexible implementation routes.",
      "signal": "SIG_C06_FLEXIBLE_ROUTE",
      "dependency_group": "DG_C06",
      "evidence_class": "BEHAVIORAL_OBSERVATION",
      "affected_identities": [
        "SULTAI",
        "UB",
        "WUBRG"
      ],
      "positive_support": [
        "SULTAI",
        "UB",
        "WUBRG"
      ],
      "contradiction": [],
      "neutral": false,
      "mapping_strength": 0.5,
      "naming_evidence": false,
      "qualification_eligible": true,
      "qualification_support": [
        "SULTAI",
        "UB",
        "WUBRG"
      ],
      "naming_support": [],
      "naming_rule_ids_by_identity": {},
      "mapping_role": "completion_corroboration_direction",
      "mapping_status": "REMEDIATION_MAPPING_HYPOTHESIS",
      "mapping_provenance": "docs/plans/vm551-gate-b1-instrument-completion/instrument-change-adjudication.tsv#b1.hall.engine-shape.v1.purpose;docs/audits/vm555-b1-identity-evidence-gap-bridge/identity-evidence-gap-matrix.tsv",
      "evidence_provenance": "E-VM555;E-CERTIFIED;E-CECOS;E-PLAYER-LANGUAGE",
      "limitation": "Flexible tools can be a response to a varied metagame rather than a stable preference.",
      "behavioral_vs_lens": "behavioral"
    },
    {
      "question_id": "b1.crucible.disruption-boundary.v1",
      "answer_id": "b1.crucible.disruption-boundary.v1.preserve",
      "stage": "crucible",
      "construct": "C03",
      "bounded_observation": "Prioritizes continuity through remaining protection.",
      "signal": "SIG_C03_PROTECT",
      "dependency_group": "DG_C03",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"E-VM555;E-CERTIFIED;E-CECOS;E-PLAYER-LANGUAGE",
      "evidence_provenance": "E-VM555;E-CERTIFIED;E-CECOS;E-PLAYER-LANGUAGE",
      "limitation": "The remaining protection may simply be the strongest available line.",
      "behavioral_vs_lens": "behavioral"
    },
    {
      "question_id": "b1.crucible.sultai.v1",
      "answer_id": "b1.crucible.sultai.v1.best",
      "stage": "crucible",
      "construct": "C12",
      "bounded_observation": "Prefers flexible cross-resource conversion.",
      "signal": "SIG_C12_CONVERT",
      "dependency_group": "DG_C12",
      "evidence_class": "BEHAVIORAL_OBSERVATION",
      "affected_identities": [
        "SULTAI"
      ],
      "positive_support": [
        "SULTAI"
      ],
      "contradiction": [],
      "neutral": false,
      "mapping_strength": 1,
      "naming_evidence": true,
      "qualification_eligible": true,
      "qualification_support": [
        "SULTAI"
      ],
      "naming_support": [
        "SULTAI"
      ],
      "naming_rule_ids_by_identity": {
        "SULTAI": [
          "baseline_40:b1.crucible.sultai.v1.best:SULTAI"
        ]
      },
      "mapping_role": "bounded_target_direction",
      "mapping_status": "MAPPING_HYPOTHESIS",
      "mapping_provenance": "answer-semantic-adjudication.tsv SULTAI boundary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"b1.hall.pressure.v1",
      "answer_id": "b1.hall.pressure.v1.engine",
      "stage": "hall",
      "evidence_class": "BEHAVIORAL_OBSERVATION"
    },
    {
      "question_id": "b1.hall.sacrifice.v1",
      "answer_id": "b1.hall.sacrifice.v1.convert",
      "stage": "hall",
      "evidence_class": "BEHAVIORAL_OBSERVATION"
    },
    {
      "question_id": "b1.hall.engine-shape.v1",
      "answer_id": "b1.hall.engine-shape.v1.purpose",
      "stage": "hall",
      "evidence_class": "BEHAVIORAL_OBSERVATION"
    },
    {
      "question_id": "b1.crucible.disruption-boundary.v1",
      "answer_id": "b1.crucible.disruption-boundary.v1.preserve",
      "stage": "crucible",
      "evidence_class": "BEHAVIORAL_OBSERVATION"
    },
    {
      "question_id": "b1.crucible.sultai.v1",
      "answer_id": "b1.crucible.sultai.v1.best",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9:T39"/>
    <x:mergeCell ref="A79:T79"/>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Temur Frontier — Engine Trace</x:v>
      </x:c>
      <x:c r="B1" s="3"/>
      <x:c r="C1" s="3"/>
      <x:c r="D1" s="3"/>
      <x:c r="E1" s="3"/>
      <x:c r="F1" s="3"/>
      <x:c r="G1" s="3"/>
      <x:c r="H1" s="3"/>
      <x:c r="I1" s="3"/>
      <x:c r="J1" s="3"/>
      <x:c r="K1" s="3"/>
      <x:c r="L1" s="3"/>
      <x:c r="M1" s="3"/>
      <x:c r="N1" s="3"/>
      <x:c r="O1" s="3"/>
      <x:c r="P1" s="3"/>
      <x:c r="Q1" s="3"/>
      <x:c r="R1" s="3"/>
      <x:c r="S1" s="3"/>
      <x:c r="T1" s="3"/>
    </x:row>
    <x:row r="2" ht="30" customHeight="1">
      <x:c r="A2" s="7" t="str">
        <x:v>ENGINE-TEMUR • PASS_MATCH • primary • trace 969d0df223c0ffab09cd52799c087051edebf01a5779c718ac2a29d001d02634</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TEMUR</x:v>
      </x:c>
    </x:row>
    <x:row r="6">
      <x:c r="A6" s="53" t="str">
        <x:v>Expected public contract</x:v>
      </x:c>
      <x:c r="B6" s="53" t="str">
        <x:v>NAMED_DOSSIER</x:v>
      </x:c>
    </x:row>
    <x:row r="7">
      <x:c r="A7" s="53" t="str">
        <x:v>Witness status</x:v>
      </x:c>
      <x:c r="B7" s="53" t="str">
        <x:v>CURRENT_COMPATIBLE</x:v>
      </x:c>
    </x:row>
    <x:row r="8">
      <x:c r="A8" s="53" t="str">
        <x:v>Actual result</x:v>
      </x:c>
      <x:c r="B8" s="53" t="str">
        <x:v>TEMUR</x:v>
      </x:c>
    </x:row>
    <x:row r="9">
      <x:c r="A9" s="53" t="str">
        <x:v>Directional result</x:v>
      </x:c>
      <x:c r="B9" s="53" t="str">
        <x:v>TEMUR</x:v>
      </x:c>
    </x:row>
    <x:row r="10">
      <x:c r="A10" s="53" t="str">
        <x:v>Public state</x:v>
      </x:c>
      <x:c r="B10" s="53" t="str">
        <x:v>current-best-fit</x:v>
      </x:c>
    </x:row>
    <x:row r="11">
      <x:c r="A11" s="53" t="str">
        <x:v>Raw numeric leader</x:v>
      </x:c>
      <x:c r="B11" s="53" t="str">
        <x:v>NAYA</x:v>
      </x:c>
    </x:row>
    <x:row r="12">
      <x:c r="A12" s="53" t="str">
        <x:v>Raw score</x:v>
      </x:c>
      <x:c r="B12" s="53" t="n">
        <x:v>0.833333</x:v>
      </x:c>
    </x:row>
    <x:row r="13">
      <x:c r="A13" s="53" t="str">
        <x:v>Raw leader qualified</x:v>
      </x:c>
      <x:c r="B13" s="54" t="b">
        <x:v>0</x:v>
      </x:c>
    </x:row>
    <x:row r="14">
      <x:c r="A14" s="53" t="str">
        <x:v>Selected qualified</x:v>
      </x:c>
      <x:c r="B14" s="54" t="b">
        <x:v>1</x:v>
      </x:c>
    </x:row>
    <x:row r="15">
      <x:c r="A15" s="53" t="str">
        <x:v>Frontier</x:v>
      </x:c>
      <x:c r="B15" s="53" t="str">
        <x:v>TEMUR</x:v>
      </x:c>
    </x:row>
    <x:row r="16">
      <x:c r="A16" s="53" t="str">
        <x:v>Stop reason</x:v>
      </x:c>
      <x:c r="B16" s="53" t="str">
        <x:v>highest_responsible_candidate_trails_unqualified_internal_candidate</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outputs/01a02cd6-bce7-7832-9558-3075c52f146a/archscry-current-state-2026-08-22/evidence/engine/traces/temur.json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b1.hall.pressure.v1.abundance</x:v>
      </x:c>
      <x:c r="G33" s="53" t="str">
        <x:v>Keep the wide board moving</x:v>
      </x:c>
      <x:c r="H33" s="53" t="str">
        <x:v>C07</x:v>
      </x:c>
      <x:c r="I33" s="53" t="str">
        <x:v>SIG_C07_ABUNDANCE_PRESSURE</x:v>
      </x:c>
      <x:c r="J33" s="53" t="str">
        <x:v>DG_C07</x:v>
      </x:c>
      <x:c r="K33" s="53" t="str">
        <x:v>BEHAVIORAL_OBSERVATION</x:v>
      </x:c>
      <x:c r="L33" s="53" t="str">
        <x:v>NAYA</x:v>
      </x:c>
      <x:c r="M33" s="53" t="str"/>
      <x:c r="N33" s="53" t="n">
        <x:v>1</x:v>
      </x:c>
      <x:c r="O33" s="54" t="b">
        <x:v>1</x:v>
      </x:c>
      <x:c r="P33" s="53" t="str">
        <x:v>REMEDIATION_MAPPING_HYPOTHESIS</x:v>
      </x:c>
      <x:c r="Q33" s="53" t="str">
        <x:v>Prefers abundance-based board pressure rather than one concentrated strike.</x:v>
      </x:c>
      <x:c r="R33" s="53" t="str">
        <x:v>Board width may be accidental or mechanically efficient rather than identity-relevant.</x:v>
      </x:c>
      <x:c r="S33" s="53" t="str">
        <x:v>NAYA</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b1.hall.setup.v1.change</x:v>
      </x:c>
      <x:c r="G34" s="53" t="str">
        <x:v>Change plans for this game</x:v>
      </x:c>
      <x:c r="H34" s="53" t="str">
        <x:v>C14</x:v>
      </x:c>
      <x:c r="I34" s="53" t="str">
        <x:v>SIG_C14_BOARD_RESPONSIVE</x:v>
      </x:c>
      <x:c r="J34" s="53" t="str">
        <x:v>DG_C14</x:v>
      </x:c>
      <x:c r="K34" s="53" t="str">
        <x:v>BEHAVIORAL_OBSERVATION</x:v>
      </x:c>
      <x:c r="L34" s="53" t="str">
        <x:v>GLINT | TEMUR</x:v>
      </x:c>
      <x:c r="M34" s="53" t="str"/>
      <x:c r="N34" s="53" t="n">
        <x:v>0.5</x:v>
      </x:c>
      <x:c r="O34" s="54" t="b">
        <x:v>0</x:v>
      </x:c>
      <x:c r="P34" s="53" t="str">
        <x:v>REMEDIATION_MAPPING_HYPOTHESIS</x:v>
      </x:c>
      <x:c r="Q34" s="53" t="str">
        <x:v>Prefers board-responsive development over preserving a stalled long plan.</x:v>
      </x:c>
      <x:c r="R34" s="53" t="str">
        <x:v>A clearly lost setup can make changing plans tactically mandatory.</x:v>
      </x:c>
      <x:c r="S34" s="53" t="str">
        <x:v>NAYA</x:v>
      </x:c>
      <x:c r="T34" s="53" t="str">
        <x:v>incomplete / useful_evidence_remains / b1.hall.sacrifice.v1</x:v>
      </x:c>
    </x:row>
    <x:row r="35">
      <x:c r="A35" s="53" t="n">
        <x:v>7</x:v>
      </x:c>
      <x:c r="B35" s="53" t="str">
        <x:v>main</x:v>
      </x:c>
      <x:c r="C35" s="53" t="str">
        <x:v>hall</x:v>
      </x:c>
      <x:c r="D35" s="53" t="str">
        <x:v>b1.hall.sacrifice.v1</x:v>
      </x:c>
      <x:c r="E35" s="53" t="str">
        <x:v>You can give up a useful permanent now for cards or another lasting resource. What feels natural?</x:v>
      </x:c>
      <x:c r="F35" s="53" t="str">
        <x:v>b1.hall.sacrifice.v1.preserve</x:v>
      </x:c>
      <x:c r="G35" s="53" t="str">
        <x:v>Keep the useful piece</x:v>
      </x:c>
      <x:c r="H35" s="53" t="str">
        <x:v>C12</x:v>
      </x:c>
      <x:c r="I35" s="53" t="str">
        <x:v>SIG_C12_PRESERVE</x:v>
      </x:c>
      <x:c r="J35" s="53" t="str">
        <x:v>DG_C12</x:v>
      </x:c>
      <x:c r="K35" s="53" t="str">
        <x:v>BEHAVIORAL_OBSERVATION</x:v>
      </x:c>
      <x:c r="L35" s="53" t="str"/>
      <x:c r="M35" s="53" t="str"/>
      <x:c r="N35" s="53" t="n">
        <x:v>0</x:v>
      </x:c>
      <x:c r="O35" s="54" t="b">
        <x:v>0</x:v>
      </x:c>
      <x:c r="P35" s="53" t="str">
        <x:v>OBSERVATION_ONLY</x:v>
      </x:c>
      <x:c r="Q35" s="53" t="str">
        <x:v>Prefers resource preservation.</x:v>
      </x:c>
      <x:c r="R35" s="53" t="str">
        <x:v>Observation wording and identity association require player validation; no weight is authorized.</x:v>
      </x:c>
      <x:c r="S35" s="53" t="str">
        <x:v>NAYA</x:v>
      </x:c>
      <x:c r="T35" s="53" t="str">
        <x:v>incomplete / useful_evidence_remains / b1.crucible.temur.v1</x:v>
      </x:c>
    </x:row>
    <x:row r="36">
      <x:c r="A36" s="53" t="n">
        <x:v>8</x:v>
      </x:c>
      <x:c r="B36" s="53" t="str">
        <x:v>main</x:v>
      </x:c>
      <x:c r="C36" s="53" t="str">
        <x:v>crucible</x:v>
      </x:c>
      <x:c r="D36" s="53" t="str">
        <x:v>b1.crucible.temur.v1</x:v>
      </x:c>
      <x:c r="E36" s="53" t="str">
        <x:v>The table changes and your planned sequence no longer fits. What should the deck do?</x:v>
      </x:c>
      <x:c r="F36" s="53" t="str">
        <x:v>b1.crucible.temur.v1.adapt</x:v>
      </x:c>
      <x:c r="G36" s="53" t="str">
        <x:v>Use the board that exists</x:v>
      </x:c>
      <x:c r="H36" s="53" t="str">
        <x:v>C01</x:v>
      </x:c>
      <x:c r="I36" s="53" t="str">
        <x:v>SIG_C01_PROACTIVE</x:v>
      </x:c>
      <x:c r="J36" s="53" t="str">
        <x:v>DG_C01</x:v>
      </x:c>
      <x:c r="K36" s="53" t="str">
        <x:v>BEHAVIORAL_OBSERVATION</x:v>
      </x:c>
      <x:c r="L36" s="53" t="str">
        <x:v>TEMUR</x:v>
      </x:c>
      <x:c r="M36" s="53" t="str"/>
      <x:c r="N36" s="53" t="n">
        <x:v>1</x:v>
      </x:c>
      <x:c r="O36" s="54" t="b">
        <x:v>1</x:v>
      </x:c>
      <x:c r="P36" s="53" t="str">
        <x:v>MAPPING_HYPOTHESIS</x:v>
      </x:c>
      <x:c r="Q36" s="53" t="str">
        <x:v>Prefers immediate board-based adaptation.</x:v>
      </x:c>
      <x:c r="R36" s="53" t="str">
        <x:v>Initiative posture may vary across calm, behind, and disrupted contexts; every C01 response shares DG_C01 and cannot stack.</x:v>
      </x:c>
      <x:c r="S36" s="53" t="str">
        <x:v>NAYA</x:v>
      </x:c>
      <x:c r="T36" s="53" t="str">
        <x:v>close / highest_responsible_candidate_trails_unqualified_internal_candidate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NAYA</x:v>
      </x:c>
      <x:c r="C40" s="53" t="str">
        <x:v>Naya</x:v>
      </x:c>
      <x:c r="D40" s="53" t="n">
        <x:v>0.833333</x:v>
      </x:c>
      <x:c r="E40" s="54" t="b">
        <x:v>0</x:v>
      </x:c>
      <x:c r="F40" s="53" t="str">
        <x:v>C07</x:v>
      </x:c>
    </x:row>
    <x:row r="41">
      <x:c r="A41" s="53" t="n">
        <x:v>2</x:v>
      </x:c>
      <x:c r="B41" s="53" t="str">
        <x:v>TEMUR</x:v>
      </x:c>
      <x:c r="C41" s="53" t="str">
        <x:v>Temur Frontier</x:v>
      </x:c>
      <x:c r="D41" s="53" t="n">
        <x:v>0.8125</x:v>
      </x:c>
      <x:c r="E41" s="54" t="b">
        <x:v>1</x:v>
      </x:c>
      <x:c r="F41" s="53" t="str">
        <x:v>C01 | C14</x:v>
      </x:c>
    </x:row>
    <x:row r="42">
      <x:c r="A42" s="53" t="n">
        <x:v>3</x:v>
      </x:c>
      <x:c r="B42" s="53" t="str">
        <x:v>JUND</x:v>
      </x:c>
      <x:c r="C42" s="53" t="str">
        <x:v>Jund</x:v>
      </x:c>
      <x:c r="D42" s="53" t="n">
        <x:v>0.625</x:v>
      </x:c>
      <x:c r="E42" s="54" t="b">
        <x:v>0</x:v>
      </x:c>
      <x:c r="F42" s="53" t="str">
        <x:v>C01</x:v>
      </x:c>
    </x:row>
    <x:row r="43">
      <x:c r="A43" s="53" t="n">
        <x:v>4</x:v>
      </x:c>
      <x:c r="B43" s="53" t="str">
        <x:v>R</x:v>
      </x:c>
      <x:c r="C43" s="53" t="str">
        <x:v>Red</x:v>
      </x:c>
      <x:c r="D43" s="53" t="n">
        <x:v>0.541667</x:v>
      </x:c>
      <x:c r="E43" s="54" t="b">
        <x:v>0</x:v>
      </x:c>
      <x:c r="F43" s="53" t="str">
        <x:v>C01</x:v>
      </x:c>
    </x:row>
    <x:row r="44">
      <x:c r="A44" s="53" t="n">
        <x:v>5</x:v>
      </x:c>
      <x:c r="B44" s="53" t="str">
        <x:v>RG</x:v>
      </x:c>
      <x:c r="C44" s="53" t="str">
        <x:v>Gruul Clans</x:v>
      </x:c>
      <x:c r="D44" s="53" t="n">
        <x:v>0.541667</x:v>
      </x:c>
      <x:c r="E44" s="54" t="b">
        <x:v>0</x:v>
      </x:c>
      <x:c r="F44" s="53" t="str">
        <x:v>C01</x:v>
      </x:c>
    </x:row>
    <x:row r="45">
      <x:c r="A45" s="53" t="n">
        <x:v>6</x:v>
      </x:c>
      <x:c r="B45" s="53" t="str">
        <x:v>GLINT</x:v>
      </x:c>
      <x:c r="C45" s="53" t="str">
        <x:v>Glint / Chaos</x:v>
      </x:c>
      <x:c r="D45" s="53" t="n">
        <x:v>0.458333</x:v>
      </x:c>
      <x:c r="E45" s="54" t="b">
        <x:v>0</x:v>
      </x:c>
      <x:c r="F45" s="53" t="str">
        <x:v>C14</x:v>
      </x:c>
    </x:row>
    <x:row r="46">
      <x:c r="A46" s="53" t="n">
        <x:v>7</x:v>
      </x:c>
      <x:c r="B46" s="53" t="str">
        <x:v>GRIXIS</x:v>
      </x:c>
      <x:c r="C46" s="53" t="str">
        <x:v>Grixis</x:v>
      </x:c>
      <x:c r="D46" s="53" t="n">
        <x:v>0.1875</x:v>
      </x:c>
      <x:c r="E46" s="54" t="b">
        <x:v>0</x:v>
      </x:c>
      <x:c r="F46" s="53" t="str"/>
    </x:row>
    <x:row r="47">
      <x:c r="A47" s="53" t="n">
        <x:v>8</x:v>
      </x:c>
      <x:c r="B47" s="53" t="str">
        <x:v>BR</x:v>
      </x:c>
      <x:c r="C47" s="53" t="str">
        <x:v>Cult of Rakdos</x:v>
      </x:c>
      <x:c r="D47" s="53" t="n">
        <x:v>0.166667</x:v>
      </x:c>
      <x:c r="E47" s="54" t="b">
        <x:v>0</x:v>
      </x:c>
      <x:c r="F47" s="53" t="str"/>
    </x:row>
    <x:row r="48">
      <x:c r="A48" s="53" t="n">
        <x:v>9</x:v>
      </x:c>
      <x:c r="B48" s="53" t="str">
        <x:v>MARDU</x:v>
      </x:c>
      <x:c r="C48" s="53" t="str">
        <x:v>Mardu Horde</x:v>
      </x:c>
      <x:c r="D48" s="53" t="n">
        <x:v>0.166667</x:v>
      </x:c>
      <x:c r="E48" s="54" t="b">
        <x:v>0</x:v>
      </x:c>
      <x:c r="F48" s="53" t="str"/>
    </x:row>
    <x:row r="49">
      <x:c r="A49" s="53" t="n">
        <x:v>10</x:v>
      </x:c>
      <x:c r="B49" s="53" t="str">
        <x:v>SULTAI</x:v>
      </x:c>
      <x:c r="C49" s="53" t="str">
        <x:v>Sultai Brood</x:v>
      </x:c>
      <x:c r="D49" s="53" t="n">
        <x:v>0.166667</x:v>
      </x:c>
      <x:c r="E49" s="54" t="b">
        <x:v>0</x:v>
      </x:c>
      <x:c r="F49" s="53" t="str"/>
    </x:row>
    <x:row r="50">
      <x:c r="A50" s="53" t="n">
        <x:v>11</x:v>
      </x:c>
      <x:c r="B50" s="53" t="str">
        <x:v>WITHERBLOOM</x:v>
      </x:c>
      <x:c r="C50" s="53" t="str">
        <x:v>Witherbloom College</x:v>
      </x:c>
      <x:c r="D50" s="53" t="n">
        <x:v>0.166667</x:v>
      </x:c>
      <x:c r="E50" s="54" t="b">
        <x:v>0</x:v>
      </x:c>
      <x:c r="F50" s="53" t="str"/>
    </x:row>
    <x:row r="51">
      <x:c r="A51" s="53" t="n">
        <x:v>12</x:v>
      </x:c>
      <x:c r="B51" s="53" t="str">
        <x:v>WR</x:v>
      </x:c>
      <x:c r="C51" s="53" t="str">
        <x:v>Boros Legion</x:v>
      </x:c>
      <x:c r="D51" s="53" t="n">
        <x:v>0.166667</x:v>
      </x:c>
      <x:c r="E51" s="54" t="b">
        <x:v>0</x:v>
      </x:c>
      <x:c r="F51" s="53" t="str"/>
    </x:row>
    <x:row r="52">
      <x:c r="A52" s="53" t="n">
        <x:v>13</x:v>
      </x:c>
      <x:c r="B52" s="53" t="str">
        <x:v>PRISMARI</x:v>
      </x:c>
      <x:c r="C52" s="53" t="str">
        <x:v>Prismari College</x:v>
      </x:c>
      <x:c r="D52" s="53" t="n">
        <x:v>0.083333</x:v>
      </x:c>
      <x:c r="E52" s="54" t="b">
        <x:v>0</x:v>
      </x:c>
      <x:c r="F52" s="53" t="str"/>
    </x:row>
    <x:row r="53">
      <x:c r="A53" s="53" t="n">
        <x:v>14</x:v>
      </x:c>
      <x:c r="B53" s="53" t="str">
        <x:v>ABZAN</x:v>
      </x:c>
      <x:c r="C53" s="53" t="str">
        <x:v>Abzan Houses</x:v>
      </x:c>
      <x:c r="D53" s="53" t="n">
        <x:v>0.083333</x:v>
      </x:c>
      <x:c r="E53" s="54" t="b">
        <x:v>0</x:v>
      </x:c>
      <x:c r="F53" s="53" t="str"/>
    </x:row>
    <x:row r="54">
      <x:c r="A54" s="53" t="n">
        <x:v>15</x:v>
      </x:c>
      <x:c r="B54" s="53" t="str">
        <x:v>BG</x:v>
      </x:c>
      <x:c r="C54" s="53" t="str">
        <x:v>Golgari Swarm</x:v>
      </x:c>
      <x:c r="D54" s="53" t="n">
        <x:v>0.083333</x:v>
      </x:c>
      <x:c r="E54" s="54" t="b">
        <x:v>0</x:v>
      </x:c>
      <x:c r="F54" s="53" t="str"/>
    </x:row>
    <x:row r="55">
      <x:c r="A55" s="53" t="n">
        <x:v>16</x:v>
      </x:c>
      <x:c r="B55" s="53" t="str">
        <x:v>DUNE</x:v>
      </x:c>
      <x:c r="C55" s="53" t="str">
        <x:v>Dune / Aggression</x:v>
      </x:c>
      <x:c r="D55" s="53" t="n">
        <x:v>0.083333</x:v>
      </x:c>
      <x:c r="E55" s="54" t="b">
        <x:v>0</x:v>
      </x:c>
      <x:c r="F55" s="53" t="str"/>
    </x:row>
    <x:row r="56">
      <x:c r="A56" s="53" t="n">
        <x:v>17</x:v>
      </x:c>
      <x:c r="B56" s="53" t="str">
        <x:v>G</x:v>
      </x:c>
      <x:c r="C56" s="53" t="str">
        <x:v>Green</x:v>
      </x:c>
      <x:c r="D56" s="53" t="n">
        <x:v>0.083333</x:v>
      </x:c>
      <x:c r="E56" s="54" t="b">
        <x:v>0</x:v>
      </x:c>
      <x:c r="F56" s="53" t="str"/>
    </x:row>
    <x:row r="57">
      <x:c r="A57" s="53" t="n">
        <x:v>18</x:v>
      </x:c>
      <x:c r="B57" s="53" t="str">
        <x:v>QUANDRIX</x:v>
      </x:c>
      <x:c r="C57" s="53" t="str">
        <x:v>Quandrix College</x:v>
      </x:c>
      <x:c r="D57" s="53" t="n">
        <x:v>0.083333</x:v>
      </x:c>
      <x:c r="E57" s="54" t="b">
        <x:v>0</x:v>
      </x:c>
      <x:c r="F57" s="53" t="str"/>
    </x:row>
    <x:row r="58">
      <x:c r="A58" s="53" t="n">
        <x:v>19</x:v>
      </x:c>
      <x:c r="B58" s="53" t="str">
        <x:v>UG</x:v>
      </x:c>
      <x:c r="C58" s="53" t="str">
        <x:v>Simic Combine</x:v>
      </x:c>
      <x:c r="D58" s="53" t="n">
        <x:v>0.083333</x:v>
      </x:c>
      <x:c r="E58" s="54" t="b">
        <x:v>0</x:v>
      </x:c>
      <x:c r="F58" s="53" t="str"/>
    </x:row>
    <x:row r="59">
      <x:c r="A59" s="53" t="n">
        <x:v>20</x:v>
      </x:c>
      <x:c r="B59" s="53" t="str">
        <x:v>UR</x:v>
      </x:c>
      <x:c r="C59" s="53" t="str">
        <x:v>Izzet League</x:v>
      </x:c>
      <x:c r="D59" s="53" t="n">
        <x:v>0.083333</x:v>
      </x:c>
      <x:c r="E59" s="54" t="b">
        <x:v>0</x:v>
      </x:c>
      <x:c r="F59" s="53" t="str"/>
    </x:row>
    <x:row r="60">
      <x:c r="A60" s="53" t="n">
        <x:v>21</x:v>
      </x:c>
      <x:c r="B60" s="53" t="str">
        <x:v>W</x:v>
      </x:c>
      <x:c r="C60" s="53" t="str">
        <x:v>White</x:v>
      </x:c>
      <x:c r="D60" s="53" t="n">
        <x:v>0.083333</x:v>
      </x:c>
      <x:c r="E60" s="54" t="b">
        <x:v>0</x:v>
      </x:c>
      <x:c r="F60" s="53" t="str"/>
    </x:row>
    <x:row r="61">
      <x:c r="A61" s="53" t="n">
        <x:v>22</x:v>
      </x:c>
      <x:c r="B61" s="53" t="str">
        <x:v>WB</x:v>
      </x:c>
      <x:c r="C61" s="53" t="str">
        <x:v>Orzhov Syndicate</x:v>
      </x:c>
      <x:c r="D61" s="53" t="n">
        <x:v>0.083333</x:v>
      </x:c>
      <x:c r="E61" s="54" t="b">
        <x:v>0</x:v>
      </x:c>
      <x:c r="F61" s="53" t="str"/>
    </x:row>
    <x:row r="62">
      <x:c r="A62" s="53" t="n">
        <x:v>23</x:v>
      </x:c>
      <x:c r="B62" s="53" t="str">
        <x:v>WITCH</x:v>
      </x:c>
      <x:c r="C62" s="53" t="str">
        <x:v>Witch / Growth</x:v>
      </x:c>
      <x:c r="D62" s="53" t="n">
        <x:v>0.083333</x:v>
      </x:c>
      <x:c r="E62" s="54" t="b">
        <x:v>0</x:v>
      </x:c>
      <x:c r="F62" s="53" t="str"/>
    </x:row>
    <x:row r="63">
      <x:c r="A63" s="53" t="n">
        <x:v>24</x:v>
      </x:c>
      <x:c r="B63" s="53" t="str">
        <x:v>YORE</x:v>
      </x:c>
      <x:c r="C63" s="53" t="str">
        <x:v>Yore / Artifice</x:v>
      </x:c>
      <x:c r="D63" s="53" t="n">
        <x:v>0.083333</x:v>
      </x:c>
      <x:c r="E63" s="54" t="b">
        <x:v>0</x:v>
      </x:c>
      <x:c r="F63" s="53" t="str"/>
    </x:row>
    <x:row r="64">
      <x:c r="A64" s="53" t="n">
        <x:v>25</x:v>
      </x:c>
      <x:c r="B64" s="53" t="str">
        <x:v>B</x:v>
      </x:c>
      <x:c r="C64" s="53" t="str">
        <x:v>Black</x:v>
      </x:c>
      <x:c r="D64" s="53" t="n">
        <x:v>0.0625</x:v>
      </x:c>
      <x:c r="E64" s="54" t="b">
        <x:v>0</x:v>
      </x:c>
      <x:c r="F64" s="53" t="str"/>
    </x:row>
    <x:row r="65">
      <x:c r="A65" s="53" t="n">
        <x:v>26</x:v>
      </x:c>
      <x:c r="B65" s="53" t="str">
        <x:v>JESKAI</x:v>
      </x:c>
      <x:c r="C65" s="53" t="str">
        <x:v>Jeskai Way</x:v>
      </x:c>
      <x:c r="D65" s="53" t="n">
        <x:v>0.0625</x:v>
      </x:c>
      <x:c r="E65" s="54" t="b">
        <x:v>0</x:v>
      </x:c>
      <x:c r="F65" s="53" t="str"/>
    </x:row>
    <x:row r="66">
      <x:c r="A66" s="53" t="n">
        <x:v>27</x:v>
      </x:c>
      <x:c r="B66" s="53" t="str">
        <x:v>U</x:v>
      </x:c>
      <x:c r="C66" s="53" t="str">
        <x:v>Blue</x:v>
      </x:c>
      <x:c r="D66" s="53" t="n">
        <x:v>0.0625</x:v>
      </x:c>
      <x:c r="E66" s="54" t="b">
        <x:v>0</x:v>
      </x:c>
      <x:c r="F66" s="53" t="str"/>
    </x:row>
    <x:row r="67">
      <x:c r="A67" s="53" t="n">
        <x:v>28</x:v>
      </x:c>
      <x:c r="B67" s="53" t="str">
        <x:v>UB</x:v>
      </x:c>
      <x:c r="C67" s="53" t="str">
        <x:v>House Dimir</x:v>
      </x:c>
      <x:c r="D67" s="53" t="n">
        <x:v>0.0625</x:v>
      </x:c>
      <x:c r="E67" s="54" t="b">
        <x:v>0</x:v>
      </x:c>
      <x:c r="F67" s="53" t="str"/>
    </x:row>
    <x:row r="68">
      <x:c r="A68" s="53" t="n">
        <x:v>29</x:v>
      </x:c>
      <x:c r="B68" s="53" t="str">
        <x:v>BANT</x:v>
      </x:c>
      <x:c r="C68" s="53" t="str">
        <x:v>Bant</x:v>
      </x:c>
      <x:c r="D68" s="53" t="n">
        <x:v>0</x:v>
      </x:c>
      <x:c r="E68" s="54" t="b">
        <x:v>0</x:v>
      </x:c>
      <x:c r="F68" s="53" t="str"/>
    </x:row>
    <x:row r="69">
      <x:c r="A69" s="53" t="n">
        <x:v>30</x:v>
      </x:c>
      <x:c r="B69" s="53" t="str">
        <x:v>COLORLESS</x:v>
      </x:c>
      <x:c r="C69" s="53" t="str">
        <x:v>Colorless</x:v>
      </x:c>
      <x:c r="D69" s="53" t="n">
        <x:v>0</x:v>
      </x:c>
      <x:c r="E69" s="54" t="b">
        <x:v>0</x:v>
      </x:c>
      <x:c r="F69" s="53" t="str"/>
    </x:row>
    <x:row r="70">
      <x:c r="A70" s="53" t="n">
        <x:v>31</x:v>
      </x:c>
      <x:c r="B70" s="53" t="str">
        <x:v>ESPER</x:v>
      </x:c>
      <x:c r="C70" s="53" t="str">
        <x:v>Esper</x:v>
      </x:c>
      <x:c r="D70" s="53" t="n">
        <x:v>0</x:v>
      </x:c>
      <x:c r="E70" s="54" t="b">
        <x:v>0</x:v>
      </x:c>
      <x:c r="F70" s="53" t="str"/>
    </x:row>
    <x:row r="71">
      <x:c r="A71" s="53" t="n">
        <x:v>32</x:v>
      </x:c>
      <x:c r="B71" s="53" t="str">
        <x:v>INK</x:v>
      </x:c>
      <x:c r="C71" s="53" t="str">
        <x:v>Ink / Altruism</x:v>
      </x:c>
      <x:c r="D71" s="53" t="n">
        <x:v>0</x:v>
      </x:c>
      <x:c r="E71" s="54" t="b">
        <x:v>0</x:v>
      </x:c>
      <x:c r="F71" s="53" t="str"/>
    </x:row>
    <x:row r="72">
      <x:c r="A72" s="53" t="n">
        <x:v>33</x:v>
      </x:c>
      <x:c r="B72" s="53" t="str">
        <x:v>LOREHOLD</x:v>
      </x:c>
      <x:c r="C72" s="53" t="str">
        <x:v>Lorehold College</x:v>
      </x:c>
      <x:c r="D72" s="53" t="n">
        <x:v>0</x:v>
      </x:c>
      <x:c r="E72" s="54" t="b">
        <x:v>0</x:v>
      </x:c>
      <x:c r="F72" s="53" t="str"/>
    </x:row>
    <x:row r="73">
      <x:c r="A73" s="53" t="n">
        <x:v>34</x:v>
      </x:c>
      <x:c r="B73" s="53" t="str">
        <x:v>SILVERQUILL</x:v>
      </x:c>
      <x:c r="C73" s="53" t="str">
        <x:v>Silverquill College</x:v>
      </x:c>
      <x:c r="D73" s="53" t="n">
        <x:v>0</x:v>
      </x:c>
      <x:c r="E73" s="54" t="b">
        <x:v>0</x:v>
      </x:c>
      <x:c r="F73" s="53" t="str"/>
    </x:row>
    <x:row r="74">
      <x:c r="A74" s="53" t="n">
        <x:v>35</x:v>
      </x:c>
      <x:c r="B74" s="53" t="str">
        <x:v>WG</x:v>
      </x:c>
      <x:c r="C74" s="53" t="str">
        <x:v>Selesnya Conclave</x:v>
      </x:c>
      <x:c r="D74" s="53" t="n">
        <x:v>0</x:v>
      </x:c>
      <x:c r="E74" s="54" t="b">
        <x:v>0</x:v>
      </x:c>
      <x:c r="F74" s="53" t="str"/>
    </x:row>
    <x:row r="75">
      <x:c r="A75" s="53" t="n">
        <x:v>36</x:v>
      </x:c>
      <x:c r="B75" s="53" t="str">
        <x:v>WU</x:v>
      </x:c>
      <x:c r="C75" s="53" t="str">
        <x:v>Azorius Senate</x:v>
      </x:c>
      <x:c r="D75" s="53" t="n">
        <x:v>0</x:v>
      </x:c>
      <x:c r="E75" s="54" t="b">
        <x:v>0</x:v>
      </x:c>
      <x:c r="F75" s="53" t="str"/>
    </x:row>
    <x:row r="76">
      <x:c r="A76" s="53" t="n">
        <x:v>37</x:v>
      </x:c>
      <x:c r="B76" s="53" t="str">
        <x:v>WUBRG</x:v>
      </x:c>
      <x:c r="C76" s="53" t="str">
        <x:v>Five-Color / WUBRG</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"TEMUR",
  "faction_name": "Temur Frontier",
  "institution_type": "wedge",
  "world": "Tarkir",
  "identity": {
    "core_color": "G",
    "secondary_colors": [
      "U",
      "R"
    ],
    "secondary_color": "U",
    "expression_key": "TEMUR",
    "expression_name": "Temur Frontier",
    "expression_kind": "wedge",
    "purity": null,
    "routing": {
      "color_identity": "GUR",
      "label": "Temur"
    }
  },
  "decree": "This is the identity your recorded answers favored most in this reading.",
  "confidence": 0.046,
  "confidence_gap": 1,
  "mana_scores": {
    "W": 8,
    "U": 9,
    "B": 9,
    "R": 10,
    "G": 10
  },
  "top_matches": [
    {
      "rank": 1,
      "faction": "TEMUR",
      "faction_name": "Temur Frontier",
      "institution_type": "wedge",
      "world": "Tarkir",
      "identity": {
        "core_color": "G",
        "secondary_colors": [
          "U",
          "R"
        ],
        "secondary_color": "U",
        "expression_key": "TEMUR",
        "expression_name": "Temur Frontier",
        "expression_kind": "wedge",
        "purity": null,
        "routing": {
          "color_identity": "GUR",
          "label": "Temur"
        }
      },
      "score": 0.8125,
      "confidence": 0.046,
      "reason": "Temur Frontier remained plausible through C01, C07, C14; identity mapping remains a hypothesis."
    }
  ],
  "adjacent_matches": [],
  "internal_candidate_order": [
    {
      "identity": "NAYA",
      "score": 0.833333,
      "positive_dependencies": 1,
      "qualification_dependencies": 1,
      "naming_dependencies": 1,
      "positive_constructs": [
        "C07"
      ],
      "satisfied_naming_rule_ids": [
        "instrument_completion_overlay:b1.hall.pressure.v1.abundance:NAYA"
      ],
      "naming_qualification": {
        "identity": "NAYA",
        "qualified": false,
        "satisfied_naming_rule_ids": [
          "instrument_completion_overlay:b1.hall.pressure.v1.abundance:NAYA"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"TEMUR",
      "score": 0.8125,
      "positive_dependencies": 2,
      "qualification_dependencies": 2,
      "naming_dependencies": 1,
      "positive_constructs": [
        "C01",
        "C14"
      ],
      "satisfied_naming_rule_ids": [
        "baseline_40:b1.crucible.temur.v1.adapt:TEMUR"
      ],
      "naming_qualification": {
        "identity": "TEMUR",
        "qualified": true,
        "satisfied_naming_rule_ids": [
          "baseline_40:b1.crucible.temur.v1.adapt:TEMUR"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"C14"
      ]
    },
    {
      "identity": "JUND",
      "score": 0.625,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"C12"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"C04"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"GLINT",
      "score": 0.458333,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"GRIXIS",
      "score": 0.1875,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"C12"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"C12"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"C14"
      ]
    },
    {
      "identity": "WITHERBLOOM",
      "score": 0.166667,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"C14"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"YORE",
      "score": 0.083333,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"C12"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
      "score": 0.0625,
      "positive_dependencies": 0,
      "qualification_dependencies": 0,
      "naming_dependencies": 0,
      "positive_constructs": [],
      "satisfied_naming_rule_ids": [],
      "naming_qualification": {
        "identity": "U",
        "qualified": false,
        "satisfied_naming_rule_ids": [],
        "requirements": {
          "behaviorally_observable</x:v>
      </x:c>
    </x:row>
    <x:row r="80">
      <x:c r="A80" s="53" t="str">
        <x:v>Part 2/3</x:v>
      </x:c>
      <x:c r="B80" s="53" t="str">
        <x:v>":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"NAYA",
    "TEMUR",
    "JUND",
    "R",
    "RG"
  ],
  "alternatives": [],
  "refinement": {
    "kind": "no_approved_discriminator",
    "can_reduce_ambiguity": false,
    "remaining_candidates": [
      "TEMUR"
    ],
    "unresolved_boundaries": [],
    "missing_constructs": [],
    "question_id": null,
    "purpose": "no_approved_discriminator",
    "target_identities": [
      "TEMUR"
    ],
    "target_pair_ids": [],
    "distinction": "",
    "revisit": null,
    "limitation": "The approved instrument cannot responsibly distinguish the remaining candidates with another available observation."
  },
  "stopping": {
    "stop": true,
    "state": "close",
    "reason": "highest_responsible_candidate_trails_unqualified_internal_candidate",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"answer_title": "Keep the wide board moving",
      "prompt": "The player ahead uses all their mana and leaves one turn where the table can take control. Which kind of pressure do you want your deck to create?",
      "observation": "Prefers abundance-based board pressure rather than one concentrated strike.",
      "deltas": [
        {
          "faction": "NAYA",
          "delta": 1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"question_id": "b1.hall.sacrifice.v1",
      "answer_id": "b1.hall.sacrifice.v1.preserve",
      "stage": "hall",
      "construct": "C12",
      "bounded_observation": "Prefers resource preservation.",
      "signal": "SIG_C12_PRESERVE",
      "dependency_group": "DG_C12",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"Keep the useful piece",
      "prompt": "You can give up a useful permanent now for cards or another lasting resource. What feels natural?",
      "observation": "Prefers resource preservation.",
      "deltas": []
    },
    {
      "question_id": "b1.crucible.temur.v1",
      "answer_id": "b1.crucible.temur.v1.adapt",
      "stage": "crucible",
      "construct": "C01",
      "bounded_observation": "Prefers immediate board-based adaptation.",
      "signal": "SIG_C01_PROACTIVE",
      "dependency_group": "DG_C01",
      "evidence_class": "BEHAVIORAL_OBSERVATION",
      "affected_identities": [
        "TEMUR"
      ],
      "positive_support": [
        "TEMUR"
      ],
      "contradiction": [],
      "neutral": false,
      "mapping_strength": 1,
      "naming_evidence": true,
      "qualification_eligible": true,
      "qualification_support": [
        "TEMUR"
      ],
      "naming_support": [
        "TEMUR"
      ],
      "naming_rule_ids_by_identity": {
        "TEMUR": [
          "baseline_40:b1.crucible.temur.v1.adapt:TEMUR"
        ]
      },
      "mapping_role": "bounded_target_direction",
      "mapping_status": "MAPPING_HYPOTHESIS",
      "mapping_provenance": "answer-semantic-adjudication.tsv TEMUR boundary evidence-required hypothesis",
      "evidence_provenance": "E-CERTIFIED;E-PLAYER-PACE;E-AUDIT;E-CECOS;E-VOICE",
      "limitation": "Initiative posture may vary across calm, behind, and disrupted contexts; every C01 response shares DG_C01 and cannot stack.",
      "behavioral_vs_lens": "behavioral",
      "answer_title": "Use the board that exists",
      "prompt": "The table changes and your planned sequence no longer fits. What should the deck do?",
      "observation": "Prefers immediate board-based adaptation.",
      "deltas": [
        {
          "faction": "TEMUR",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x:v>
      </x:c>
    </x:row>
    <x:row r="81">
      <x:c r="A81" s="53" t="str">
        <x:v>Part 3/3</x:v>
      </x:c>
      <x:c r="B81" s="53" t="str">
        <x:v>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"question_id": "b1.hall.sacrifice.v1",
      "answer_id": "b1.hall.sacrifice.v1.preserve",
      "stage": "hall",
      "construct": "C12",
      "bounded_observation": "Prefers resource preservation.",
      "signal": "SIG_C12_PRESERVE",
      "dependency_group": "DG_C12",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"b1.crucible.temur.v1",
      "answer_id": "b1.crucible.temur.v1.adapt",
      "stage": "crucible",
      "construct": "C01",
      "bounded_observation": "Prefers immediate board-based adaptation.",
      "signal": "SIG_C01_PROACTIVE",
      "dependency_group": "DG_C01",
      "evidence_class": "BEHAVIORAL_OBSERVATION",
      "affected_identities": [
        "TEMUR"
      ],
      "positive_support": [
        "TEMUR"
      ],
      "contradiction": [],
      "neutral": false,
      "mapping_strength": 1,
      "naming_evidence": true,
      "qualification_eligible": true,
      "qualification_support": [
        "TEMUR"
      ],
      "naming_support": [
        "TEMUR"
      ],
      "naming_rule_ids_by_identity": {
        "TEMUR": [
          "baseline_40:b1.crucible.temur.v1.adapt:TEMUR"
        ]
      },
      "mapping_role": "bounded_target_direction",
      "mapping_status": "MAPPING_HYPOTHESIS",
      "mapping_provenance": "answer-semantic-adjudication.tsv TEMUR boundary evidence-required hypothesis",
      "evidence_provenance": "E-CERTIFIED;E-PLAYER-PACE;E-AUDIT;E-CECOS;E-VOICE",
      "limitation": "Initiative posture may vary across calm, behind, and disrupted contexts; every C01 response shares DG_C01 and cannot stack.",
      "behavioral_vs_lens": "behavioral"
    }
  ],
  "lens_ledger": [],
  "stage_history": [
    {
      "question_id": "b1.gate.initiative.v1",
      "answer_id": "b1.gate.initiative.v1.advance",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"b1.hall.pressure.v1.abundance",
      "stage": "hall",
      "evidence_class": "BEHAVIORAL_OBSERVATION"
    },
    {
      "question_id": "b1.hall.setup.v1",
      "answer_id": "b1.hall.setup.v1.change",
      "stage": "hall",
      "evidence_class": "BEHAVIORAL_OBSERVATION"
    },
    {
      "question_id": "b1.hall.sacrifice.v1",
      "answer_id": "b1.hall.sacrifice.v1.preserve",
      "stage": "hall",
      "evidence_class": "BEHAVIORAL_OBSERVATION"
    },
    {
      "question_id": "b1.crucible.temur.v1",
      "answer_id": "b1.crucible.temur.v1.adapt",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8:T38"/>
    <x:mergeCell ref="A78:T78"/>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Dune / Aggression — Engine Trace</x:v>
      </x:c>
      <x:c r="B1" s="3"/>
      <x:c r="C1" s="3"/>
      <x:c r="D1" s="3"/>
      <x:c r="E1" s="3"/>
      <x:c r="F1" s="3"/>
      <x:c r="G1" s="3"/>
      <x:c r="H1" s="3"/>
      <x:c r="I1" s="3"/>
      <x:c r="J1" s="3"/>
      <x:c r="K1" s="3"/>
      <x:c r="L1" s="3"/>
      <x:c r="M1" s="3"/>
      <x:c r="N1" s="3"/>
      <x:c r="O1" s="3"/>
      <x:c r="P1" s="3"/>
      <x:c r="Q1" s="3"/>
      <x:c r="R1" s="3"/>
      <x:c r="S1" s="3"/>
      <x:c r="T1" s="3"/>
    </x:row>
    <x:row r="2" ht="30" customHeight="1">
      <x:c r="A2" s="7" t="str">
        <x:v>ENGINE-DUNE • PASS_MATCH • primary • trace 551d997a66f9b69312b21f80845eb6faabedc1595812e2c9b8ae6c37b148cc52</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DUNE</x:v>
      </x:c>
    </x:row>
    <x:row r="6">
      <x:c r="A6" s="53" t="str">
        <x:v>Expected public contract</x:v>
      </x:c>
      <x:c r="B6" s="53" t="str">
        <x:v>NAMED_DOSSIER</x:v>
      </x:c>
    </x:row>
    <x:row r="7">
      <x:c r="A7" s="53" t="str">
        <x:v>Witness status</x:v>
      </x:c>
      <x:c r="B7" s="53" t="str">
        <x:v>CURRENT_COMPATIBLE</x:v>
      </x:c>
    </x:row>
    <x:row r="8">
      <x:c r="A8" s="53" t="str">
        <x:v>Actual result</x:v>
      </x:c>
      <x:c r="B8" s="53" t="str">
        <x:v>DUNE</x:v>
      </x:c>
    </x:row>
    <x:row r="9">
      <x:c r="A9" s="53" t="str">
        <x:v>Directional result</x:v>
      </x:c>
      <x:c r="B9" s="53" t="str">
        <x:v>DUNE</x:v>
      </x:c>
    </x:row>
    <x:row r="10">
      <x:c r="A10" s="53" t="str">
        <x:v>Public state</x:v>
      </x:c>
      <x:c r="B10" s="53" t="str">
        <x:v>current-best-fit</x:v>
      </x:c>
    </x:row>
    <x:row r="11">
      <x:c r="A11" s="53" t="str">
        <x:v>Raw numeric leader</x:v>
      </x:c>
      <x:c r="B11" s="53" t="str">
        <x:v>DUNE</x:v>
      </x:c>
    </x:row>
    <x:row r="12">
      <x:c r="A12" s="53" t="str">
        <x:v>Raw score</x:v>
      </x:c>
      <x:c r="B12" s="53" t="n">
        <x:v>1</x:v>
      </x:c>
    </x:row>
    <x:row r="13">
      <x:c r="A13" s="53" t="str">
        <x:v>Raw leader qualified</x:v>
      </x:c>
      <x:c r="B13" s="54" t="b">
        <x:v>1</x:v>
      </x:c>
    </x:row>
    <x:row r="14">
      <x:c r="A14" s="53" t="str">
        <x:v>Selected qualified</x:v>
      </x:c>
      <x:c r="B14" s="54" t="b">
        <x:v>1</x:v>
      </x:c>
    </x:row>
    <x:row r="15">
      <x:c r="A15" s="53" t="str">
        <x:v>Frontier</x:v>
      </x:c>
      <x:c r="B15" s="53" t="str">
        <x:v>DUNE</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outputs/01a02cd6-bce7-7832-9558-3075c52f146a/archscry-current-state-2026-08-22/evidence/engine/traces/dune.json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b1.gate.initiative.v1.unsure</x:v>
      </x:c>
      <x:c r="G29" s="53" t="str">
        <x:v>I do not know yet</x:v>
      </x:c>
      <x:c r="H29" s="53" t="str">
        <x:v>C01</x:v>
      </x:c>
      <x:c r="I29" s="53" t="str">
        <x:v>SIG_C01_UNKNOWN</x:v>
      </x:c>
      <x:c r="J29" s="53" t="str">
        <x:v>DG_C01</x:v>
      </x:c>
      <x:c r="K29" s="53" t="str">
        <x:v>BEHAVIORAL_OBSERVATION</x:v>
      </x:c>
      <x:c r="L29" s="53" t="str"/>
      <x:c r="M29" s="53" t="str"/>
      <x:c r="N29" s="53" t="n">
        <x:v>0</x:v>
      </x:c>
      <x:c r="O29" s="54" t="b">
        <x:v>0</x:v>
      </x:c>
      <x:c r="P29" s="53" t="str">
        <x:v>OBSERVATION_ONLY</x:v>
      </x:c>
      <x:c r="Q29" s="53" t="str">
        <x:v>Reports insufficient experience for this construct.</x:v>
      </x:c>
      <x:c r="R29" s="53" t="str">
        <x:v>Evidence-bearing but non-directional; may justify another Hall item or a close, mixed, contradictory, or insufficient result and must not be averaged into support.</x:v>
      </x:c>
      <x:c r="S29" s="53" t="str">
        <x:v>ABZAN</x:v>
      </x:c>
      <x:c r="T29" s="53" t="str">
        <x:v>incomplete / minimum_questions / b1.hall.commitment.v1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GRIXIS</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b1.gate.tempo.v1.waves</x:v>
      </x:c>
      <x:c r="G32" s="53" t="str">
        <x:v>Several distinct surges</x:v>
      </x:c>
      <x:c r="H32" s="53" t="str">
        <x:v>C04</x:v>
      </x:c>
      <x:c r="I32" s="53" t="str">
        <x:v>SIG_C04_CYCLICAL</x:v>
      </x:c>
      <x:c r="J32" s="53" t="str">
        <x:v>DG_C04</x:v>
      </x:c>
      <x:c r="K32" s="53" t="str">
        <x:v>BEHAVIORAL_OBSERVATION</x:v>
      </x:c>
      <x:c r="L32" s="53" t="str"/>
      <x:c r="M32" s="53" t="str"/>
      <x:c r="N32" s="53" t="n">
        <x:v>0</x:v>
      </x:c>
      <x:c r="O32" s="54" t="b">
        <x:v>0</x:v>
      </x:c>
      <x:c r="P32" s="53" t="str">
        <x:v>OBSERVATION_ONLY</x:v>
      </x:c>
      <x:c r="Q32" s="53" t="str">
        <x:v>Prefers cyclical advantage.</x:v>
      </x:c>
      <x:c r="R32" s="53" t="str">
        <x:v>Observation wording and identity association require player validation; no weight is authorized.</x:v>
      </x:c>
      <x:c r="S32" s="53" t="str">
        <x:v>BR</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b1.hall.pressure.v1.resources</x:v>
      </x:c>
      <x:c r="G33" s="53" t="str">
        <x:v>Narrow their options first</x:v>
      </x:c>
      <x:c r="H33" s="53" t="str">
        <x:v>C07</x:v>
      </x:c>
      <x:c r="I33" s="53" t="str">
        <x:v>SIG_C07_RESOURCE_CONTROL</x:v>
      </x:c>
      <x:c r="J33" s="53" t="str">
        <x:v>DG_C07</x:v>
      </x:c>
      <x:c r="K33" s="53" t="str">
        <x:v>BEHAVIORAL_OBSERVATION</x:v>
      </x:c>
      <x:c r="L33" s="53" t="str">
        <x:v>WB</x:v>
      </x:c>
      <x:c r="M33" s="53" t="str"/>
      <x:c r="N33" s="53" t="n">
        <x:v>0.5</x:v>
      </x:c>
      <x:c r="O33" s="54" t="b">
        <x:v>0</x:v>
      </x:c>
      <x:c r="P33" s="53" t="str">
        <x:v>REMEDIATION_MAPPING_HYPOTHESIS</x:v>
      </x:c>
      <x:c r="Q33" s="53" t="str">
        <x:v>Prefers resource-control pressure before attempting to end the game.</x:v>
      </x:c>
      <x:c r="R33" s="53" t="str">
        <x:v>Removing options can be a tactical prerequisite in any deck.</x:v>
      </x:c>
      <x:c r="S33" s="53" t="str">
        <x:v>WB</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b1.hall.commitment.v1.short</x:v>
      </x:c>
      <x:c r="G34" s="53" t="str">
        <x:v>Keep only this opening</x:v>
      </x:c>
      <x:c r="H34" s="53" t="str">
        <x:v>C13</x:v>
      </x:c>
      <x:c r="I34" s="53" t="str">
        <x:v>SIG_C13_BOUNDED</x:v>
      </x:c>
      <x:c r="J34" s="53" t="str">
        <x:v>DG_C13</x:v>
      </x:c>
      <x:c r="K34" s="53" t="str">
        <x:v>BEHAVIORAL_OBSERVATION</x:v>
      </x:c>
      <x:c r="L34" s="53" t="str">
        <x:v>DUNE | MARDU | WR</x:v>
      </x:c>
      <x:c r="M34" s="53" t="str"/>
      <x:c r="N34" s="53" t="n">
        <x:v>1</x:v>
      </x:c>
      <x:c r="O34" s="54" t="b">
        <x:v>1</x:v>
      </x:c>
      <x:c r="P34" s="53" t="str">
        <x:v>REMEDIATION_MAPPING_HYPOTHESIS</x:v>
      </x:c>
      <x:c r="Q34" s="53" t="str">
        <x:v>Prefers bounded coordination tied to the present opening.</x:v>
      </x:c>
      <x:c r="R34" s="53" t="str">
        <x:v>A short deal may be tactically obvious rather than an enduring behavioral preference.</x:v>
      </x:c>
      <x:c r="S34" s="53" t="str">
        <x:v>MARDU</x:v>
      </x:c>
      <x:c r="T34" s="53" t="str">
        <x:v>incomplete / useful_evidence_remains / b1.hall.threat.v1</x:v>
      </x:c>
    </x:row>
    <x:row r="35">
      <x:c r="A35" s="53" t="n">
        <x:v>7</x:v>
      </x:c>
      <x:c r="B35" s="53" t="str">
        <x:v>main</x:v>
      </x:c>
      <x:c r="C35" s="53" t="str">
        <x:v>hall</x:v>
      </x:c>
      <x:c r="D35" s="53" t="str">
        <x:v>b1.hall.threat.v1</x:v>
      </x:c>
      <x:c r="E35" s="53" t="str">
        <x:v>If your board becomes the clearest threat, how do you want the deck to handle that attention?</x:v>
      </x:c>
      <x:c r="F35" s="53" t="str">
        <x:v>b1.hall.threat.v1.avoid</x:v>
      </x:c>
      <x:c r="G35" s="53" t="str">
        <x:v>Stay useful without leading</x:v>
      </x:c>
      <x:c r="H35" s="53" t="str">
        <x:v>C11</x:v>
      </x:c>
      <x:c r="I35" s="53" t="str">
        <x:v>SIG_C11_AVOID</x:v>
      </x:c>
      <x:c r="J35" s="53" t="str">
        <x:v>DG_C11</x:v>
      </x:c>
      <x:c r="K35" s="53" t="str">
        <x:v>BEHAVIORAL_OBSERVATION</x:v>
      </x:c>
      <x:c r="L35" s="53" t="str"/>
      <x:c r="M35" s="53" t="str"/>
      <x:c r="N35" s="53" t="n">
        <x:v>0</x:v>
      </x:c>
      <x:c r="O35" s="54" t="b">
        <x:v>0</x:v>
      </x:c>
      <x:c r="P35" s="53" t="str">
        <x:v>OBSERVATION_ONLY</x:v>
      </x:c>
      <x:c r="Q35" s="53" t="str">
        <x:v>Prefers lower visible threat.</x:v>
      </x:c>
      <x:c r="R35" s="53" t="str">
        <x:v>Observation wording and identity association require player validation; no weight is authorized.</x:v>
      </x:c>
      <x:c r="S35" s="53" t="str">
        <x:v>DUNE</x:v>
      </x:c>
      <x:c r="T35" s="53" t="str">
        <x:v>incomplete / useful_evidence_remains / b1.crucible.glint-dune.v1</x:v>
      </x:c>
    </x:row>
    <x:row r="36">
      <x:c r="A36" s="53" t="n">
        <x:v>8</x:v>
      </x:c>
      <x:c r="B36" s="53" t="str">
        <x:v>main</x:v>
      </x:c>
      <x:c r="C36" s="53" t="str">
        <x:v>crucible</x:v>
      </x:c>
      <x:c r="D36" s="53" t="str">
        <x:v>b1.crucible.glint-dune.v1</x:v>
      </x:c>
      <x:c r="E36" s="53" t="str">
        <x:v>When you become the threat, what shape should that pressure take?</x:v>
      </x:c>
      <x:c r="F36" s="53" t="str">
        <x:v>b1.crucible.glint-dune.v1.front</x:v>
      </x:c>
      <x:c r="G36" s="53" t="str">
        <x:v>A visible common front</x:v>
      </x:c>
      <x:c r="H36" s="53" t="str">
        <x:v>C11</x:v>
      </x:c>
      <x:c r="I36" s="53" t="str">
        <x:v>SIG_C11_EMBRACE</x:v>
      </x:c>
      <x:c r="J36" s="53" t="str">
        <x:v>DG_C11</x:v>
      </x:c>
      <x:c r="K36" s="53" t="str">
        <x:v>BEHAVIORAL_OBSERVATION</x:v>
      </x:c>
      <x:c r="L36" s="53" t="str">
        <x:v>DUNE</x:v>
      </x:c>
      <x:c r="M36" s="53" t="str">
        <x:v>GLINT</x:v>
      </x:c>
      <x:c r="N36" s="53" t="n">
        <x:v>1</x:v>
      </x:c>
      <x:c r="O36" s="54" t="b">
        <x:v>1</x:v>
      </x:c>
      <x:c r="P36" s="53" t="str">
        <x:v>MAPPING_HYPOTHESIS</x:v>
      </x:c>
      <x:c r="Q36" s="53" t="str">
        <x:v>Prefers visible organized threat.</x:v>
      </x:c>
      <x:c r="R36" s="53" t="str">
        <x:v>Use only after prior independent observations leave the stated competitor boundary plausible; the identity association requires player validation.</x:v>
      </x:c>
      <x:c r="S36" s="53" t="str">
        <x:v>DUNE</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DUNE</x:v>
      </x:c>
      <x:c r="C40" s="53" t="str">
        <x:v>Dune / Aggression</x:v>
      </x:c>
      <x:c r="D40" s="53" t="n">
        <x:v>1</x:v>
      </x:c>
      <x:c r="E40" s="54" t="b">
        <x:v>1</x:v>
      </x:c>
      <x:c r="F40" s="53" t="str">
        <x:v>C11 | C13</x:v>
      </x:c>
    </x:row>
    <x:row r="41">
      <x:c r="A41" s="53" t="n">
        <x:v>2</x:v>
      </x:c>
      <x:c r="B41" s="53" t="str">
        <x:v>MARDU</x:v>
      </x:c>
      <x:c r="C41" s="53" t="str">
        <x:v>Mardu Horde</x:v>
      </x:c>
      <x:c r="D41" s="53" t="n">
        <x:v>0.916667</x:v>
      </x:c>
      <x:c r="E41" s="54" t="b">
        <x:v>0</x:v>
      </x:c>
      <x:c r="F41" s="53" t="str">
        <x:v>C13</x:v>
      </x:c>
    </x:row>
    <x:row r="42">
      <x:c r="A42" s="53" t="n">
        <x:v>3</x:v>
      </x:c>
      <x:c r="B42" s="53" t="str">
        <x:v>WR</x:v>
      </x:c>
      <x:c r="C42" s="53" t="str">
        <x:v>Boros Legion</x:v>
      </x:c>
      <x:c r="D42" s="53" t="n">
        <x:v>0.833333</x:v>
      </x:c>
      <x:c r="E42" s="54" t="b">
        <x:v>0</x:v>
      </x:c>
      <x:c r="F42" s="53" t="str">
        <x:v>C13</x:v>
      </x:c>
    </x:row>
    <x:row r="43">
      <x:c r="A43" s="53" t="n">
        <x:v>4</x:v>
      </x:c>
      <x:c r="B43" s="53" t="str">
        <x:v>WB</x:v>
      </x:c>
      <x:c r="C43" s="53" t="str">
        <x:v>Orzhov Syndicate</x:v>
      </x:c>
      <x:c r="D43" s="53" t="n">
        <x:v>0.458333</x:v>
      </x:c>
      <x:c r="E43" s="54" t="b">
        <x:v>0</x:v>
      </x:c>
      <x:c r="F43" s="53" t="str">
        <x:v>C07</x:v>
      </x:c>
    </x:row>
    <x:row r="44">
      <x:c r="A44" s="53" t="n">
        <x:v>5</x:v>
      </x:c>
      <x:c r="B44" s="53" t="str">
        <x:v>BR</x:v>
      </x:c>
      <x:c r="C44" s="53" t="str">
        <x:v>Cult of Rakdos</x:v>
      </x:c>
      <x:c r="D44" s="53" t="n">
        <x:v>0.166667</x:v>
      </x:c>
      <x:c r="E44" s="54" t="b">
        <x:v>0</x:v>
      </x:c>
      <x:c r="F44" s="53" t="str"/>
    </x:row>
    <x:row r="45">
      <x:c r="A45" s="53" t="n">
        <x:v>6</x:v>
      </x:c>
      <x:c r="B45" s="53" t="str">
        <x:v>PRISMARI</x:v>
      </x:c>
      <x:c r="C45" s="53" t="str">
        <x:v>Prismari College</x:v>
      </x:c>
      <x:c r="D45" s="53" t="n">
        <x:v>0.166667</x:v>
      </x:c>
      <x:c r="E45" s="54" t="b">
        <x:v>0</x:v>
      </x:c>
      <x:c r="F45" s="53" t="str"/>
    </x:row>
    <x:row r="46">
      <x:c r="A46" s="53" t="n">
        <x:v>7</x:v>
      </x:c>
      <x:c r="B46" s="53" t="str">
        <x:v>NAYA</x:v>
      </x:c>
      <x:c r="C46" s="53" t="str">
        <x:v>Naya</x:v>
      </x:c>
      <x:c r="D46" s="53" t="n">
        <x:v>0.166667</x:v>
      </x:c>
      <x:c r="E46" s="54" t="b">
        <x:v>0</x:v>
      </x:c>
      <x:c r="F46" s="53" t="str"/>
    </x:row>
    <x:row r="47">
      <x:c r="A47" s="53" t="n">
        <x:v>8</x:v>
      </x:c>
      <x:c r="B47" s="53" t="str">
        <x:v>R</x:v>
      </x:c>
      <x:c r="C47" s="53" t="str">
        <x:v>Red</x:v>
      </x:c>
      <x:c r="D47" s="53" t="n">
        <x:v>0.166667</x:v>
      </x:c>
      <x:c r="E47" s="54" t="b">
        <x:v>0</x:v>
      </x:c>
      <x:c r="F47" s="53" t="str"/>
    </x:row>
    <x:row r="48">
      <x:c r="A48" s="53" t="n">
        <x:v>9</x:v>
      </x:c>
      <x:c r="B48" s="53" t="str">
        <x:v>SILVERQUILL</x:v>
      </x:c>
      <x:c r="C48" s="53" t="str">
        <x:v>Silverquill College</x:v>
      </x:c>
      <x:c r="D48" s="53" t="n">
        <x:v>0.166667</x:v>
      </x:c>
      <x:c r="E48" s="54" t="b">
        <x:v>0</x:v>
      </x:c>
      <x:c r="F48" s="53" t="str"/>
    </x:row>
    <x:row r="49">
      <x:c r="A49" s="53" t="n">
        <x:v>10</x:v>
      </x:c>
      <x:c r="B49" s="53" t="str">
        <x:v>W</x:v>
      </x:c>
      <x:c r="C49" s="53" t="str">
        <x:v>White</x:v>
      </x:c>
      <x:c r="D49" s="53" t="n">
        <x:v>0.166667</x:v>
      </x:c>
      <x:c r="E49" s="54" t="b">
        <x:v>0</x:v>
      </x:c>
      <x:c r="F49" s="53" t="str"/>
    </x:row>
    <x:row r="50">
      <x:c r="A50" s="53" t="n">
        <x:v>11</x:v>
      </x:c>
      <x:c r="B50" s="53" t="str">
        <x:v>UB</x:v>
      </x:c>
      <x:c r="C50" s="53" t="str">
        <x:v>House Dimir</x:v>
      </x:c>
      <x:c r="D50" s="53" t="n">
        <x:v>0.125</x:v>
      </x:c>
      <x:c r="E50" s="54" t="b">
        <x:v>0</x:v>
      </x:c>
      <x:c r="F50" s="53" t="str"/>
    </x:row>
    <x:row r="51">
      <x:c r="A51" s="53" t="n">
        <x:v>12</x:v>
      </x:c>
      <x:c r="B51" s="53" t="str">
        <x:v>ABZAN</x:v>
      </x:c>
      <x:c r="C51" s="53" t="str">
        <x:v>Abzan Houses</x:v>
      </x:c>
      <x:c r="D51" s="53" t="n">
        <x:v>0.083333</x:v>
      </x:c>
      <x:c r="E51" s="54" t="b">
        <x:v>0</x:v>
      </x:c>
      <x:c r="F51" s="53" t="str"/>
    </x:row>
    <x:row r="52">
      <x:c r="A52" s="53" t="n">
        <x:v>13</x:v>
      </x:c>
      <x:c r="B52" s="53" t="str">
        <x:v>INK</x:v>
      </x:c>
      <x:c r="C52" s="53" t="str">
        <x:v>Ink / Altruism</x:v>
      </x:c>
      <x:c r="D52" s="53" t="n">
        <x:v>0.083333</x:v>
      </x:c>
      <x:c r="E52" s="54" t="b">
        <x:v>0</x:v>
      </x:c>
      <x:c r="F52" s="53" t="str"/>
    </x:row>
    <x:row r="53">
      <x:c r="A53" s="53" t="n">
        <x:v>14</x:v>
      </x:c>
      <x:c r="B53" s="53" t="str">
        <x:v>JUND</x:v>
      </x:c>
      <x:c r="C53" s="53" t="str">
        <x:v>Jund</x:v>
      </x:c>
      <x:c r="D53" s="53" t="n">
        <x:v>0.083333</x:v>
      </x:c>
      <x:c r="E53" s="54" t="b">
        <x:v>0</x:v>
      </x:c>
      <x:c r="F53" s="53" t="str"/>
    </x:row>
    <x:row r="54">
      <x:c r="A54" s="53" t="n">
        <x:v>15</x:v>
      </x:c>
      <x:c r="B54" s="53" t="str">
        <x:v>RG</x:v>
      </x:c>
      <x:c r="C54" s="53" t="str">
        <x:v>Gruul Clans</x:v>
      </x:c>
      <x:c r="D54" s="53" t="n">
        <x:v>0.083333</x:v>
      </x:c>
      <x:c r="E54" s="54" t="b">
        <x:v>0</x:v>
      </x:c>
      <x:c r="F54" s="53" t="str"/>
    </x:row>
    <x:row r="55">
      <x:c r="A55" s="53" t="n">
        <x:v>16</x:v>
      </x:c>
      <x:c r="B55" s="53" t="str">
        <x:v>TEMUR</x:v>
      </x:c>
      <x:c r="C55" s="53" t="str">
        <x:v>Temur Frontier</x:v>
      </x:c>
      <x:c r="D55" s="53" t="n">
        <x:v>0.083333</x:v>
      </x:c>
      <x:c r="E55" s="54" t="b">
        <x:v>0</x:v>
      </x:c>
      <x:c r="F55" s="53" t="str"/>
    </x:row>
    <x:row r="56">
      <x:c r="A56" s="53" t="n">
        <x:v>17</x:v>
      </x:c>
      <x:c r="B56" s="53" t="str">
        <x:v>UR</x:v>
      </x:c>
      <x:c r="C56" s="53" t="str">
        <x:v>Izzet League</x:v>
      </x:c>
      <x:c r="D56" s="53" t="n">
        <x:v>0.083333</x:v>
      </x:c>
      <x:c r="E56" s="54" t="b">
        <x:v>0</x:v>
      </x:c>
      <x:c r="F56" s="53" t="str"/>
    </x:row>
    <x:row r="57">
      <x:c r="A57" s="53" t="n">
        <x:v>18</x:v>
      </x:c>
      <x:c r="B57" s="53" t="str">
        <x:v>WG</x:v>
      </x:c>
      <x:c r="C57" s="53" t="str">
        <x:v>Selesnya Conclave</x:v>
      </x:c>
      <x:c r="D57" s="53" t="n">
        <x:v>0.083333</x:v>
      </x:c>
      <x:c r="E57" s="54" t="b">
        <x:v>0</x:v>
      </x:c>
      <x:c r="F57" s="53" t="str"/>
    </x:row>
    <x:row r="58">
      <x:c r="A58" s="53" t="n">
        <x:v>19</x:v>
      </x:c>
      <x:c r="B58" s="53" t="str">
        <x:v>B</x:v>
      </x:c>
      <x:c r="C58" s="53" t="str">
        <x:v>Black</x:v>
      </x:c>
      <x:c r="D58" s="53" t="n">
        <x:v>0.0625</x:v>
      </x:c>
      <x:c r="E58" s="54" t="b">
        <x:v>0</x:v>
      </x:c>
      <x:c r="F58" s="53" t="str"/>
    </x:row>
    <x:row r="59">
      <x:c r="A59" s="53" t="n">
        <x:v>20</x:v>
      </x:c>
      <x:c r="B59" s="53" t="str">
        <x:v>GRIXIS</x:v>
      </x:c>
      <x:c r="C59" s="53" t="str">
        <x:v>Grixis</x:v>
      </x:c>
      <x:c r="D59" s="53" t="n">
        <x:v>0.0625</x:v>
      </x:c>
      <x:c r="E59" s="54" t="b">
        <x:v>0</x:v>
      </x:c>
      <x:c r="F59" s="53" t="str"/>
    </x:row>
    <x:row r="60">
      <x:c r="A60" s="53" t="n">
        <x:v>21</x:v>
      </x:c>
      <x:c r="B60" s="53" t="str">
        <x:v>WU</x:v>
      </x:c>
      <x:c r="C60" s="53" t="str">
        <x:v>Azorius Senate</x:v>
      </x:c>
      <x:c r="D60" s="53" t="n">
        <x:v>0.0625</x:v>
      </x:c>
      <x:c r="E60" s="54" t="b">
        <x:v>0</x:v>
      </x:c>
      <x:c r="F60" s="53" t="str"/>
    </x:row>
    <x:row r="61">
      <x:c r="A61" s="53" t="n">
        <x:v>22</x:v>
      </x:c>
      <x:c r="B61" s="53" t="str">
        <x:v>BANT</x:v>
      </x:c>
      <x:c r="C61" s="53" t="str">
        <x:v>Bant</x:v>
      </x:c>
      <x:c r="D61" s="53" t="n">
        <x:v>0</x:v>
      </x:c>
      <x:c r="E61" s="54" t="b">
        <x:v>0</x:v>
      </x:c>
      <x:c r="F61" s="53" t="str"/>
    </x:row>
    <x:row r="62">
      <x:c r="A62" s="53" t="n">
        <x:v>23</x:v>
      </x:c>
      <x:c r="B62" s="53" t="str">
        <x:v>BG</x:v>
      </x:c>
      <x:c r="C62" s="53" t="str">
        <x:v>Golgari Swarm</x:v>
      </x:c>
      <x:c r="D62" s="53" t="n">
        <x:v>0</x:v>
      </x:c>
      <x:c r="E62" s="54" t="b">
        <x:v>0</x:v>
      </x:c>
      <x:c r="F62" s="53" t="str"/>
    </x:row>
    <x:row r="63">
      <x:c r="A63" s="53" t="n">
        <x:v>24</x:v>
      </x:c>
      <x:c r="B63" s="53" t="str">
        <x:v>COLORLESS</x:v>
      </x:c>
      <x:c r="C63" s="53" t="str">
        <x:v>Colorless</x:v>
      </x:c>
      <x:c r="D63" s="53" t="n">
        <x:v>0</x:v>
      </x:c>
      <x:c r="E63" s="54" t="b">
        <x:v>0</x:v>
      </x:c>
      <x:c r="F63" s="53" t="str"/>
    </x:row>
    <x:row r="64">
      <x:c r="A64" s="53" t="n">
        <x:v>25</x:v>
      </x:c>
      <x:c r="B64" s="53" t="str">
        <x:v>ESPER</x:v>
      </x:c>
      <x:c r="C64" s="53" t="str">
        <x:v>Esper</x:v>
      </x:c>
      <x:c r="D64" s="53" t="n">
        <x:v>0</x:v>
      </x:c>
      <x:c r="E64" s="54" t="b">
        <x:v>0</x:v>
      </x:c>
      <x:c r="F64" s="53" t="str"/>
    </x:row>
    <x:row r="65">
      <x:c r="A65" s="53" t="n">
        <x:v>26</x:v>
      </x:c>
      <x:c r="B65" s="53" t="str">
        <x:v>G</x:v>
      </x:c>
      <x:c r="C65" s="53" t="str">
        <x:v>Green</x:v>
      </x:c>
      <x:c r="D65" s="53" t="n">
        <x:v>0</x:v>
      </x:c>
      <x:c r="E65" s="54" t="b">
        <x:v>0</x:v>
      </x:c>
      <x:c r="F65" s="53" t="str"/>
    </x:row>
    <x:row r="66">
      <x:c r="A66" s="53" t="n">
        <x:v>27</x:v>
      </x:c>
      <x:c r="B66" s="53" t="str">
        <x:v>JESKAI</x:v>
      </x:c>
      <x:c r="C66" s="53" t="str">
        <x:v>Jeskai Way</x:v>
      </x:c>
      <x:c r="D66" s="53" t="n">
        <x:v>0</x:v>
      </x:c>
      <x:c r="E66" s="54" t="b">
        <x:v>0</x:v>
      </x:c>
      <x:c r="F66" s="53" t="str"/>
    </x:row>
    <x:row r="67">
      <x:c r="A67" s="53" t="n">
        <x:v>28</x:v>
      </x:c>
      <x:c r="B67" s="53" t="str">
        <x:v>LOREHOLD</x:v>
      </x:c>
      <x:c r="C67" s="53" t="str">
        <x:v>Lorehold College</x:v>
      </x:c>
      <x:c r="D67" s="53" t="n">
        <x:v>0</x:v>
      </x:c>
      <x:c r="E67" s="54" t="b">
        <x:v>0</x:v>
      </x:c>
      <x:c r="F67" s="53" t="str"/>
    </x:row>
    <x:row r="68">
      <x:c r="A68" s="53" t="n">
        <x:v>29</x:v>
      </x:c>
      <x:c r="B68" s="53" t="str">
        <x:v>QUANDRIX</x:v>
      </x:c>
      <x:c r="C68" s="53" t="str">
        <x:v>Quandrix College</x:v>
      </x:c>
      <x:c r="D68" s="53" t="n">
        <x:v>0</x:v>
      </x:c>
      <x:c r="E68" s="54" t="b">
        <x:v>0</x:v>
      </x:c>
      <x:c r="F68" s="53" t="str"/>
    </x:row>
    <x:row r="69">
      <x:c r="A69" s="53" t="n">
        <x:v>30</x:v>
      </x:c>
      <x:c r="B69" s="53" t="str">
        <x:v>SULTAI</x:v>
      </x:c>
      <x:c r="C69" s="53" t="str">
        <x:v>Sultai Brood</x:v>
      </x:c>
      <x:c r="D69" s="53" t="n">
        <x:v>0</x:v>
      </x:c>
      <x:c r="E69" s="54" t="b">
        <x:v>0</x:v>
      </x:c>
      <x:c r="F69" s="53" t="str"/>
    </x:row>
    <x:row r="70">
      <x:c r="A70" s="53" t="n">
        <x:v>31</x:v>
      </x:c>
      <x:c r="B70" s="53" t="str">
        <x:v>U</x:v>
      </x:c>
      <x:c r="C70" s="53" t="str">
        <x:v>Blue</x:v>
      </x:c>
      <x:c r="D70" s="53" t="n">
        <x:v>0</x:v>
      </x:c>
      <x:c r="E70" s="54" t="b">
        <x:v>0</x:v>
      </x:c>
      <x:c r="F70" s="53" t="str"/>
    </x:row>
    <x:row r="71">
      <x:c r="A71" s="53" t="n">
        <x:v>32</x:v>
      </x:c>
      <x:c r="B71" s="53" t="str">
        <x:v>UG</x:v>
      </x:c>
      <x:c r="C71" s="53" t="str">
        <x:v>Simic Combine</x:v>
      </x:c>
      <x:c r="D71" s="53" t="n">
        <x:v>0</x:v>
      </x:c>
      <x:c r="E71" s="54" t="b">
        <x:v>0</x:v>
      </x:c>
      <x:c r="F71" s="53" t="str"/>
    </x:row>
    <x:row r="72">
      <x:c r="A72" s="53" t="n">
        <x:v>33</x:v>
      </x:c>
      <x:c r="B72" s="53" t="str">
        <x:v>WITCH</x:v>
      </x:c>
      <x:c r="C72" s="53" t="str">
        <x:v>Witch / Growth</x:v>
      </x:c>
      <x:c r="D72" s="53" t="n">
        <x:v>0</x:v>
      </x:c>
      <x:c r="E72" s="54" t="b">
        <x:v>0</x:v>
      </x:c>
      <x:c r="F72" s="53" t="str"/>
    </x:row>
    <x:row r="73">
      <x:c r="A73" s="53" t="n">
        <x:v>34</x:v>
      </x:c>
      <x:c r="B73" s="53" t="str">
        <x:v>WITHERBLOOM</x:v>
      </x:c>
      <x:c r="C73" s="53" t="str">
        <x:v>Witherbloom College</x:v>
      </x:c>
      <x:c r="D73" s="53" t="n">
        <x:v>0</x:v>
      </x:c>
      <x:c r="E73" s="54" t="b">
        <x:v>0</x:v>
      </x:c>
      <x:c r="F73" s="53" t="str"/>
    </x:row>
    <x:row r="74">
      <x:c r="A74" s="53" t="n">
        <x:v>35</x:v>
      </x:c>
      <x:c r="B74" s="53" t="str">
        <x:v>WUBRG</x:v>
      </x:c>
      <x:c r="C74" s="53" t="str">
        <x:v>Five-Color / WUBRG</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GLINT</x:v>
      </x:c>
      <x:c r="C76" s="53" t="str">
        <x:v>Glint / Chaos</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"DUNE",
  "faction_name": "Dune / Aggression",
  "institution_type": "four_color",
  "world": "Cross-setting",
  "identity": {
    "core_color": "BRGW",
    "secondary_colors": [
      "B",
      "R",
      "G",
      "W"
    ],
    "secondary_color": null,
    "expression_key": "DUNE",
    "expression_name": "Dune / Aggression",
    "expression_kind": "four_color",
    "purity": null,
    "routing": {
      "color_identity": "BRGW",
      "label": "Dune",
      "suppress_directory_links": true
    }
  },
  "decree": "Dune / Aggression is the clearest current fit from the approved observations.",
  "confidence": 0.054,
  "confidence_gap": 1,
  "mana_scores": {
    "W": 10,
    "U": 8,
    "B": 9,
    "R": 10,
    "G": 8
  },
  "top_matches": [
    {
      "rank": 1,
      "faction": "DUNE",
      "faction_name": "Dune / Aggression",
      "institution_type": "four_color",
      "world": "Cross-setting",
      "identity": {
        "core_color": "BRGW",
        "secondary_colors": [
          "B",
          "R",
          "G",
          "W"
        ],
        "secondary_color": null,
        "expression_key": "DUNE",
        "expression_name": "Dune / Aggression",
        "expression_kind": "four_color",
        "purity": null,
        "routing": {
          "color_identity": "BRGW",
          "label": "Dune",
          "suppress_directory_links": true
        }
      },
      "score": 1,
      "confidence": 0.054,
      "reason": "Dune / Aggression remained plausible through C07, C11, C13; identity mapping remains a hypothesis."
    }
  ],
  "adjacent_matches": [],
  "internal_candidate_order": [
    {
      "identity": "DUNE",
      "score": 1,
      "positive_dependencies": 2,
      "qualification_dependencies": 2,
      "naming_dependencies": 1,
      "positive_constructs": [
        "C11",
        "C13"
      ],
      "satisfied_naming_rule_ids": [
        "baseline_40:b1.crucible.glint-dune.v1.front:DUNE"
      ],
      "naming_qualification": {
        "identity": "DUNE",
        "qualified": true,
        "satisfied_naming_rule_ids": [
          "baseline_40:b1.crucible.glint-dune.v1.front:DUNE"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"C13"
      ]
    },
    {
      "identity": "MARDU",
      "score": 0.916667,
      "positive_dependencies": 1,
      "qualification_dependencies": 1,
      "naming_dependencies": 1,
      "positive_constructs": [
        "C13"
      ],
      "satisfied_naming_rule_ids": [
        "instrument_completion_overlay:b1.hall.commitment.v1.short:MARDU"
      ],
      "naming_qualification": {
        "identity": "MARDU",
        "qualified": false,
        "satisfied_naming_rule_ids": [
          "instrument_completion_overlay:b1.hall.commitment.v1.short:MARDU"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"WR",
      "score": 0.833333,
      "positive_dependencies": 1,
      "qualification_dependencies": 1,
      "naming_dependencies": 0,
      "positive_constructs": [
        "C13"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"WB",
      "score": 0.458333,
      "positive_dependencies": 1,
      "qualification_dependencies": 1,
      "naming_dependencies": 0,
      "positive_constructs": [
        "C07"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"BR",
      "score": 0.166667,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"PRISMARI",
      "score": 0.166667,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"NAYA",
      "score": 0.166667,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"R",
      "score": 0.166667,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"C11"
      ]
    },
    {
      "identity": "SILVERQUILL",
      "score": 0.166667,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"C13"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"JESKAI",
      "score": 0,
      "positive_dependencies": 0,
      "qualification_dependencies": 0,
      "naming_dependencies": 0,
      "positive_constructs": [],
      "satisfied_naming_rule_ids": [],
      "naming_qualification": {
        "identity": "JESKAI",
        "qualified": false,
        "satisfied_naming_rule_ids": [],
        "requirements": {
          "behaviorally_observable": true,
          "approved_naming_rule": false,
 </x:v>
      </x:c>
    </x:row>
    <x:row r="80">
      <x:c r="A80" s="53" t="str">
        <x:v>Part 2/3</x:v>
      </x:c>
      <x:c r="B80" s="53" t="str">
        <x:v>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
      "score": 0,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"GLINT",
      "score": -0.479167,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"C11"
      ]
    }
  ],
  "candidate_set": [
    "DUNE",
    "MARDU",
    "WR"
  ],
  "alternatives": [],
  "refinement": {
    "kind": "no_approved_discriminator",
    "can_reduce_ambiguity": false,
    "remaining_candidates": [
      "DUNE",
      "MARDU",
      "WR",
      "WB"
    ],
    "unresolved_boundaries": [
      {
        "pair_id": "WB__WR",
        "identities": [
          "WB",
          "WR"
        ],
        "distinction": "WB uses Public commitment evidence; WR uses Disruption response evidence. No direct pair claim is made.",
        "question_ids": [
          "b1.hall.commitment.v1",
          "b1.gate.disruption.v1",
          "b1.crucible.mono-multi.v1",
          "b1.crucible.wr.v1",
          "b1.crucible.wb.v1",
          "b1.hall.pressure.v1"
        ],
        "coverage_status": "DIRECT-OR-STRUCTURAL-MAPPING-HYPOTHESIS; bounded player validation required"
      }
    ],
    "missing_constructs": [
      "C01",
      "C03",
      "C12"
    ],
    "question_id": null,
    "purpose": "none_for_clean_primary",
    "target_identities": [
      "DUNE",
      "MARDU",
      "WR"
    ],
    "target_pair_ids": [
      "WB__WR"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"I do not know yet",
      "prompt": "Your turn begins, no urgent threat needs an answer, and you have enough mana to act. What feels best?",
      "observation": "Reports insufficient experience for this construct.",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"b1.gate.tempo.v1.waves",
      "stage": "gate",
      "construct": "C04",
      "bounded_observation": "Prefers cyclical advantage.",
      "signal": "SIG_C04_CYCLICAL",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"Several distinct surges",
      "prompt": "When your Commander deck is doing what you built it to do, how do you want the advantage to arrive?",
      "observation": "Prefers cyclical advantage.",
      "deltas": []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"answer_title": "Narrow their options first",
      "prompt": "The player ahead uses all their mana and leaves one turn where the table can take control. Which kind of pressure do you want your deck to create?",
      "observation": "Prefers resource-control pressure before attempting to end the game.",
      "deltas": [
        {
          "faction": "WB",
          "delta": 0.5
        }
      ]
    },
    {
      "question_id": "b1.hall.commitment.v1",
      "answer_id": "b1.hall.commitment.v1.short",
      "stage": "hall",
      "construct": "C13",
      "bounded_observation": "Prefers bounded coordination tied to the present opening.",
      "signal": "SIG_C13_BOUNDED",
      "dependency_group": "DG_C13",
      "evidence_class":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"answer_title": "Keep only this opening",
      "prompt": "The table agrees to stop a repeatable threat. Before your next turn, the board changes and that threat is weaker but still present. What should the agreement require now?",
      "observation": "Prefers bounded coordination tied to the present opening.",
      "deltas": [
        {
          "faction": "DUNE",
          "delta": 1
        },
        {
          "faction": "MARDU",
          "delta": 1
        },
        {
          "faction": "WR",
          "delta": 1
        }
      ]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"answer_title": "Stay useful without leading",
      "prompt": "If your board becomes the clearest threat, how do you want the deck to handle that attention?",
      "observation": "Prefers lower visible threat.",
      "deltas": []
    },
    {
      "question_id": "b1.crucible.glint-dune.v1",
      "answer_id": "b1.crucible.glint-dune.v1.front",
      "stage": "crucible",
      "construct": "C11",
      "bounded_observation": "Prefers visible organized threat.",
      "signal": "SIG_C11_EMBRACE",
      "dependency_group": "DG_C11",
      "evidence_class": "BEHAVIORAL_OBSERVATION",
      "affected_identities": [
        "DUNE",
        "GLINT"
      ],
      "positive_support": [
        "DUNE"
      ],
      "contradiction": [
        "GLINT"
      ],
      "neutral": false,
      "mapping_strength": 1,
      "naming_evidence": true,
      "qualification_eligible": true,
      "qualification_support": [
        "DUNE"
      ],
      "naming_support": [
        "DUNE"
      ],
      "naming_rule_ids_by_identity": {
        "DUNE": [
          "baseline_40:b1.crucible.glint-dune.v1.front:DUNE"
        ]
      },
      "mapping_role": "exact_pair_direction",
      "mapping_status": "MAPPING_HYPOTHESIS",
      "mapping_provenance": "answer-semantic-adjudication.tsv GLINT vs DUNE evidence-required hypothesis",
      "evidence_provenance": "E-CERTIFIED;E-PLAYER-THREAT;E-AUDIT;E-CECOS;E-VOICE",
      "limitation": "Use only after prior independent observations leave the stated competitor boundary plausible; the identity association requires player validation.",
      "behavioral_vs_lens": "behavioral",
      "answer_title": "A visible common front",
      "prompt": "When you become the threat, what shape should that pressure take?",
      "observation": "Prefers visible organized threat.",
      "deltas": [
        {
          "faction": "DUNE",
          "delta": 1
        },
        {
          "faction": "GLINT",
          "delta": -1
        }
      ]
    }
  ],
  "evidence_ledger":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"b1.gate.tempo.v1.waves",
      "stage": "gate",
      "construct": "C04",
      "bounded_observation": "Prefers cyclical advantage.",
      "signal": "SIG_C04_CYCLICAL",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x:v>
      </x:c>
    </x:row>
    <x:row r="81">
      <x:c r="A81" s="53" t="str">
        <x:v>Part 3/3</x:v>
      </x:c>
      <x:c r="B81" s="53" t="str">
        <x:v>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"b1.hall.pressure.v1.resources",
      "stage": "hall",
      "construct": "C07",
      "bounded_observation": "Prefers resource-control pressure before attempting to end the game.",
      "signal": "SIG_C07_RESOURCE_CONTROL",
      "dependency_group": "DG_C07",
      "evidence_class": "BEHAVIORAL_OBSERVATION",
      "affected_identities": [
        "WB"
      ],
      "positive_support": [
        "WB"
      ],
      "contradiction": [],
      "neutral": false,
      "mapping_strength": 0.5,
      "naming_evidence": false,
      "qualification_eligible": true,
      "qualification_support": [
        "WB"
      ],
      "naming_support": [],
      "naming_rule_ids_by_identity": {},
      "mapping_role": "completion_corroboration_direction",
      "mapping_status": "REMEDIATION_MAPPING_HYPOTHESIS",
      "mapping_provenance": "docs/plans/vm551-gate-b1-instrument-completion/instrument-change-adjudication.tsv#b1.hall.pressure.v1.resources;docs/audits/vm555-b1-identity-evidence-gap-bridge/identity-evidence-gap-matrix.tsv",
      "evidence_provenance": "E-VM555;E-CERTIFIED;E-CECOS;E-PLAYER-LANGUAGE",
      "limitation": "Removing options can be a tactical prerequisite in any deck.",
      "behavioral_vs_lens": "behavioral"
    },
    {
      "question_id": "b1.hall.commitment.v1",
      "answer_id": "b1.hall.commitment.v1.short",
      "stage": "hall",
      "construct": "C13",
      "bounded_observation": "Prefers bounded coordination tied to the present opening.",
      "signal": "SIG_C13_BOUNDED",
      "dependency_group": "DG_C13",
      "evidence_class": "BEHAVIORAL_OBSERVATION",
      "affected_identities": [
        "DUNE",
        "MARDU",
        "WR"
      ],
      "positive_support": [
        "DUNE",
        "MARDU",
        "WR"
      ],
      "contradiction": [],
      "neutral": false,
      "mapping_strength": 1,
      "naming_evidence": true,
      "qualification_eligible": true,
      "qualification_support": [
        "DUNE",
        "MARDU",
        "WR"
      ],
      "naming_support": [
        "MARDU"
      ],
      "naming_rule_ids_by_identity": {
        "MARDU": [
          "instrument_completion_overlay:b1.hall.commitment.v1.short:MARDU"
        ]
      },
      "mapping_role": "completion_boundary_direction",
      "mapping_status": "REMEDIATION_MAPPING_HYPOTHESIS",
      "mapping_provenance": "docs/plans/vm551-gate-b1-instrument-completion/instrument-change-adjudication.tsv#b1.hall.commitment.v1.short;docs/audits/vm555-b1-identity-evidence-gap-bridge/identity-evidence-gap-matrix.tsv",
      "evidence_provenance": "E-VM555;E-CERTIFIED;E-CECOS;E-PLAYER-LANGUAGE",
      "limitation": "A short deal may be tactically obvious rather than an enduring behavioral preference.",
      "behavioral_vs_lens": "behavioral"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
    {
      "question_id": "b1.crucible.glint-dune.v1",
      "answer_id": "b1.crucible.glint-dune.v1.front",
      "stage": "crucible",
      "construct": "C11",
      "bounded_observation": "Prefers visible organized threat.",
      "signal": "SIG_C11_EMBRACE",
      "dependency_group": "DG_C11",
      "evidence_class": "BEHAVIORAL_OBSERVATION",
      "affected_identities": [
        "DUNE",
        "GLINT"
      ],
      "positive_support": [
        "DUNE"
      ],
      "contradiction": [
        "GLINT"
      ],
      "neutral": false,
      "mapping_strength": 1,
      "naming_evidence": true,
      "qualification_eligible": true,
      "qualification_support": [
        "DUNE"
      ],
      "naming_support": [
        "DUNE"
      ],
      "naming_rule_ids_by_identity": {
        "DUNE": [
          "baseline_40:b1.crucible.glint-dune.v1.front:DUNE"
        ]
      },
      "mapping_role": "exact_pair_direction",
      "mapping_status": "MAPPING_HYPOTHESIS",
      "mapping_provenance": "answer-semantic-adjudication.tsv GLINT vs DUNE evidence-required hypothesis",
      "evidence_provenance": "E-CERTIFIED;E-PLAYER-THREAT;E-AUDIT;E-CECOS;E-VOICE",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"b1.gate.initiative.v1.unsure",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"b1.gate.tempo.v1.waves",
      "stage": "gate",
      "evidence_class": "BEHAVIORAL_OBSERVATION"
    },
    {
      "question_id": "b1.hall.pressure.v1",
      "answer_id": "b1.hall.pressure.v1.resources",
      "stage": "hall",
      "evidence_class": "BEHAVIORAL_OBSERVATION"
    },
    {
      "question_id": "b1.hall.commitment.v1",
      "answer_id": "b1.hall.commitment.v1.short",
      "stage": "hall",
      "evidence_class": "BEHAVIORAL_OBSERVATION"
    },
    {
      "question_id": "b1.hall.threat.v1",
      "answer_id": "b1.hall.threat.v1.avoid",
      "stage": "hall",
      "evidence_class": "BEHAVIORAL_OBSERVATION"
    },
    {
      "question_id": "b1.crucible.glint-dune.v1",
      "answer_id": "b1.crucible.glint-dune.v1.front",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Glint / Chaos — Engine Trace</x:v>
      </x:c>
      <x:c r="B1" s="3"/>
      <x:c r="C1" s="3"/>
      <x:c r="D1" s="3"/>
      <x:c r="E1" s="3"/>
      <x:c r="F1" s="3"/>
      <x:c r="G1" s="3"/>
      <x:c r="H1" s="3"/>
      <x:c r="I1" s="3"/>
      <x:c r="J1" s="3"/>
      <x:c r="K1" s="3"/>
      <x:c r="L1" s="3"/>
      <x:c r="M1" s="3"/>
      <x:c r="N1" s="3"/>
      <x:c r="O1" s="3"/>
      <x:c r="P1" s="3"/>
      <x:c r="Q1" s="3"/>
      <x:c r="R1" s="3"/>
      <x:c r="S1" s="3"/>
      <x:c r="T1" s="3"/>
    </x:row>
    <x:row r="2" ht="30" customHeight="1">
      <x:c r="A2" s="7" t="str">
        <x:v>ENGINE-GLINT • PASS_MATCH • primary • trace 2b232b3a0ce0e664a96097418d65c07e74b69bedc9f4056c2dc84faea6957710</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GLINT</x:v>
      </x:c>
    </x:row>
    <x:row r="6">
      <x:c r="A6" s="53" t="str">
        <x:v>Expected public contract</x:v>
      </x:c>
      <x:c r="B6" s="53" t="str">
        <x:v>NAMED_DOSSIER</x:v>
      </x:c>
    </x:row>
    <x:row r="7">
      <x:c r="A7" s="53" t="str">
        <x:v>Witness status</x:v>
      </x:c>
      <x:c r="B7" s="53" t="str">
        <x:v>CURRENT_COMPATIBLE</x:v>
      </x:c>
    </x:row>
    <x:row r="8">
      <x:c r="A8" s="53" t="str">
        <x:v>Actual result</x:v>
      </x:c>
      <x:c r="B8" s="53" t="str">
        <x:v>GLINT</x:v>
      </x:c>
    </x:row>
    <x:row r="9">
      <x:c r="A9" s="53" t="str">
        <x:v>Directional result</x:v>
      </x:c>
      <x:c r="B9" s="53" t="str">
        <x:v>GLINT</x:v>
      </x:c>
    </x:row>
    <x:row r="10">
      <x:c r="A10" s="53" t="str">
        <x:v>Public state</x:v>
      </x:c>
      <x:c r="B10" s="53" t="str">
        <x:v>current-best-fit</x:v>
      </x:c>
    </x:row>
    <x:row r="11">
      <x:c r="A11" s="53" t="str">
        <x:v>Raw numeric leader</x:v>
      </x:c>
      <x:c r="B11" s="53" t="str">
        <x:v>GLINT</x:v>
      </x:c>
    </x:row>
    <x:row r="12">
      <x:c r="A12" s="53" t="str">
        <x:v>Raw score</x:v>
      </x:c>
      <x:c r="B12" s="53" t="n">
        <x:v>0.916667</x:v>
      </x:c>
    </x:row>
    <x:row r="13">
      <x:c r="A13" s="53" t="str">
        <x:v>Raw leader qualified</x:v>
      </x:c>
      <x:c r="B13" s="54" t="b">
        <x:v>1</x:v>
      </x:c>
    </x:row>
    <x:row r="14">
      <x:c r="A14" s="53" t="str">
        <x:v>Selected qualified</x:v>
      </x:c>
      <x:c r="B14" s="54" t="b">
        <x:v>1</x:v>
      </x:c>
    </x:row>
    <x:row r="15">
      <x:c r="A15" s="53" t="str">
        <x:v>Frontier</x:v>
      </x:c>
      <x:c r="B15" s="53" t="str">
        <x:v>GLINT</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outputs/01a02cd6-bce7-7832-9558-3075c52f146a/archscry-current-state-2026-08-22/evidence/engine/traces/glint.json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b1.gate.initiative.v1.advance</x:v>
      </x:c>
      <x:c r="G29" s="53" t="str">
        <x:v>Set the pace</x:v>
      </x:c>
      <x:c r="H29" s="53" t="str">
        <x:v>C01</x:v>
      </x:c>
      <x:c r="I29" s="53" t="str">
        <x:v>SIG_C01_PROACTIVE</x:v>
      </x:c>
      <x:c r="J29" s="53" t="str">
        <x:v>DG_C01</x:v>
      </x:c>
      <x:c r="K29" s="53" t="str">
        <x:v>BEHAVIORAL_OBSERVATION</x:v>
      </x:c>
      <x:c r="L29" s="53" t="str">
        <x:v>JUND | R | RG</x:v>
      </x:c>
      <x:c r="M29" s="53" t="str"/>
      <x:c r="N29" s="53" t="n">
        <x:v>0.5</x:v>
      </x:c>
      <x:c r="O29" s="54" t="b">
        <x:v>0</x:v>
      </x:c>
      <x:c r="P29" s="53" t="str">
        <x:v>REMEDIATION_MAPPING_HYPOTHESIS</x:v>
      </x:c>
      <x:c r="Q29" s="53" t="str">
        <x:v>Prefers proactive development on an open turn.</x:v>
      </x:c>
      <x:c r="R29" s="53" t="str">
        <x:v>Initiative posture may vary across calm, behind, and disrupted contexts; every C01 response shares DG_C01 and cannot stack.</x:v>
      </x:c>
      <x:c r="S29" s="53" t="str">
        <x:v>JUND</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JUND</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JUND</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JUND</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b1.hall.pressure.v1.coordinate</x:v>
      </x:c>
      <x:c r="G33" s="53" t="str">
        <x:v>Coordinate one attack</x:v>
      </x:c>
      <x:c r="H33" s="53" t="str">
        <x:v>C07</x:v>
      </x:c>
      <x:c r="I33" s="53" t="str">
        <x:v>SIG_C07_COORDINATED_COMBAT</x:v>
      </x:c>
      <x:c r="J33" s="53" t="str">
        <x:v>DG_C07</x:v>
      </x:c>
      <x:c r="K33" s="53" t="str">
        <x:v>BEHAVIORAL_OBSERVATION</x:v>
      </x:c>
      <x:c r="L33" s="53" t="str">
        <x:v>DUNE | MARDU | WR</x:v>
      </x:c>
      <x:c r="M33" s="53" t="str"/>
      <x:c r="N33" s="53" t="n">
        <x:v>0.5</x:v>
      </x:c>
      <x:c r="O33" s="54" t="b">
        <x:v>0</x:v>
      </x:c>
      <x:c r="P33" s="53" t="str">
        <x:v>REMEDIATION_MAPPING_HYPOTHESIS</x:v>
      </x:c>
      <x:c r="Q33" s="53" t="str">
        <x:v>Prefers formation-based combat pressure during a shared opening.</x:v>
      </x:c>
      <x:c r="R33" s="53" t="str">
        <x:v>The tactically strongest attack may look coordinated without reflecting a stable preference.</x:v>
      </x:c>
      <x:c r="S33" s="53" t="str">
        <x:v>JUND</x:v>
      </x:c>
      <x:c r="T33" s="53" t="str">
        <x:v>incomplete / minimum_questions / b1.hall.commitment.v1</x:v>
      </x:c>
    </x:row>
    <x:row r="34">
      <x:c r="A34" s="53" t="n">
        <x:v>6</x:v>
      </x:c>
      <x:c r="B34" s="53" t="str">
        <x:v>main</x:v>
      </x:c>
      <x:c r="C34" s="53" t="str">
        <x:v>hall</x:v>
      </x:c>
      <x:c r="D34" s="53" t="str">
        <x:v>b1.hall.commitment.v1</x:v>
      </x:c>
      <x:c r="E34" s="53" t="str">
        <x:v>The table agrees to stop a repeatable threat. Before your next turn, the board changes and that threat is weaker but still present. What should the agreement require now?</x:v>
      </x:c>
      <x:c r="F34" s="53" t="str">
        <x:v>b1.hall.commitment.v1.procedure</x:v>
      </x:c>
      <x:c r="G34" s="53" t="str">
        <x:v>Apply one clear rule</x:v>
      </x:c>
      <x:c r="H34" s="53" t="str">
        <x:v>C13</x:v>
      </x:c>
      <x:c r="I34" s="53" t="str">
        <x:v>SIG_C13_PROCEDURAL</x:v>
      </x:c>
      <x:c r="J34" s="53" t="str">
        <x:v>DG_C13</x:v>
      </x:c>
      <x:c r="K34" s="53" t="str">
        <x:v>BEHAVIORAL_OBSERVATION</x:v>
      </x:c>
      <x:c r="L34" s="53" t="str">
        <x:v>W | WU</x:v>
      </x:c>
      <x:c r="M34" s="53" t="str"/>
      <x:c r="N34" s="53" t="n">
        <x:v>1</x:v>
      </x:c>
      <x:c r="O34" s="54" t="b">
        <x:v>1</x:v>
      </x:c>
      <x:c r="P34" s="53" t="str">
        <x:v>REMEDIATION_MAPPING_HYPOTHESIS</x:v>
      </x:c>
      <x:c r="Q34" s="53" t="str">
        <x:v>Prefers public procedural consistency after circumstances change.</x:v>
      </x:c>
      <x:c r="R34" s="53" t="str">
        <x:v>Public consistency can be chosen for convenience, fairness, threat management, or social comfort; it requires independent evidence.</x:v>
      </x:c>
      <x:c r="S34" s="53" t="str">
        <x:v>W</x:v>
      </x:c>
      <x:c r="T34" s="53" t="str">
        <x:v>incomplete / useful_evidence_remains / b1.hall.interaction-window.v1</x:v>
      </x:c>
    </x:row>
    <x:row r="35">
      <x:c r="A35" s="53" t="n">
        <x:v>7</x:v>
      </x:c>
      <x:c r="B35" s="53" t="str">
        <x:v>main</x:v>
      </x:c>
      <x:c r="C35" s="53" t="str">
        <x:v>hall</x:v>
      </x:c>
      <x:c r="D35" s="53" t="str">
        <x:v>b1.hall.interaction-window.v1</x:v>
      </x:c>
      <x:c r="E35" s="53" t="str">
        <x:v>An opponent begins a decisive turn, but you do not yet know which card matters most. When do you want your deck to use the card or mana it kept available?</x:v>
      </x:c>
      <x:c r="F35" s="53" t="str">
        <x:v>b1.hall.interaction-window.v1.pressure</x:v>
      </x:c>
      <x:c r="G35" s="53" t="str">
        <x:v>As they commit</x:v>
      </x:c>
      <x:c r="H35" s="53" t="str">
        <x:v>C08</x:v>
      </x:c>
      <x:c r="I35" s="53" t="str">
        <x:v>SIG_C08_COMMIT_WINDOW</x:v>
      </x:c>
      <x:c r="J35" s="53" t="str">
        <x:v>DG_C08</x:v>
      </x:c>
      <x:c r="K35" s="53" t="str">
        <x:v>BEHAVIORAL_OBSERVATION</x:v>
      </x:c>
      <x:c r="L35" s="53" t="str">
        <x:v>GLINT | GRIXIS | UB</x:v>
      </x:c>
      <x:c r="M35" s="53" t="str"/>
      <x:c r="N35" s="53" t="n">
        <x:v>1</x:v>
      </x:c>
      <x:c r="O35" s="54" t="b">
        <x:v>1</x:v>
      </x:c>
      <x:c r="P35" s="53" t="str">
        <x:v>REMEDIATION_MAPPING_HYPOTHESIS</x:v>
      </x:c>
      <x:c r="Q35" s="53" t="str">
        <x:v>Prefers the commitment window where opposing resources are exposed.</x:v>
      </x:c>
      <x:c r="R35" s="53" t="str">
        <x:v>The window may be dictated by rules timing rather than behavioral preference.</x:v>
      </x:c>
      <x:c r="S35" s="53" t="str">
        <x:v>W</x:v>
      </x:c>
      <x:c r="T35" s="53" t="str">
        <x:v>incomplete / useful_evidence_remains / b1.crucible.glint-dune.v1</x:v>
      </x:c>
    </x:row>
    <x:row r="36">
      <x:c r="A36" s="53" t="n">
        <x:v>8</x:v>
      </x:c>
      <x:c r="B36" s="53" t="str">
        <x:v>main</x:v>
      </x:c>
      <x:c r="C36" s="53" t="str">
        <x:v>crucible</x:v>
      </x:c>
      <x:c r="D36" s="53" t="str">
        <x:v>b1.crucible.glint-dune.v1</x:v>
      </x:c>
      <x:c r="E36" s="53" t="str">
        <x:v>When you become the threat, what shape should that pressure take?</x:v>
      </x:c>
      <x:c r="F36" s="53" t="str">
        <x:v>b1.crucible.glint-dune.v1.shifting</x:v>
      </x:c>
      <x:c r="G36" s="53" t="str">
        <x:v>Several changing angles</x:v>
      </x:c>
      <x:c r="H36" s="53" t="str">
        <x:v>C11</x:v>
      </x:c>
      <x:c r="I36" s="53" t="str">
        <x:v>SIG_C11_ADAPTIVE</x:v>
      </x:c>
      <x:c r="J36" s="53" t="str">
        <x:v>DG_C11</x:v>
      </x:c>
      <x:c r="K36" s="53" t="str">
        <x:v>BEHAVIORAL_OBSERVATION</x:v>
      </x:c>
      <x:c r="L36" s="53" t="str">
        <x:v>GLINT</x:v>
      </x:c>
      <x:c r="M36" s="53" t="str">
        <x:v>DUNE</x:v>
      </x:c>
      <x:c r="N36" s="53" t="n">
        <x:v>1</x:v>
      </x:c>
      <x:c r="O36" s="54" t="b">
        <x:v>1</x:v>
      </x:c>
      <x:c r="P36" s="53" t="str">
        <x:v>MAPPING_HYPOTHESIS</x:v>
      </x:c>
      <x:c r="Q36" s="53" t="str">
        <x:v>Prefers shifting threat.</x:v>
      </x:c>
      <x:c r="R36" s="53" t="str">
        <x:v>Use only after prior independent observations leave the stated competitor boundary plausible; the identity association requires player validation.</x:v>
      </x:c>
      <x:c r="S36" s="53" t="str">
        <x:v>GLINT</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GLINT</x:v>
      </x:c>
      <x:c r="C40" s="53" t="str">
        <x:v>Glint / Chaos</x:v>
      </x:c>
      <x:c r="D40" s="53" t="n">
        <x:v>0.916667</x:v>
      </x:c>
      <x:c r="E40" s="54" t="b">
        <x:v>1</x:v>
      </x:c>
      <x:c r="F40" s="53" t="str">
        <x:v>C08 | C11</x:v>
      </x:c>
    </x:row>
    <x:row r="41">
      <x:c r="A41" s="53" t="n">
        <x:v>2</x:v>
      </x:c>
      <x:c r="B41" s="53" t="str">
        <x:v>W</x:v>
      </x:c>
      <x:c r="C41" s="53" t="str">
        <x:v>White</x:v>
      </x:c>
      <x:c r="D41" s="53" t="n">
        <x:v>0.916667</x:v>
      </x:c>
      <x:c r="E41" s="54" t="b">
        <x:v>0</x:v>
      </x:c>
      <x:c r="F41" s="53" t="str">
        <x:v>C13</x:v>
      </x:c>
    </x:row>
    <x:row r="42">
      <x:c r="A42" s="53" t="n">
        <x:v>3</x:v>
      </x:c>
      <x:c r="B42" s="53" t="str">
        <x:v>UB</x:v>
      </x:c>
      <x:c r="C42" s="53" t="str">
        <x:v>House Dimir</x:v>
      </x:c>
      <x:c r="D42" s="53" t="n">
        <x:v>0.875</x:v>
      </x:c>
      <x:c r="E42" s="54" t="b">
        <x:v>0</x:v>
      </x:c>
      <x:c r="F42" s="53" t="str">
        <x:v>C08</x:v>
      </x:c>
    </x:row>
    <x:row r="43">
      <x:c r="A43" s="53" t="n">
        <x:v>4</x:v>
      </x:c>
      <x:c r="B43" s="53" t="str">
        <x:v>WU</x:v>
      </x:c>
      <x:c r="C43" s="53" t="str">
        <x:v>Azorius Senate</x:v>
      </x:c>
      <x:c r="D43" s="53" t="n">
        <x:v>0.875</x:v>
      </x:c>
      <x:c r="E43" s="54" t="b">
        <x:v>0</x:v>
      </x:c>
      <x:c r="F43" s="53" t="str">
        <x:v>C13</x:v>
      </x:c>
    </x:row>
    <x:row r="44">
      <x:c r="A44" s="53" t="n">
        <x:v>5</x:v>
      </x:c>
      <x:c r="B44" s="53" t="str">
        <x:v>GRIXIS</x:v>
      </x:c>
      <x:c r="C44" s="53" t="str">
        <x:v>Grixis</x:v>
      </x:c>
      <x:c r="D44" s="53" t="n">
        <x:v>0.8125</x:v>
      </x:c>
      <x:c r="E44" s="54" t="b">
        <x:v>0</x:v>
      </x:c>
      <x:c r="F44" s="53" t="str">
        <x:v>C08</x:v>
      </x:c>
    </x:row>
    <x:row r="45">
      <x:c r="A45" s="53" t="n">
        <x:v>6</x:v>
      </x:c>
      <x:c r="B45" s="53" t="str">
        <x:v>MARDU</x:v>
      </x:c>
      <x:c r="C45" s="53" t="str">
        <x:v>Mardu Horde</x:v>
      </x:c>
      <x:c r="D45" s="53" t="n">
        <x:v>0.625</x:v>
      </x:c>
      <x:c r="E45" s="54" t="b">
        <x:v>0</x:v>
      </x:c>
      <x:c r="F45" s="53" t="str">
        <x:v>C07</x:v>
      </x:c>
    </x:row>
    <x:row r="46">
      <x:c r="A46" s="53" t="n">
        <x:v>7</x:v>
      </x:c>
      <x:c r="B46" s="53" t="str">
        <x:v>JUND</x:v>
      </x:c>
      <x:c r="C46" s="53" t="str">
        <x:v>Jund</x:v>
      </x:c>
      <x:c r="D46" s="53" t="n">
        <x:v>0.541667</x:v>
      </x:c>
      <x:c r="E46" s="54" t="b">
        <x:v>0</x:v>
      </x:c>
      <x:c r="F46" s="53" t="str">
        <x:v>C01</x:v>
      </x:c>
    </x:row>
    <x:row r="47">
      <x:c r="A47" s="53" t="n">
        <x:v>8</x:v>
      </x:c>
      <x:c r="B47" s="53" t="str">
        <x:v>R</x:v>
      </x:c>
      <x:c r="C47" s="53" t="str">
        <x:v>Red</x:v>
      </x:c>
      <x:c r="D47" s="53" t="n">
        <x:v>0.541667</x:v>
      </x:c>
      <x:c r="E47" s="54" t="b">
        <x:v>0</x:v>
      </x:c>
      <x:c r="F47" s="53" t="str">
        <x:v>C01</x:v>
      </x:c>
    </x:row>
    <x:row r="48">
      <x:c r="A48" s="53" t="n">
        <x:v>9</x:v>
      </x:c>
      <x:c r="B48" s="53" t="str">
        <x:v>RG</x:v>
      </x:c>
      <x:c r="C48" s="53" t="str">
        <x:v>Gruul Clans</x:v>
      </x:c>
      <x:c r="D48" s="53" t="n">
        <x:v>0.541667</x:v>
      </x:c>
      <x:c r="E48" s="54" t="b">
        <x:v>0</x:v>
      </x:c>
      <x:c r="F48" s="53" t="str">
        <x:v>C01</x:v>
      </x:c>
    </x:row>
    <x:row r="49">
      <x:c r="A49" s="53" t="n">
        <x:v>10</x:v>
      </x:c>
      <x:c r="B49" s="53" t="str">
        <x:v>WR</x:v>
      </x:c>
      <x:c r="C49" s="53" t="str">
        <x:v>Boros Legion</x:v>
      </x:c>
      <x:c r="D49" s="53" t="n">
        <x:v>0.541667</x:v>
      </x:c>
      <x:c r="E49" s="54" t="b">
        <x:v>0</x:v>
      </x:c>
      <x:c r="F49" s="53" t="str">
        <x:v>C07</x:v>
      </x:c>
    </x:row>
    <x:row r="50">
      <x:c r="A50" s="53" t="n">
        <x:v>11</x:v>
      </x:c>
      <x:c r="B50" s="53" t="str">
        <x:v>SILVERQUILL</x:v>
      </x:c>
      <x:c r="C50" s="53" t="str">
        <x:v>Silverquill College</x:v>
      </x:c>
      <x:c r="D50" s="53" t="n">
        <x:v>0.166667</x:v>
      </x:c>
      <x:c r="E50" s="54" t="b">
        <x:v>0</x:v>
      </x:c>
      <x:c r="F50" s="53" t="str"/>
    </x:row>
    <x:row r="51">
      <x:c r="A51" s="53" t="n">
        <x:v>12</x:v>
      </x:c>
      <x:c r="B51" s="53" t="str">
        <x:v>TEMUR</x:v>
      </x:c>
      <x:c r="C51" s="53" t="str">
        <x:v>Temur Frontier</x:v>
      </x:c>
      <x:c r="D51" s="53" t="n">
        <x:v>0.166667</x:v>
      </x:c>
      <x:c r="E51" s="54" t="b">
        <x:v>0</x:v>
      </x:c>
      <x:c r="F51" s="53" t="str"/>
    </x:row>
    <x:row r="52">
      <x:c r="A52" s="53" t="n">
        <x:v>13</x:v>
      </x:c>
      <x:c r="B52" s="53" t="str">
        <x:v>NAYA</x:v>
      </x:c>
      <x:c r="C52" s="53" t="str">
        <x:v>Naya</x:v>
      </x:c>
      <x:c r="D52" s="53" t="n">
        <x:v>0.166667</x:v>
      </x:c>
      <x:c r="E52" s="54" t="b">
        <x:v>0</x:v>
      </x:c>
      <x:c r="F52" s="53" t="str"/>
    </x:row>
    <x:row r="53">
      <x:c r="A53" s="53" t="n">
        <x:v>14</x:v>
      </x:c>
      <x:c r="B53" s="53" t="str">
        <x:v>DUNE</x:v>
      </x:c>
      <x:c r="C53" s="53" t="str">
        <x:v>Dune / Aggression</x:v>
      </x:c>
      <x:c r="D53" s="53" t="n">
        <x:v>0.15625</x:v>
      </x:c>
      <x:c r="E53" s="54" t="b">
        <x:v>0</x:v>
      </x:c>
      <x:c r="F53" s="53" t="str">
        <x:v>C07</x:v>
      </x:c>
    </x:row>
    <x:row r="54">
      <x:c r="A54" s="53" t="n">
        <x:v>15</x:v>
      </x:c>
      <x:c r="B54" s="53" t="str">
        <x:v>JESKAI</x:v>
      </x:c>
      <x:c r="C54" s="53" t="str">
        <x:v>Jeskai Way</x:v>
      </x:c>
      <x:c r="D54" s="53" t="n">
        <x:v>0.125</x:v>
      </x:c>
      <x:c r="E54" s="54" t="b">
        <x:v>0</x:v>
      </x:c>
      <x:c r="F54" s="53" t="str"/>
    </x:row>
    <x:row r="55">
      <x:c r="A55" s="53" t="n">
        <x:v>16</x:v>
      </x:c>
      <x:c r="B55" s="53" t="str">
        <x:v>U</x:v>
      </x:c>
      <x:c r="C55" s="53" t="str">
        <x:v>Blue</x:v>
      </x:c>
      <x:c r="D55" s="53" t="n">
        <x:v>0.125</x:v>
      </x:c>
      <x:c r="E55" s="54" t="b">
        <x:v>0</x:v>
      </x:c>
      <x:c r="F55" s="53" t="str"/>
    </x:row>
    <x:row r="56">
      <x:c r="A56" s="53" t="n">
        <x:v>17</x:v>
      </x:c>
      <x:c r="B56" s="53" t="str">
        <x:v>ABZAN</x:v>
      </x:c>
      <x:c r="C56" s="53" t="str">
        <x:v>Abzan Houses</x:v>
      </x:c>
      <x:c r="D56" s="53" t="n">
        <x:v>0.083333</x:v>
      </x:c>
      <x:c r="E56" s="54" t="b">
        <x:v>0</x:v>
      </x:c>
      <x:c r="F56" s="53" t="str"/>
    </x:row>
    <x:row r="57">
      <x:c r="A57" s="53" t="n">
        <x:v>18</x:v>
      </x:c>
      <x:c r="B57" s="53" t="str">
        <x:v>BR</x:v>
      </x:c>
      <x:c r="C57" s="53" t="str">
        <x:v>Cult of Rakdos</x:v>
      </x:c>
      <x:c r="D57" s="53" t="n">
        <x:v>0.083333</x:v>
      </x:c>
      <x:c r="E57" s="54" t="b">
        <x:v>0</x:v>
      </x:c>
      <x:c r="F57" s="53" t="str"/>
    </x:row>
    <x:row r="58">
      <x:c r="A58" s="53" t="n">
        <x:v>19</x:v>
      </x:c>
      <x:c r="B58" s="53" t="str">
        <x:v>INK</x:v>
      </x:c>
      <x:c r="C58" s="53" t="str">
        <x:v>Ink / Altruism</x:v>
      </x:c>
      <x:c r="D58" s="53" t="n">
        <x:v>0.083333</x:v>
      </x:c>
      <x:c r="E58" s="54" t="b">
        <x:v>0</x:v>
      </x:c>
      <x:c r="F58" s="53" t="str"/>
    </x:row>
    <x:row r="59">
      <x:c r="A59" s="53" t="n">
        <x:v>20</x:v>
      </x:c>
      <x:c r="B59" s="53" t="str">
        <x:v>PRISMARI</x:v>
      </x:c>
      <x:c r="C59" s="53" t="str">
        <x:v>Prismari College</x:v>
      </x:c>
      <x:c r="D59" s="53" t="n">
        <x:v>0.083333</x:v>
      </x:c>
      <x:c r="E59" s="54" t="b">
        <x:v>0</x:v>
      </x:c>
      <x:c r="F59" s="53" t="str"/>
    </x:row>
    <x:row r="60">
      <x:c r="A60" s="53" t="n">
        <x:v>21</x:v>
      </x:c>
      <x:c r="B60" s="53" t="str">
        <x:v>WB</x:v>
      </x:c>
      <x:c r="C60" s="53" t="str">
        <x:v>Orzhov Syndicate</x:v>
      </x:c>
      <x:c r="D60" s="53" t="n">
        <x:v>0.083333</x:v>
      </x:c>
      <x:c r="E60" s="54" t="b">
        <x:v>0</x:v>
      </x:c>
      <x:c r="F60" s="53" t="str"/>
    </x:row>
    <x:row r="61">
      <x:c r="A61" s="53" t="n">
        <x:v>22</x:v>
      </x:c>
      <x:c r="B61" s="53" t="str">
        <x:v>WG</x:v>
      </x:c>
      <x:c r="C61" s="53" t="str">
        <x:v>Selesnya Conclave</x:v>
      </x:c>
      <x:c r="D61" s="53" t="n">
        <x:v>0.083333</x:v>
      </x:c>
      <x:c r="E61" s="54" t="b">
        <x:v>0</x:v>
      </x:c>
      <x:c r="F61" s="53" t="str"/>
    </x:row>
    <x:row r="62">
      <x:c r="A62" s="53" t="n">
        <x:v>23</x:v>
      </x:c>
      <x:c r="B62" s="53" t="str">
        <x:v>B</x:v>
      </x:c>
      <x:c r="C62" s="53" t="str">
        <x:v>Black</x:v>
      </x:c>
      <x:c r="D62" s="53" t="n">
        <x:v>0.0625</x:v>
      </x:c>
      <x:c r="E62" s="54" t="b">
        <x:v>0</x:v>
      </x:c>
      <x:c r="F62" s="53" t="str"/>
    </x:row>
    <x:row r="63">
      <x:c r="A63" s="53" t="n">
        <x:v>24</x:v>
      </x:c>
      <x:c r="B63" s="53" t="str">
        <x:v>ESPER</x:v>
      </x:c>
      <x:c r="C63" s="53" t="str">
        <x:v>Esper</x:v>
      </x:c>
      <x:c r="D63" s="53" t="n">
        <x:v>0.0625</x:v>
      </x:c>
      <x:c r="E63" s="54" t="b">
        <x:v>0</x:v>
      </x:c>
      <x:c r="F63" s="53" t="str"/>
    </x:row>
    <x:row r="64">
      <x:c r="A64" s="53" t="n">
        <x:v>25</x:v>
      </x:c>
      <x:c r="B64" s="53" t="str">
        <x:v>BANT</x:v>
      </x:c>
      <x:c r="C64" s="53" t="str">
        <x:v>Bant</x:v>
      </x:c>
      <x:c r="D64" s="53" t="n">
        <x:v>0</x:v>
      </x:c>
      <x:c r="E64" s="54" t="b">
        <x:v>0</x:v>
      </x:c>
      <x:c r="F64" s="53" t="str"/>
    </x:row>
    <x:row r="65">
      <x:c r="A65" s="53" t="n">
        <x:v>26</x:v>
      </x:c>
      <x:c r="B65" s="53" t="str">
        <x:v>BG</x:v>
      </x:c>
      <x:c r="C65" s="53" t="str">
        <x:v>Golgari Swarm</x:v>
      </x:c>
      <x:c r="D65" s="53" t="n">
        <x:v>0</x:v>
      </x:c>
      <x:c r="E65" s="54" t="b">
        <x:v>0</x:v>
      </x:c>
      <x:c r="F65" s="53" t="str"/>
    </x:row>
    <x:row r="66">
      <x:c r="A66" s="53" t="n">
        <x:v>27</x:v>
      </x:c>
      <x:c r="B66" s="53" t="str">
        <x:v>COLORLESS</x:v>
      </x:c>
      <x:c r="C66" s="53" t="str">
        <x:v>Colorless</x:v>
      </x:c>
      <x:c r="D66" s="53" t="n">
        <x:v>0</x:v>
      </x:c>
      <x:c r="E66" s="54" t="b">
        <x:v>0</x:v>
      </x:c>
      <x:c r="F66" s="53" t="str"/>
    </x:row>
    <x:row r="67">
      <x:c r="A67" s="53" t="n">
        <x:v>28</x:v>
      </x:c>
      <x:c r="B67" s="53" t="str">
        <x:v>G</x:v>
      </x:c>
      <x:c r="C67" s="53" t="str">
        <x:v>Green</x:v>
      </x:c>
      <x:c r="D67" s="53" t="n">
        <x:v>0</x:v>
      </x:c>
      <x:c r="E67" s="54" t="b">
        <x:v>0</x:v>
      </x:c>
      <x:c r="F67" s="53" t="str"/>
    </x:row>
    <x:row r="68">
      <x:c r="A68" s="53" t="n">
        <x:v>29</x:v>
      </x:c>
      <x:c r="B68" s="53" t="str">
        <x:v>LOREHOLD</x:v>
      </x:c>
      <x:c r="C68" s="53" t="str">
        <x:v>Lorehold College</x:v>
      </x:c>
      <x:c r="D68" s="53" t="n">
        <x:v>0</x:v>
      </x:c>
      <x:c r="E68" s="54" t="b">
        <x:v>0</x:v>
      </x:c>
      <x:c r="F68" s="53" t="str"/>
    </x:row>
    <x:row r="69">
      <x:c r="A69" s="53" t="n">
        <x:v>30</x:v>
      </x:c>
      <x:c r="B69" s="53" t="str">
        <x:v>QUANDRIX</x:v>
      </x:c>
      <x:c r="C69" s="53" t="str">
        <x:v>Quandrix College</x:v>
      </x:c>
      <x:c r="D69" s="53" t="n">
        <x:v>0</x:v>
      </x:c>
      <x:c r="E69" s="54" t="b">
        <x:v>0</x:v>
      </x:c>
      <x:c r="F69" s="53" t="str"/>
    </x:row>
    <x:row r="70">
      <x:c r="A70" s="53" t="n">
        <x:v>31</x:v>
      </x:c>
      <x:c r="B70" s="53" t="str">
        <x:v>SULTAI</x:v>
      </x:c>
      <x:c r="C70" s="53" t="str">
        <x:v>Sultai Brood</x:v>
      </x:c>
      <x:c r="D70" s="53" t="n">
        <x:v>0</x:v>
      </x:c>
      <x:c r="E70" s="54" t="b">
        <x:v>0</x:v>
      </x:c>
      <x:c r="F70" s="53" t="str"/>
    </x:row>
    <x:row r="71">
      <x:c r="A71" s="53" t="n">
        <x:v>32</x:v>
      </x:c>
      <x:c r="B71" s="53" t="str">
        <x:v>UG</x:v>
      </x:c>
      <x:c r="C71" s="53" t="str">
        <x:v>Simic Combine</x:v>
      </x:c>
      <x:c r="D71" s="53" t="n">
        <x:v>0</x:v>
      </x:c>
      <x:c r="E71" s="54" t="b">
        <x:v>0</x:v>
      </x:c>
      <x:c r="F71" s="53" t="str"/>
    </x:row>
    <x:row r="72">
      <x:c r="A72" s="53" t="n">
        <x:v>33</x:v>
      </x:c>
      <x:c r="B72" s="53" t="str">
        <x:v>UR</x:v>
      </x:c>
      <x:c r="C72" s="53" t="str">
        <x:v>Izzet League</x:v>
      </x:c>
      <x:c r="D72" s="53" t="n">
        <x:v>0</x:v>
      </x:c>
      <x:c r="E72" s="54" t="b">
        <x:v>0</x:v>
      </x:c>
      <x:c r="F72" s="53" t="str"/>
    </x:row>
    <x:row r="73">
      <x:c r="A73" s="53" t="n">
        <x:v>34</x:v>
      </x:c>
      <x:c r="B73" s="53" t="str">
        <x:v>WITCH</x:v>
      </x:c>
      <x:c r="C73" s="53" t="str">
        <x:v>Witch / Growth</x:v>
      </x:c>
      <x:c r="D73" s="53" t="n">
        <x:v>0</x:v>
      </x:c>
      <x:c r="E73" s="54" t="b">
        <x:v>0</x:v>
      </x:c>
      <x:c r="F73" s="53" t="str"/>
    </x:row>
    <x:row r="74">
      <x:c r="A74" s="53" t="n">
        <x:v>35</x:v>
      </x:c>
      <x:c r="B74" s="53" t="str">
        <x:v>WITHERBLOOM</x:v>
      </x:c>
      <x:c r="C74" s="53" t="str">
        <x:v>Witherbloom College</x:v>
      </x:c>
      <x:c r="D74" s="53" t="n">
        <x:v>0</x:v>
      </x:c>
      <x:c r="E74" s="54" t="b">
        <x:v>0</x:v>
      </x:c>
      <x:c r="F74" s="53" t="str"/>
    </x:row>
    <x:row r="75">
      <x:c r="A75" s="53" t="n">
        <x:v>36</x:v>
      </x:c>
      <x:c r="B75" s="53" t="str">
        <x:v>WUBRG</x:v>
      </x:c>
      <x:c r="C75" s="53" t="str">
        <x:v>Five-Color / WUBRG</x:v>
      </x:c>
      <x:c r="D75" s="53" t="n">
        <x:v>0</x:v>
      </x:c>
      <x:c r="E75" s="54" t="b">
        <x:v>0</x:v>
      </x:c>
      <x:c r="F75" s="53" t="str"/>
    </x:row>
    <x:row r="76">
      <x:c r="A76" s="53" t="n">
        <x:v>37</x:v>
      </x:c>
      <x:c r="B76" s="53" t="str">
        <x:v>YORE</x:v>
      </x:c>
      <x:c r="C76" s="53" t="str">
        <x:v>Yore / Artifice</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"GLINT",
  "faction_name": "Glint / Chaos",
  "institution_type": "four_color",
  "world": "Cross-setting",
  "identity": {
    "core_color": "UBRG",
    "secondary_colors": [
      "U",
      "B",
      "R",
      "G"
    ],
    "secondary_color": null,
    "expression_key": "GLINT",
    "expression_name": "Glint / Chaos",
    "expression_kind": "four_color",
    "purity": null,
    "routing": {
      "color_identity": "UBRG",
      "label": "Glint",
      "suppress_directory_links": true
    }
  },
  "decree": "Glint / Chaos is the clearest current fit from the approved observations.",
  "confidence": 0.046,
  "confidence_gap": 1,
  "mana_scores": {
    "W": 9,
    "U": 9,
    "B": 10,
    "R": 10,
    "G": 9
  },
  "top_matches": [
    {
      "rank": 1,
      "faction": "GLINT",
      "faction_name": "Glint / Chaos",
      "institution_type": "four_color",
      "world": "Cross-setting",
      "identity": {
        "core_color": "UBRG",
        "secondary_colors": [
          "U",
          "B",
          "R",
          "G"
        ],
        "secondary_color": null,
        "expression_key": "GLINT",
        "expression_name": "Glint / Chaos",
        "expression_kind": "four_color",
        "purity": null,
        "routing": {
          "color_identity": "UBRG",
          "label": "Glint",
          "suppress_directory_links": true
        }
      },
      "score": 0.916667,
      "confidence": 0.046,
      "reason": "Glint / Chaos remained plausible through C01, C11; identity mapping remains a hypothesis."
    }
  ],
  "adjacent_matches": [],
  "internal_candidate_order": [
    {
      "identity": "GLINT",
      "score": 0.916667,
      "positive_dependencies": 2,
      "qualification_dependencies": 2,
      "naming_dependencies": 1,
      "positive_constructs": [
        "C08",
        "C11"
      ],
      "satisfied_naming_rule_ids": [
        "baseline_40:b1.crucible.glint-dune.v1.shifting:GLINT"
      ],
      "naming_qualification": {
        "identity": "GLINT",
        "qualified": true,
        "satisfied_naming_rule_ids": [
          "baseline_40:b1.crucible.glint-dune.v1.shifting:GLINT"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"W",
      "score": 0.916667,
      "positive_dependencies": 1,
      "qualification_dependencies": 1,
      "naming_dependencies": 1,
      "positive_constructs": [
        "C13"
      ],
      "satisfied_naming_rule_ids": [
        "instrument_completion_overlay:b1.hall.commitment.v1.procedure:W"
      ],
      "naming_qualification": {
        "identity": "W",
        "qualified": false,
        "satisfied_naming_rule_ids": [
          "instrument_completion_overlay:b1.hall.commitment.v1.procedure:W"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"UB",
      "score": 0.875,
      "positive_dependencies": 1,
      "qualification_dependencies": 1,
      "naming_dependencies": 1,
      "positive_constructs": [
        "C08"
      ],
      "satisfied_naming_rule_ids": [
        "instrument_completion_overlay:b1.hall.interaction-window.v1.pressure:UB"
      ],
      "naming_qualification": {
        "identity": "UB",
        "qualified": false,
        "satisfied_naming_rule_ids": [
          "instrument_completion_overlay:b1.hall.interaction-window.v1.pressure:UB"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"C11"
      ]
    },
    {
      "identity": "WU",
      "score": 0.875,
      "positive_dependencies": 1,
      "qualification_dependencies": 1,
      "naming_dependencies": 1,
      "positive_constructs": [
        "C13"
      ],
      "satisfied_naming_rule_ids": [
        "instrument_completion_overlay:b1.hall.commitment.v1.procedure:WU"
      ],
      "naming_qualification": {
        "identity": "WU",
        "qualified": false,
        "satisfied_naming_rule_ids": [
          "instrument_completion_overlay:b1.hall.commitment.v1.procedure:WU"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"C13"
      ]
    },
    {
      "identity": "GRIXIS",
      "score": 0.8125,
      "positive_dependencies": 1,
      "qualification_dependencies": 1,
      "naming_dependencies": 0,
      "positive_constructs": [
        "C08"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"MARDU",
      "score": 0.625,
      "positive_dependencies": 1,
      "qualification_dependencies": 1,
      "naming_dependencies": 0,
      "positive_constructs": [
        "C07"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"JUND",
      "score": 0.541667,
      "positive_dependencies": 1,
      "qualification_dependencies": 1,
      "naming_dependencies": 0,
      "positive_constructs": [
        "C01"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
      "score": 0.541667,
      "positive_dependencies": 1,
      "qualification_dependencies": 1,
      "naming_dependencies": 0,
      "positive_constructs": [
        "C01"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"RG",
      "score": 0.541667,
      "positive_dependencies": 1,
      "qualification_dependencies": 1,
      "naming_dependencies": 0,
      "positive_constructs": [
        "C01"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"WR",
      "score": 0.541667,
      "positive_dependencies": 1,
      "qualification_dependencies": 1,
      "naming_dependencies": 0,
      "positive_constructs": [
        "C07"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"SILVERQUILL",
      "score": 0.166667,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"C13"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"NAYA",
      "score": 0.166667,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"C11"
      ]
    },
    {
      "identity": "DUNE",
      "score": 0.15625,
      "positive_dependencies": 1,
      "qualification_dependencies": 1,
      "naming_dependencies": 0,
      "positive_constructs": [
        "C07"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"C07",
        "C11",
        "C13"
      ]
    },
    {
      "identity": "JESKAI",
      "score": 0.125,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"BG",
      "score": 0,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x:v>
      </x:c>
    </x:row>
    <x:row r="80">
      <x:c r="A80" s="53" t="str">
        <x:v>Part 2/3</x:v>
      </x:c>
      <x:c r="B80" s="53" t="str">
        <x:v>lification authorizes responsible naming but does not add score or satisfy the primary separation threshold."
      },
      "contradiction_dependencies": 0,
      "independent_constructs":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"QUANDRIX",
      "score": 0,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"SULTAI",
      "score": 0,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"UG",
      "score": 0,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"WITCH",
      "score": 0,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"WITHERBLOOM",
      "score": 0,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"GLINT",
    "W",
    "UB",
    "WU",
    "GRIXIS",
    "MARDU"
  ],
  "alternatives": [],
  "refinement": {
    "kind": "revisit_prior_answer",
    "can_reduce_ambiguity": true,
    "remaining_candidates": [
      "GLINT",
      "W",
      "UB",
      "WU",
      "GRIXIS",
      "MARDU",
      "JUND",
      "R"
    ],
    "unresolved_boundaries": [
      {
        "pair_id": "GLINT__GRIXIS",
        "identities": [
          "GLINT",
          "GRIXIS"
        ],
        "distinction": "Direct scenario tests one bounded Commander behavior.",
        "question_ids": [
          "b1.crucible.grixis.v1",
          "b1.hall.information-to-plan.v1",
          "b1.crucible.yore-glint.v1",
          "b1.crucible.glint-dune.v1",
          "b1.hall.setup.v1",
          "b1.crucible.disruption-boundary.v1"
        ],
        "coverage_status": "DIRECT-OR-STRUCTURAL-MAPPING-HYPOTHESIS; bounded player validation required"
      },
      {
        "pair_id": "GLINT__JUND",
        "identities": [
          "GLINT",
          "JUND"
        ],
        "distinction": "GLINT uses Repeatability preference evidence; JUND uses Resource sacrifice evidence. No direct pair claim is made.",
        "question_ids": [
          "b1.hall.repeatability.v1",
          "b1.hall.sacrifice.v1",
          "b1.crucible.mono-multi.v1",
          "b1.crucible.yore-glint.v1",
          "b1.crucible.glint-dune.v1",
          "b1.gate.initiative.v1",
          "b1.hall.pressure.v1",
          "b1.hall.setup.v1",
          "b1.crucible.disruption-boundary.v1",
          "b1.hall.interaction-window.v1"
        ],
        "coverage_status": "DIRECT-OR-STRUCTURAL-MAPPING-HYPOTHESIS; bounded player validation required"
      },
      {
        "pair_id": "GLINT__R",
        "identities": [
          "GLINT",
          "R"
        ],
        "distinction": "GLINT uses Repeatability preference evidence; R uses Advantage tempo evidence. No direct pair claim is made.",
        "question_ids": [
          "b1.hall.repeatability.v1",
          "b1.gate.tempo.v1",
          "b1.crucible.mono-multi.v1",
          "b1.crucible.yore-glint.v1",
          "b1.crucible.glint-dune.v1",
          "b1.gate.initiative.v1",
          "b1.hall.pressure.v1",
          "b1.hall.setup.v1",
          "b1.crucible.disruption-boundary.v1",
          "b1.hall.interaction-window.v1"
        ],
        "coverage_status": "DIRECT-OR-STRUCTURAL-MAPPING-HYPOTHESIS; bounded player validation required"
      },
      {
        "pair_id": "GLINT__UB",
        "identities": [
          "GLINT",
          "UB"
        ],
        "distinction": "GLINT uses Repeatability preference evidence; UB uses Resource visibility evidence. No direct pair claim is made.",
        "question_ids": [
          "b1.hall.repeatability.v1",
          "b1.gate.visibility.v1",
          "b1.crucible.mono-multi.v1",
          "b1.hall.information-to-plan.v1",
          "b1.crucible.yore-glint.v1",
          "b1.crucible.glint-dune.v1",
          "b1.hall.engine-shape.v1",
          "b1.hall.interaction-window.v1",
          "b1.hall.setup.v1"
        ],
        "coverage_status": "DIRECT-OR-STRUCTURAL-MAPPING-HYPOTHESIS; bounded player validation required"
      },
      {
        "pair_id": "GRIXIS__JUND",
        "identities": [
          "GRIXIS",
          "JUND"
        ],
        "distinction": "GRIXIS uses Information-to-plan conversion evidence; JUND uses Pressure channel evidence. No direct pair claim is made.",
        "question_ids": [
          "b1.hall.information-to-plan.v1",
          "b1.hall.pressure.v1",
          "b1.crucible.mono-multi.v1",
          "b1.crucible.grixis.v1",
          "b1.gate.initiative.v1",
          "b1.hall.sacrifice.v1",
          "b1.hall.interaction-window.v1"
        ],
        "coverage_status": "DIRECT-OR-STRUCTURAL-MAPPING-HYPOTHESIS; bounded player validation required"
      },
      {
        "pair_id": "JUND__UB",
        "identities": [
          "JUND",
          "UB"
        ],
        "distinction": "JUND uses Initiative posture evidence; UB uses Resource visibility evidence. No direct pair claim is made.",
        "question_ids": [
          "b1.gate.initiative.v1",
          "b1.gate.visibility.v1",
          "b1.crucible.mono-multi.v1",
          "b1.hall.information-to-plan.v1",
          "b1.hall.sacrifice.v1",
          "b1.hall.pressure.v1",
          "b1.hall.engine-shape.v1",
          "b1.hall.interaction-window.v1",
          "b1.crucible.disruption-boundary.v1"
        ],
        "coverage_status": "DIRECT-OR-STRUCTURAL-MAPPING-HYPOTHESIS; bounded player validation required"
      },
      {
        "pair_id": "MARDU__R",
        "identities": [
          "MARDU",
          "R"
        ],
        "distinction": "MARDU uses Pressure channel evidence; R uses Advantage tempo evidence. No direct pair claim is made.",
        "question_ids": [
          "b1.hall.pressure.v1",
          "b1.gate.tempo.v1",
          "b1.crucible.mono-multi.v1",
          "b1.gate.initiative.v1",
          "b1.hall.commitment.v1",
          "b1.crucible.disruption-boundary.v1"
        ],
        "coverage_status": "DIRECT-OR-STRUCTURAL-MAPPING-HYPOTHESIS; bounded player validation required"
      },
      {
        "pair_id": "R__W",
        "identities": [
          "R",
          "W"
        ],
        "distinction": "R uses Initiative posture evidence; W uses Disruption response evidence. No direct pair claim is made.",
        "question_ids": [
          "b1.gate.initiative.v1",
          "b1.gate.disruption.v1",
          "b1.crucible.mono-multi.v1",
          "b1.hall.commitment.v1",
          "b1.hall.pressure.v1",
          "b1.crucible.disruption-boundary.v1"
        ],
        "coverage_status": "DIRECT-OR-STRUCTURAL-MAPPING-HYPOTHESIS; bounded player validation required"
      },
      {
        "pair_id": "W__WU",
        "identities": [
          "W",
          "WU"
        ],
        "distinction": "W uses Disruption response evidence; WU uses Mana commitment and interaction window evidence. No direct pair claim is made.",
        "question_ids": [
          "b1.gate.disruption.v1",
          "b1.hall.interaction-window.v1",
          "b1.crucible.mono-multi.v1",
          "b1.hall.information-to-plan.v1"
        ],
        "coverage_status": "DIRECT-OR-STRUCTURAL-MAPPING-HYPOTHESIS; bounded player validation required"
      }
    ],
    "missing_constructs": [
      "C02",
      "C03",
      "C04",
      "C09",
      "C12"
    ],
    "question_id": null,
    "revisit": {
      "question_id": "b1.gate.disruption.v1",
      "answer_id": "b1.gate.disruption.v1.depends",
      "reason": "A conditional or unknown response withheld directional evidence for the unresolved candidates."
    },
    "limitation": "Revisit only if the earlier uncertainty no longer reflects the player's preference."
  },
  "stopping": {
    "stop": true,
    "state": "primary",
    "reason": "clear_separation",
    "can_improve": false,
    "next_question_id": null
  },
  "starter_profile": {
    "format_interest": "commander",
    "budget_band": "mid",
    "experience_level": "returning"
  },
  "evidence_trail":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"Set the pace",
      "prompt": "Your turn begins, no urgent threat needs an answer, and you have enough mana to act. What feels best?",
      "observation": "Prefers proactive development on an open turn.",
      "deltas": [
        {
          "faction": "JUND",
          "delta": 0.5
        },
        {
          "faction": "R",
          "delta": 0.5
        },
        {
          "faction": "RG",
          "delta": 0.5
        }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"answer_title": "Coordinate one attack",
      "prompt": "The player ahead uses all their mana and leaves one turn where the table can take control. Which kind of pressure do you want your deck to create?",
      "observation": "Prefers formation-based combat pressure during a shared opening.",
      "deltas": [
        {
          "faction": "DUNE",
          "delta": 0.5
        },
        {
          "faction": "MARDU",
          "delta": 0.5
        },
        {
          "faction": "WR",
          "delta": 0.5
        }
      ]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"answer_title": "Apply one clear rule",
      "prompt": "The table agrees to stop a repeatable threat. Before your next turn, the board changes and that threat is weaker but still present. What should the agreement require now?",
      "observation": "Prefers public procedural consistency after circumstances change.",
      "deltas": [
        {
          "faction": "W",
          "delta": 1
        },
        {
          "faction":</x:v>
      </x:c>
    </x:row>
    <x:row r="81">
      <x:c r="A81" s="53" t="str">
        <x:v>Part 3/3</x:v>
      </x:c>
      <x:c r="B81" s="53" t="str">
        <x:v> "WU",
          "delta": 1
        }
      ]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"answer_title": "As they commit",
      "prompt": "An opponent begins a decisive turn, but you do not yet know which card matters most. When do you want your deck to use the card or mana it kept available?",
      "observation": "Prefers the commitment window where opposing resources are exposed.",
      "deltas": [
        {
          "faction": "GLINT",
          "delta": 1
        },
        {
          "faction": "GRIXIS",
          "delta": 1
        },
        {
          "faction": "UB",
          "delta": 1
        }
      ]
    },
    {
      "question_id": "b1.crucible.glint-dune.v1",
      "answer_id": "b1.crucible.glint-dune.v1.shifting",
      "stage": "crucible",
      "construct": "C11",
      "bounded_observation": "Prefers shifting threat.",
      "signal": "SIG_C11_ADAPTIVE",
      "dependency_group": "DG_C11",
      "evidence_class": "BEHAVIORAL_OBSERVATION",
      "affected_identities": [
        "DUNE",
        "GLINT"
      ],
      "positive_support": [
        "GLINT"
      ],
      "contradiction": [
        "DUNE"
      ],
      "neutral": false,
      "mapping_strength": 1,
      "naming_evidence": true,
      "qualification_eligible": true,
      "qualification_support": [
        "GLINT"
      ],
      "naming_support": [
        "GLINT"
      ],
      "naming_rule_ids_by_identity": {
        "GLINT": [
          "baseline_40:b1.crucible.glint-dune.v1.shifting:GLINT"
        ]
      },
      "mapping_role": "exact_pair_direction",
      "mapping_status": "MAPPING_HYPOTHESIS",
      "mapping_provenance": "answer-semantic-adjudication.tsv GLINT vs DUNE evidence-required hypothesis",
      "evidence_provenance": "E-CERTIFIED;E-PLAYER-THREAT;E-AUDIT;E-CECOS;E-VOICE",
      "limitation": "Use only after prior independent observations leave the stated competitor boundary plausible; the identity association requires player validation.",
      "behavioral_vs_lens": "behavioral",
      "answer_title": "Several changing angles",
      "prompt": "When you become the threat, what shape should that pressure take?",
      "observation": "Prefers shifting threat.",
      "deltas": [
        {
          "faction": "GLINT",
          "delta": 1
        },
        {
          "faction": "DUNE",
          "delta": -1
        }
      ]
    }
  ],
  "evidence_ledger": [
    {
      "question_id": "b1.gate.initiative.v1",
      "answer_id": "b1.gate.initiative.v1.advance",
      "stage": "gate",
      "construct": "C01",
      "bounded_observation": "Prefers proactive development on an open turn.",
      "signal": "SIG_C01_PROACTIVE",
      "dependency_group": "DG_C01",
      "evidence_class": "BEHAVIORAL_OBSERVATION",
      "affected_identities": [
        "JUND",
        "R",
        "RG"
      ],
      "positive_support": [
        "JUND",
        "R",
        "RG"
      ],
      "contradiction": [],
      "neutral": false,
      "mapping_strength": 0.5,
      "naming_evidence": false,
      "qualification_eligible": true,
      "qualification_support": [
        "JUND",
        "R",
        "RG"
      ],
      "naming_support": [],
      "naming_rule_ids_by_identity": {},
      "mapping_role": "completion_corroboration_direction",
      "mapping_status": "REMEDIATION_MAPPING_HYPOTHESIS",
      "mapping_provenance": "docs/plans/vm551-gate-b1-instrument-completion/instrument-change-adjudication.tsv#b1.gate.initiative.v1.advance;docs/audits/vm555-b1-identity-evidence-gap-bridge/identity-evidence-gap-matrix.tsv",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"b1.hall.pressure.v1",
      "answer_id": "b1.hall.pressure.v1.coordinate",
      "stage": "hall",
      "construct": "C07",
      "bounded_observation": "Prefers formation-based combat pressure during a shared opening.",
      "signal": "SIG_C07_COORDINATED_COMBAT",
      "dependency_group": "DG_C07",
      "evidence_class": "BEHAVIORAL_OBSERVATION",
      "affected_identities": [
        "DUNE",
        "MARDU",
        "WR"
      ],
      "positive_support": [
        "DUNE",
        "MARDU",
        "WR"
      ],
      "contradiction": [],
      "neutral": false,
      "mapping_strength": 0.5,
      "naming_evidence": false,
      "qualification_eligible": true,
      "qualification_support": [
        "DUNE",
        "MARDU",
        "WR"
      ],
      "naming_support": [],
      "naming_rule_ids_by_identity": {},
      "mapping_role": "completion_corroboration_direction",
      "mapping_status": "REMEDIATION_MAPPING_HYPOTHESIS",
      "mapping_provenance": "docs/plans/vm551-gate-b1-instrument-completion/instrument-change-adjudication.tsv#b1.hall.pressure.v1.coordinate;docs/audits/vm555-b1-identity-evidence-gap-bridge/identity-evidence-gap-matrix.tsv",
      "evidence_provenance": "E-VM555;E-CERTIFIED;E-CECOS;E-PLAYER-LANGUAGE",
      "limitation": "The tactically strongest attack may look coordinated without reflecting a stable preference.",
      "behavioral_vs_lens": "behavioral"
    },
    {
      "question_id": "b1.hall.commitment.v1",
      "answer_id": "b1.hall.commitment.v1.procedure",
      "stage": "hall",
      "construct": "C13",
      "bounded_observation": "Prefers public procedural consistency after circumstances change.",
      "signal": "SIG_C13_PROCEDURAL",
      "dependency_group": "DG_C13",
      "evidence_class": "BEHAVIORAL_OBSERVATION",
      "affected_identities": [
        "W",
        "WU"
      ],
      "positive_support": [
        "W",
        "WU"
      ],
      "contradiction": [],
      "neutral": false,
      "mapping_strength": 1,
      "naming_evidence": true,
      "qualification_eligible": true,
      "qualification_support": [
        "W",
        "WU"
      ],
      "naming_support": [
        "W",
        "WU"
      ],
      "naming_rule_ids_by_identity": {
        "W": [
          "instrument_completion_overlay:b1.hall.commitment.v1.procedure:W"
        ],
        "WU": [
          "instrument_completion_overlay:b1.hall.commitment.v1.procedure:WU"
        ]
      },
      "mapping_role": "completion_boundary_direction",
      "mapping_status": "REMEDIATION_MAPPING_HYPOTHESIS",
      "mapping_provenance": "docs/plans/vm551-gate-b1-instrument-completion/instrument-change-adjudication.tsv#b1.hall.commitment.v1.procedure;docs/audits/vm555-b1-identity-evidence-gap-bridge/identity-evidence-gap-matrix.tsv",
      "evidence_provenance": "E-VM555;E-CERTIFIED;E-CECOS;E-PLAYER-LANGUAGE",
      "limitation": "Public consistency can be chosen for convenience, fairness, threat management, or social comfort; it requires independent evidence.",
      "behavioral_vs_lens": "behavioral"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
    {
      "question_id": "b1.crucible.glint-dune.v1",
      "answer_id": "b1.crucible.glint-dune.v1.shifting",
      "stage": "crucible",
      "construct": "C11",
      "bounded_observation": "Prefers shifting threat.",
      "signal": "SIG_C11_ADAPTIVE",
      "dependency_group": "DG_C11",
      "evidence_class": "BEHAVIORAL_OBSERVATION",
      "affected_identities": [
        "DUNE",
        "GLINT"
      ],
      "positive_support": [
        "GLINT"
      ],
      "contradiction": [
        "DUNE"
      ],
      "neutral": false,
      "mapping_strength": 1,
      "naming_evidence": true,
      "qualification_eligible": true,
      "qualification_support": [
        "GLINT"
      ],
      "naming_support": [
        "GLINT"
      ],
      "naming_rule_ids_by_identity": {
        "GLINT": [
          "baseline_40:b1.crucible.glint-dune.v1.shifting:GLINT"
        ]
      },
      "mapping_role": "exact_pair_direction",
      "mapping_status": "MAPPING_HYPOTHESIS",
      "mapping_provenance": "answer-semantic-adjudication.tsv GLINT vs DUNE evidence-required hypothesis",
      "evidence_provenance": "E-CERTIFIED;E-PLAYER-THREAT;E-AUDIT;E-CECOS;E-VOICE",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"b1.gate.initiative.v1.advance",
      "stage": "gate",
      "evidence_class": "BEHAVIORAL_OBSERVATION"
    },
    {
      "question_id": "b1.gate.visibility.v1",
      "answer_id": "b1.gate.visibility.v1.depends",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"b1.hall.pressure.v1",
      "answer_id": "b1.hall.pressure.v1.coordinate",
      "stage": "hall",
      "evidence_class": "BEHAVIORAL_OBSERVATION"
    },
    {
      "question_id": "b1.hall.commitment.v1",
      "answer_id": "b1.hall.commitment.v1.procedure",
      "stage": "hall",
      "evidence_class": "BEHAVIORAL_OBSERVATION"
    },
    {
      "question_id": "b1.hall.interaction-window.v1",
      "answer_id": "b1.hall.interaction-window.v1.pressure",
      "stage": "hall",
      "evidence_class": "BEHAVIORAL_OBSERVATION"
    },
    {
      "question_id": "b1.crucible.glint-dune.v1",
      "answer_id": "b1.crucible.glint-dune.v1.shifting",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Ink / Altruism — Engine Trace</x:v>
      </x:c>
      <x:c r="B1" s="3"/>
      <x:c r="C1" s="3"/>
      <x:c r="D1" s="3"/>
      <x:c r="E1" s="3"/>
      <x:c r="F1" s="3"/>
      <x:c r="G1" s="3"/>
      <x:c r="H1" s="3"/>
      <x:c r="I1" s="3"/>
      <x:c r="J1" s="3"/>
      <x:c r="K1" s="3"/>
      <x:c r="L1" s="3"/>
      <x:c r="M1" s="3"/>
      <x:c r="N1" s="3"/>
      <x:c r="O1" s="3"/>
      <x:c r="P1" s="3"/>
      <x:c r="Q1" s="3"/>
      <x:c r="R1" s="3"/>
      <x:c r="S1" s="3"/>
      <x:c r="T1" s="3"/>
    </x:row>
    <x:row r="2" ht="30" customHeight="1">
      <x:c r="A2" s="7" t="str">
        <x:v>ENGINE-INK • PASS_MATCH • primary • trace 903ae666c1bae1afffba831ba9624754caf98c5d08a80d6258ae86669c2bea53</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INK</x:v>
      </x:c>
    </x:row>
    <x:row r="6">
      <x:c r="A6" s="53" t="str">
        <x:v>Expected public contract</x:v>
      </x:c>
      <x:c r="B6" s="53" t="str">
        <x:v>NAMED_DOSSIER</x:v>
      </x:c>
    </x:row>
    <x:row r="7">
      <x:c r="A7" s="53" t="str">
        <x:v>Witness status</x:v>
      </x:c>
      <x:c r="B7" s="53" t="str">
        <x:v>CURRENT_COMPATIBLE</x:v>
      </x:c>
    </x:row>
    <x:row r="8">
      <x:c r="A8" s="53" t="str">
        <x:v>Actual result</x:v>
      </x:c>
      <x:c r="B8" s="53" t="str">
        <x:v>INK</x:v>
      </x:c>
    </x:row>
    <x:row r="9">
      <x:c r="A9" s="53" t="str">
        <x:v>Directional result</x:v>
      </x:c>
      <x:c r="B9" s="53" t="str">
        <x:v>INK</x:v>
      </x:c>
    </x:row>
    <x:row r="10">
      <x:c r="A10" s="53" t="str">
        <x:v>Public state</x:v>
      </x:c>
      <x:c r="B10" s="53" t="str">
        <x:v>current-best-fit</x:v>
      </x:c>
    </x:row>
    <x:row r="11">
      <x:c r="A11" s="53" t="str">
        <x:v>Raw numeric leader</x:v>
      </x:c>
      <x:c r="B11" s="53" t="str">
        <x:v>INK</x:v>
      </x:c>
    </x:row>
    <x:row r="12">
      <x:c r="A12" s="53" t="str">
        <x:v>Raw score</x:v>
      </x:c>
      <x:c r="B12" s="53" t="n">
        <x:v>0.729167</x:v>
      </x:c>
    </x:row>
    <x:row r="13">
      <x:c r="A13" s="53" t="str">
        <x:v>Raw leader qualified</x:v>
      </x:c>
      <x:c r="B13" s="54" t="b">
        <x:v>1</x:v>
      </x:c>
    </x:row>
    <x:row r="14">
      <x:c r="A14" s="53" t="str">
        <x:v>Selected qualified</x:v>
      </x:c>
      <x:c r="B14" s="54" t="b">
        <x:v>1</x:v>
      </x:c>
    </x:row>
    <x:row r="15">
      <x:c r="A15" s="53" t="str">
        <x:v>Frontier</x:v>
      </x:c>
      <x:c r="B15" s="53" t="str">
        <x:v>INK</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outputs/01a02cd6-bce7-7832-9558-3075c52f146a/archscry-current-state-2026-08-22/evidence/engine/traces/ink.json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b1.gate.disruption.v1.protect</x:v>
      </x:c>
      <x:c r="G31" s="53" t="str">
        <x:v>A way to keep the board</x:v>
      </x:c>
      <x:c r="H31" s="53" t="str">
        <x:v>C03</x:v>
      </x:c>
      <x:c r="I31" s="53" t="str">
        <x:v>SIG_C03_PROTECT</x:v>
      </x:c>
      <x:c r="J31" s="53" t="str">
        <x:v>DG_C03</x:v>
      </x:c>
      <x:c r="K31" s="53" t="str">
        <x:v>BEHAVIORAL_OBSERVATION</x:v>
      </x:c>
      <x:c r="L31" s="53" t="str">
        <x:v>ABZAN | W | WG</x:v>
      </x:c>
      <x:c r="M31" s="53" t="str"/>
      <x:c r="N31" s="53" t="n">
        <x:v>0.5</x:v>
      </x:c>
      <x:c r="O31" s="54" t="b">
        <x:v>0</x:v>
      </x:c>
      <x:c r="P31" s="53" t="str">
        <x:v>REMEDIATION_MAPPING_HYPOTHESIS</x:v>
      </x:c>
      <x:c r="Q31" s="53" t="str">
        <x:v>Prefers protection before broad disruption.</x:v>
      </x:c>
      <x:c r="R31" s="53" t="str">
        <x:v>Observation wording and identity association require player validation; no weight is authorized.</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ABZAN</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b1.hall.commitment.v1.reopen</x:v>
      </x:c>
      <x:c r="G33" s="53" t="str">
        <x:v>Reopen the agreement</x:v>
      </x:c>
      <x:c r="H33" s="53" t="str">
        <x:v>C13</x:v>
      </x:c>
      <x:c r="I33" s="53" t="str">
        <x:v>SIG_C13_REVISABLE</x:v>
      </x:c>
      <x:c r="J33" s="53" t="str">
        <x:v>DG_C13</x:v>
      </x:c>
      <x:c r="K33" s="53" t="str">
        <x:v>BEHAVIORAL_OBSERVATION</x:v>
      </x:c>
      <x:c r="L33" s="53" t="str">
        <x:v>SILVERQUILL</x:v>
      </x:c>
      <x:c r="M33" s="53" t="str"/>
      <x:c r="N33" s="53" t="n">
        <x:v>0.5</x:v>
      </x:c>
      <x:c r="O33" s="54" t="b">
        <x:v>0</x:v>
      </x:c>
      <x:c r="P33" s="53" t="str">
        <x:v>REMEDIATION_MAPPING_HYPOTHESIS</x:v>
      </x:c>
      <x:c r="Q33" s="53" t="str">
        <x:v>Prefers revisable present influence over a binding future commitment.</x:v>
      </x:c>
      <x:c r="R33" s="53" t="str">
        <x:v>Players may reopen a deal because it became impossible, not because they prefer revisable influence.</x:v>
      </x:c>
      <x:c r="S33" s="53" t="str">
        <x:v>ABZAN</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b1.hall.setup.v1.early</x:v>
      </x:c>
      <x:c r="G34" s="53" t="str">
        <x:v>Contribute right away</x:v>
      </x:c>
      <x:c r="H34" s="53" t="str">
        <x:v>C14</x:v>
      </x:c>
      <x:c r="I34" s="53" t="str">
        <x:v>SIG_C14_EARLY_IMPACT</x:v>
      </x:c>
      <x:c r="J34" s="53" t="str">
        <x:v>DG_C14</x:v>
      </x:c>
      <x:c r="K34" s="53" t="str">
        <x:v>BEHAVIORAL_OBSERVATION</x:v>
      </x:c>
      <x:c r="L34" s="53" t="str">
        <x:v>BANT | INK | WG</x:v>
      </x:c>
      <x:c r="M34" s="53" t="str"/>
      <x:c r="N34" s="53" t="n">
        <x:v>0.5</x:v>
      </x:c>
      <x:c r="O34" s="54" t="b">
        <x:v>0</x:v>
      </x:c>
      <x:c r="P34" s="53" t="str">
        <x:v>REMEDIATION_MAPPING_HYPOTHESIS</x:v>
      </x:c>
      <x:c r="Q34" s="53" t="str">
        <x:v>Requires useful early participation while a longer plan develops.</x:v>
      </x:c>
      <x:c r="R34" s="53" t="str">
        <x:v>Early utility may be incidental to efficient cards rather than a community preference.</x:v>
      </x:c>
      <x:c r="S34" s="53" t="str">
        <x:v>ABZAN</x:v>
      </x:c>
      <x:c r="T34" s="53" t="str">
        <x:v>incomplete / useful_evidence_remains / b1.hall.threat.v1</x:v>
      </x:c>
    </x:row>
    <x:row r="35">
      <x:c r="A35" s="53" t="n">
        <x:v>7</x:v>
      </x:c>
      <x:c r="B35" s="53" t="str">
        <x:v>main</x:v>
      </x:c>
      <x:c r="C35" s="53" t="str">
        <x:v>hall</x:v>
      </x:c>
      <x:c r="D35" s="53" t="str">
        <x:v>b1.hall.threat.v1</x:v>
      </x:c>
      <x:c r="E35" s="53" t="str">
        <x:v>If your board becomes the clearest threat, how do you want the deck to handle that attention?</x:v>
      </x:c>
      <x:c r="F35" s="53" t="str">
        <x:v>b1.hall.threat.v1.avoid</x:v>
      </x:c>
      <x:c r="G35" s="53" t="str">
        <x:v>Stay useful without leading</x:v>
      </x:c>
      <x:c r="H35" s="53" t="str">
        <x:v>C11</x:v>
      </x:c>
      <x:c r="I35" s="53" t="str">
        <x:v>SIG_C11_AVOID</x:v>
      </x:c>
      <x:c r="J35" s="53" t="str">
        <x:v>DG_C11</x:v>
      </x:c>
      <x:c r="K35" s="53" t="str">
        <x:v>BEHAVIORAL_OBSERVATION</x:v>
      </x:c>
      <x:c r="L35" s="53" t="str"/>
      <x:c r="M35" s="53" t="str"/>
      <x:c r="N35" s="53" t="n">
        <x:v>0</x:v>
      </x:c>
      <x:c r="O35" s="54" t="b">
        <x:v>0</x:v>
      </x:c>
      <x:c r="P35" s="53" t="str">
        <x:v>OBSERVATION_ONLY</x:v>
      </x:c>
      <x:c r="Q35" s="53" t="str">
        <x:v>Prefers lower visible threat.</x:v>
      </x:c>
      <x:c r="R35" s="53" t="str">
        <x:v>Observation wording and identity association require player validation; no weight is authorized.</x:v>
      </x:c>
      <x:c r="S35" s="53" t="str">
        <x:v>ABZAN</x:v>
      </x:c>
      <x:c r="T35" s="53" t="str">
        <x:v>incomplete / useful_evidence_remains / b1.crucible.dune-ink.v1</x:v>
      </x:c>
    </x:row>
    <x:row r="36">
      <x:c r="A36" s="53" t="n">
        <x:v>8</x:v>
      </x:c>
      <x:c r="B36" s="53" t="str">
        <x:v>main</x:v>
      </x:c>
      <x:c r="C36" s="53" t="str">
        <x:v>crucible</x:v>
      </x:c>
      <x:c r="D36" s="53" t="str">
        <x:v>b1.crucible.dune-ink.v1</x:v>
      </x:c>
      <x:c r="E36" s="53" t="str">
        <x:v>Several players can benefit from your board. What public commitment do you prefer?</x:v>
      </x:c>
      <x:c r="F36" s="53" t="str">
        <x:v>b1.crucible.dune-ink.v1.commons</x:v>
      </x:c>
      <x:c r="G36" s="53" t="str">
        <x:v>Keep shared access available</x:v>
      </x:c>
      <x:c r="H36" s="53" t="str">
        <x:v>C13</x:v>
      </x:c>
      <x:c r="I36" s="53" t="str">
        <x:v>SIG_C13_DURABLE</x:v>
      </x:c>
      <x:c r="J36" s="53" t="str">
        <x:v>DG_C13</x:v>
      </x:c>
      <x:c r="K36" s="53" t="str">
        <x:v>BEHAVIORAL_OBSERVATION</x:v>
      </x:c>
      <x:c r="L36" s="53" t="str">
        <x:v>INK</x:v>
      </x:c>
      <x:c r="M36" s="53" t="str">
        <x:v>DUNE</x:v>
      </x:c>
      <x:c r="N36" s="53" t="n">
        <x:v>1</x:v>
      </x:c>
      <x:c r="O36" s="54" t="b">
        <x:v>1</x:v>
      </x:c>
      <x:c r="P36" s="53" t="str">
        <x:v>MAPPING_HYPOTHESIS</x:v>
      </x:c>
      <x:c r="Q36" s="53" t="str">
        <x:v>Prefers durable shared-resource commitment.</x:v>
      </x:c>
      <x:c r="R36" s="53" t="str">
        <x:v>Use only after prior independent observations leave the stated competitor boundary plausible; the identity association requires player validation.</x:v>
      </x:c>
      <x:c r="S36" s="53" t="str">
        <x:v>INK</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INK</x:v>
      </x:c>
      <x:c r="C40" s="53" t="str">
        <x:v>Ink / Altruism</x:v>
      </x:c>
      <x:c r="D40" s="53" t="n">
        <x:v>0.729167</x:v>
      </x:c>
      <x:c r="E40" s="54" t="b">
        <x:v>1</x:v>
      </x:c>
      <x:c r="F40" s="53" t="str">
        <x:v>C13 | C14</x:v>
      </x:c>
    </x:row>
    <x:row r="41">
      <x:c r="A41" s="53" t="n">
        <x:v>2</x:v>
      </x:c>
      <x:c r="B41" s="53" t="str">
        <x:v>ABZAN</x:v>
      </x:c>
      <x:c r="C41" s="53" t="str">
        <x:v>Abzan Houses</x:v>
      </x:c>
      <x:c r="D41" s="53" t="n">
        <x:v>0.625</x:v>
      </x:c>
      <x:c r="E41" s="54" t="b">
        <x:v>0</x:v>
      </x:c>
      <x:c r="F41" s="53" t="str">
        <x:v>C03</x:v>
      </x:c>
    </x:row>
    <x:row r="42">
      <x:c r="A42" s="53" t="n">
        <x:v>3</x:v>
      </x:c>
      <x:c r="B42" s="53" t="str">
        <x:v>WG</x:v>
      </x:c>
      <x:c r="C42" s="53" t="str">
        <x:v>Selesnya Conclave</x:v>
      </x:c>
      <x:c r="D42" s="53" t="n">
        <x:v>0.541667</x:v>
      </x:c>
      <x:c r="E42" s="54" t="b">
        <x:v>0</x:v>
      </x:c>
      <x:c r="F42" s="53" t="str">
        <x:v>C03 | C14</x:v>
      </x:c>
    </x:row>
    <x:row r="43">
      <x:c r="A43" s="53" t="n">
        <x:v>4</x:v>
      </x:c>
      <x:c r="B43" s="53" t="str">
        <x:v>SILVERQUILL</x:v>
      </x:c>
      <x:c r="C43" s="53" t="str">
        <x:v>Silverquill College</x:v>
      </x:c>
      <x:c r="D43" s="53" t="n">
        <x:v>0.541667</x:v>
      </x:c>
      <x:c r="E43" s="54" t="b">
        <x:v>0</x:v>
      </x:c>
      <x:c r="F43" s="53" t="str"/>
    </x:row>
    <x:row r="44">
      <x:c r="A44" s="53" t="n">
        <x:v>5</x:v>
      </x:c>
      <x:c r="B44" s="53" t="str">
        <x:v>W</x:v>
      </x:c>
      <x:c r="C44" s="53" t="str">
        <x:v>White</x:v>
      </x:c>
      <x:c r="D44" s="53" t="n">
        <x:v>0.541667</x:v>
      </x:c>
      <x:c r="E44" s="54" t="b">
        <x:v>0</x:v>
      </x:c>
      <x:c r="F44" s="53" t="str">
        <x:v>C03</x:v>
      </x:c>
    </x:row>
    <x:row r="45">
      <x:c r="A45" s="53" t="n">
        <x:v>6</x:v>
      </x:c>
      <x:c r="B45" s="53" t="str">
        <x:v>BANT</x:v>
      </x:c>
      <x:c r="C45" s="53" t="str">
        <x:v>Bant</x:v>
      </x:c>
      <x:c r="D45" s="53" t="n">
        <x:v>0.458333</x:v>
      </x:c>
      <x:c r="E45" s="54" t="b">
        <x:v>0</x:v>
      </x:c>
      <x:c r="F45" s="53" t="str">
        <x:v>C14</x:v>
      </x:c>
    </x:row>
    <x:row r="46">
      <x:c r="A46" s="53" t="n">
        <x:v>7</x:v>
      </x:c>
      <x:c r="B46" s="53" t="str">
        <x:v>JESKAI</x:v>
      </x:c>
      <x:c r="C46" s="53" t="str">
        <x:v>Jeskai Way</x:v>
      </x:c>
      <x:c r="D46" s="53" t="n">
        <x:v>0.4375</x:v>
      </x:c>
      <x:c r="E46" s="54" t="b">
        <x:v>0</x:v>
      </x:c>
      <x:c r="F46" s="53" t="str">
        <x:v>C01</x:v>
      </x:c>
    </x:row>
    <x:row r="47">
      <x:c r="A47" s="53" t="n">
        <x:v>8</x:v>
      </x:c>
      <x:c r="B47" s="53" t="str">
        <x:v>WR</x:v>
      </x:c>
      <x:c r="C47" s="53" t="str">
        <x:v>Boros Legion</x:v>
      </x:c>
      <x:c r="D47" s="53" t="n">
        <x:v>0.166667</x:v>
      </x:c>
      <x:c r="E47" s="54" t="b">
        <x:v>0</x:v>
      </x:c>
      <x:c r="F47" s="53" t="str"/>
    </x:row>
    <x:row r="48">
      <x:c r="A48" s="53" t="n">
        <x:v>9</x:v>
      </x:c>
      <x:c r="B48" s="53" t="str">
        <x:v>G</x:v>
      </x:c>
      <x:c r="C48" s="53" t="str">
        <x:v>Green</x:v>
      </x:c>
      <x:c r="D48" s="53" t="n">
        <x:v>0.166667</x:v>
      </x:c>
      <x:c r="E48" s="54" t="b">
        <x:v>0</x:v>
      </x:c>
      <x:c r="F48" s="53" t="str"/>
    </x:row>
    <x:row r="49">
      <x:c r="A49" s="53" t="n">
        <x:v>10</x:v>
      </x:c>
      <x:c r="B49" s="53" t="str">
        <x:v>GLINT</x:v>
      </x:c>
      <x:c r="C49" s="53" t="str">
        <x:v>Glint / Chaos</x:v>
      </x:c>
      <x:c r="D49" s="53" t="n">
        <x:v>0.166667</x:v>
      </x:c>
      <x:c r="E49" s="54" t="b">
        <x:v>0</x:v>
      </x:c>
      <x:c r="F49" s="53" t="str"/>
    </x:row>
    <x:row r="50">
      <x:c r="A50" s="53" t="n">
        <x:v>11</x:v>
      </x:c>
      <x:c r="B50" s="53" t="str">
        <x:v>MARDU</x:v>
      </x:c>
      <x:c r="C50" s="53" t="str">
        <x:v>Mardu Horde</x:v>
      </x:c>
      <x:c r="D50" s="53" t="n">
        <x:v>0.166667</x:v>
      </x:c>
      <x:c r="E50" s="54" t="b">
        <x:v>0</x:v>
      </x:c>
      <x:c r="F50" s="53" t="str"/>
    </x:row>
    <x:row r="51">
      <x:c r="A51" s="53" t="n">
        <x:v>12</x:v>
      </x:c>
      <x:c r="B51" s="53" t="str">
        <x:v>R</x:v>
      </x:c>
      <x:c r="C51" s="53" t="str">
        <x:v>Red</x:v>
      </x:c>
      <x:c r="D51" s="53" t="n">
        <x:v>0.166667</x:v>
      </x:c>
      <x:c r="E51" s="54" t="b">
        <x:v>0</x:v>
      </x:c>
      <x:c r="F51" s="53" t="str"/>
    </x:row>
    <x:row r="52">
      <x:c r="A52" s="53" t="n">
        <x:v>13</x:v>
      </x:c>
      <x:c r="B52" s="53" t="str">
        <x:v>TEMUR</x:v>
      </x:c>
      <x:c r="C52" s="53" t="str">
        <x:v>Temur Frontier</x:v>
      </x:c>
      <x:c r="D52" s="53" t="n">
        <x:v>0.166667</x:v>
      </x:c>
      <x:c r="E52" s="54" t="b">
        <x:v>0</x:v>
      </x:c>
      <x:c r="F52" s="53" t="str"/>
    </x:row>
    <x:row r="53">
      <x:c r="A53" s="53" t="n">
        <x:v>14</x:v>
      </x:c>
      <x:c r="B53" s="53" t="str">
        <x:v>UG</x:v>
      </x:c>
      <x:c r="C53" s="53" t="str">
        <x:v>Simic Combine</x:v>
      </x:c>
      <x:c r="D53" s="53" t="n">
        <x:v>0.166667</x:v>
      </x:c>
      <x:c r="E53" s="54" t="b">
        <x:v>0</x:v>
      </x:c>
      <x:c r="F53" s="53" t="str"/>
    </x:row>
    <x:row r="54">
      <x:c r="A54" s="53" t="n">
        <x:v>15</x:v>
      </x:c>
      <x:c r="B54" s="53" t="str">
        <x:v>GRIXIS</x:v>
      </x:c>
      <x:c r="C54" s="53" t="str">
        <x:v>Grixis</x:v>
      </x:c>
      <x:c r="D54" s="53" t="n">
        <x:v>0.125</x:v>
      </x:c>
      <x:c r="E54" s="54" t="b">
        <x:v>0</x:v>
      </x:c>
      <x:c r="F54" s="53" t="str"/>
    </x:row>
    <x:row r="55">
      <x:c r="A55" s="53" t="n">
        <x:v>16</x:v>
      </x:c>
      <x:c r="B55" s="53" t="str">
        <x:v>UB</x:v>
      </x:c>
      <x:c r="C55" s="53" t="str">
        <x:v>House Dimir</x:v>
      </x:c>
      <x:c r="D55" s="53" t="n">
        <x:v>0.125</x:v>
      </x:c>
      <x:c r="E55" s="54" t="b">
        <x:v>0</x:v>
      </x:c>
      <x:c r="F55" s="53" t="str"/>
    </x:row>
    <x:row r="56">
      <x:c r="A56" s="53" t="n">
        <x:v>17</x:v>
      </x:c>
      <x:c r="B56" s="53" t="str">
        <x:v>WB</x:v>
      </x:c>
      <x:c r="C56" s="53" t="str">
        <x:v>Orzhov Syndicate</x:v>
      </x:c>
      <x:c r="D56" s="53" t="n">
        <x:v>0.083333</x:v>
      </x:c>
      <x:c r="E56" s="54" t="b">
        <x:v>0</x:v>
      </x:c>
      <x:c r="F56" s="53" t="str"/>
    </x:row>
    <x:row r="57">
      <x:c r="A57" s="53" t="n">
        <x:v>18</x:v>
      </x:c>
      <x:c r="B57" s="53" t="str">
        <x:v>BG</x:v>
      </x:c>
      <x:c r="C57" s="53" t="str">
        <x:v>Golgari Swarm</x:v>
      </x:c>
      <x:c r="D57" s="53" t="n">
        <x:v>0.083333</x:v>
      </x:c>
      <x:c r="E57" s="54" t="b">
        <x:v>0</x:v>
      </x:c>
      <x:c r="F57" s="53" t="str"/>
    </x:row>
    <x:row r="58">
      <x:c r="A58" s="53" t="n">
        <x:v>19</x:v>
      </x:c>
      <x:c r="B58" s="53" t="str">
        <x:v>BR</x:v>
      </x:c>
      <x:c r="C58" s="53" t="str">
        <x:v>Cult of Rakdos</x:v>
      </x:c>
      <x:c r="D58" s="53" t="n">
        <x:v>0.083333</x:v>
      </x:c>
      <x:c r="E58" s="54" t="b">
        <x:v>0</x:v>
      </x:c>
      <x:c r="F58" s="53" t="str"/>
    </x:row>
    <x:row r="59">
      <x:c r="A59" s="53" t="n">
        <x:v>20</x:v>
      </x:c>
      <x:c r="B59" s="53" t="str">
        <x:v>JUND</x:v>
      </x:c>
      <x:c r="C59" s="53" t="str">
        <x:v>Jund</x:v>
      </x:c>
      <x:c r="D59" s="53" t="n">
        <x:v>0.083333</x:v>
      </x:c>
      <x:c r="E59" s="54" t="b">
        <x:v>0</x:v>
      </x:c>
      <x:c r="F59" s="53" t="str"/>
    </x:row>
    <x:row r="60">
      <x:c r="A60" s="53" t="n">
        <x:v>21</x:v>
      </x:c>
      <x:c r="B60" s="53" t="str">
        <x:v>LOREHOLD</x:v>
      </x:c>
      <x:c r="C60" s="53" t="str">
        <x:v>Lorehold College</x:v>
      </x:c>
      <x:c r="D60" s="53" t="n">
        <x:v>0.083333</x:v>
      </x:c>
      <x:c r="E60" s="54" t="b">
        <x:v>0</x:v>
      </x:c>
      <x:c r="F60" s="53" t="str"/>
    </x:row>
    <x:row r="61">
      <x:c r="A61" s="53" t="n">
        <x:v>22</x:v>
      </x:c>
      <x:c r="B61" s="53" t="str">
        <x:v>NAYA</x:v>
      </x:c>
      <x:c r="C61" s="53" t="str">
        <x:v>Naya</x:v>
      </x:c>
      <x:c r="D61" s="53" t="n">
        <x:v>0.083333</x:v>
      </x:c>
      <x:c r="E61" s="54" t="b">
        <x:v>0</x:v>
      </x:c>
      <x:c r="F61" s="53" t="str"/>
    </x:row>
    <x:row r="62">
      <x:c r="A62" s="53" t="n">
        <x:v>23</x:v>
      </x:c>
      <x:c r="B62" s="53" t="str">
        <x:v>PRISMARI</x:v>
      </x:c>
      <x:c r="C62" s="53" t="str">
        <x:v>Prismari College</x:v>
      </x:c>
      <x:c r="D62" s="53" t="n">
        <x:v>0.083333</x:v>
      </x:c>
      <x:c r="E62" s="54" t="b">
        <x:v>0</x:v>
      </x:c>
      <x:c r="F62" s="53" t="str"/>
    </x:row>
    <x:row r="63">
      <x:c r="A63" s="53" t="n">
        <x:v>24</x:v>
      </x:c>
      <x:c r="B63" s="53" t="str">
        <x:v>QUANDRIX</x:v>
      </x:c>
      <x:c r="C63" s="53" t="str">
        <x:v>Quandrix College</x:v>
      </x:c>
      <x:c r="D63" s="53" t="n">
        <x:v>0.083333</x:v>
      </x:c>
      <x:c r="E63" s="54" t="b">
        <x:v>0</x:v>
      </x:c>
      <x:c r="F63" s="53" t="str"/>
    </x:row>
    <x:row r="64">
      <x:c r="A64" s="53" t="n">
        <x:v>25</x:v>
      </x:c>
      <x:c r="B64" s="53" t="str">
        <x:v>RG</x:v>
      </x:c>
      <x:c r="C64" s="53" t="str">
        <x:v>Gruul Clans</x:v>
      </x:c>
      <x:c r="D64" s="53" t="n">
        <x:v>0.083333</x:v>
      </x:c>
      <x:c r="E64" s="54" t="b">
        <x:v>0</x:v>
      </x:c>
      <x:c r="F64" s="53" t="str"/>
    </x:row>
    <x:row r="65">
      <x:c r="A65" s="53" t="n">
        <x:v>26</x:v>
      </x:c>
      <x:c r="B65" s="53" t="str">
        <x:v>SULTAI</x:v>
      </x:c>
      <x:c r="C65" s="53" t="str">
        <x:v>Sultai Brood</x:v>
      </x:c>
      <x:c r="D65" s="53" t="n">
        <x:v>0.083333</x:v>
      </x:c>
      <x:c r="E65" s="54" t="b">
        <x:v>0</x:v>
      </x:c>
      <x:c r="F65" s="53" t="str"/>
    </x:row>
    <x:row r="66">
      <x:c r="A66" s="53" t="n">
        <x:v>27</x:v>
      </x:c>
      <x:c r="B66" s="53" t="str">
        <x:v>WITCH</x:v>
      </x:c>
      <x:c r="C66" s="53" t="str">
        <x:v>Witch / Growth</x:v>
      </x:c>
      <x:c r="D66" s="53" t="n">
        <x:v>0.083333</x:v>
      </x:c>
      <x:c r="E66" s="54" t="b">
        <x:v>0</x:v>
      </x:c>
      <x:c r="F66" s="53" t="str"/>
    </x:row>
    <x:row r="67">
      <x:c r="A67" s="53" t="n">
        <x:v>28</x:v>
      </x:c>
      <x:c r="B67" s="53" t="str">
        <x:v>WITHERBLOOM</x:v>
      </x:c>
      <x:c r="C67" s="53" t="str">
        <x:v>Witherbloom College</x:v>
      </x:c>
      <x:c r="D67" s="53" t="n">
        <x:v>0.083333</x:v>
      </x:c>
      <x:c r="E67" s="54" t="b">
        <x:v>0</x:v>
      </x:c>
      <x:c r="F67" s="53" t="str"/>
    </x:row>
    <x:row r="68">
      <x:c r="A68" s="53" t="n">
        <x:v>29</x:v>
      </x:c>
      <x:c r="B68" s="53" t="str">
        <x:v>B</x:v>
      </x:c>
      <x:c r="C68" s="53" t="str">
        <x:v>Black</x:v>
      </x:c>
      <x:c r="D68" s="53" t="n">
        <x:v>0.0625</x:v>
      </x:c>
      <x:c r="E68" s="54" t="b">
        <x:v>0</x:v>
      </x:c>
      <x:c r="F68" s="53" t="str"/>
    </x:row>
    <x:row r="69">
      <x:c r="A69" s="53" t="n">
        <x:v>30</x:v>
      </x:c>
      <x:c r="B69" s="53" t="str">
        <x:v>U</x:v>
      </x:c>
      <x:c r="C69" s="53" t="str">
        <x:v>Blue</x:v>
      </x:c>
      <x:c r="D69" s="53" t="n">
        <x:v>0.0625</x:v>
      </x:c>
      <x:c r="E69" s="54" t="b">
        <x:v>0</x:v>
      </x:c>
      <x:c r="F69" s="53" t="str"/>
    </x:row>
    <x:row r="70">
      <x:c r="A70" s="53" t="n">
        <x:v>31</x:v>
      </x:c>
      <x:c r="B70" s="53" t="str">
        <x:v>WU</x:v>
      </x:c>
      <x:c r="C70" s="53" t="str">
        <x:v>Azorius Senate</x:v>
      </x:c>
      <x:c r="D70" s="53" t="n">
        <x:v>0.0625</x:v>
      </x:c>
      <x:c r="E70" s="54" t="b">
        <x:v>0</x:v>
      </x:c>
      <x:c r="F70" s="53" t="str"/>
    </x:row>
    <x:row r="71">
      <x:c r="A71" s="53" t="n">
        <x:v>32</x:v>
      </x:c>
      <x:c r="B71" s="53" t="str">
        <x:v>COLORLESS</x:v>
      </x:c>
      <x:c r="C71" s="53" t="str">
        <x:v>Colorless</x:v>
      </x:c>
      <x:c r="D71" s="53" t="n">
        <x:v>0</x:v>
      </x:c>
      <x:c r="E71" s="54" t="b">
        <x:v>0</x:v>
      </x:c>
      <x:c r="F71" s="53" t="str"/>
    </x:row>
    <x:row r="72">
      <x:c r="A72" s="53" t="n">
        <x:v>33</x:v>
      </x:c>
      <x:c r="B72" s="53" t="str">
        <x:v>ESPER</x:v>
      </x:c>
      <x:c r="C72" s="53" t="str">
        <x:v>Esper</x:v>
      </x:c>
      <x:c r="D72" s="53" t="n">
        <x:v>0</x:v>
      </x:c>
      <x:c r="E72" s="54" t="b">
        <x:v>0</x:v>
      </x:c>
      <x:c r="F72" s="53" t="str"/>
    </x:row>
    <x:row r="73">
      <x:c r="A73" s="53" t="n">
        <x:v>34</x:v>
      </x:c>
      <x:c r="B73" s="53" t="str">
        <x:v>UR</x:v>
      </x:c>
      <x:c r="C73" s="53" t="str">
        <x:v>Izzet League</x:v>
      </x:c>
      <x:c r="D73" s="53" t="n">
        <x:v>0</x:v>
      </x:c>
      <x:c r="E73" s="54" t="b">
        <x:v>0</x:v>
      </x:c>
      <x:c r="F73" s="53" t="str"/>
    </x:row>
    <x:row r="74">
      <x:c r="A74" s="53" t="n">
        <x:v>35</x:v>
      </x:c>
      <x:c r="B74" s="53" t="str">
        <x:v>WUBRG</x:v>
      </x:c>
      <x:c r="C74" s="53" t="str">
        <x:v>Five-Color / WUBRG</x:v>
      </x:c>
      <x:c r="D74" s="53" t="n">
        <x:v>0</x:v>
      </x:c>
      <x:c r="E74" s="54" t="b">
        <x:v>0</x:v>
      </x:c>
      <x:c r="F74" s="53" t="str"/>
    </x:row>
    <x:row r="75">
      <x:c r="A75" s="53" t="n">
        <x:v>36</x:v>
      </x:c>
      <x:c r="B75" s="53" t="str">
        <x:v>YORE</x:v>
      </x:c>
      <x:c r="C75" s="53" t="str">
        <x:v>Yore / Artifice</x:v>
      </x:c>
      <x:c r="D75" s="53" t="n">
        <x:v>0</x:v>
      </x:c>
      <x:c r="E75" s="54" t="b">
        <x:v>0</x:v>
      </x:c>
      <x:c r="F75" s="53" t="str"/>
    </x:row>
    <x:row r="76">
      <x:c r="A76" s="53" t="n">
        <x:v>37</x:v>
      </x:c>
      <x:c r="B76" s="53" t="str">
        <x:v>DUNE</x:v>
      </x:c>
      <x:c r="C76" s="53" t="str">
        <x:v>Dune / Aggression</x:v>
      </x:c>
      <x:c r="D76" s="53" t="n">
        <x:v>-0.395833</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"INK",
  "faction_name": "Ink / Altruism",
  "institution_type": "four_color",
  "world": "Cross-setting",
  "identity": {
    "core_color": "RGWU",
    "secondary_colors": [
      "R",
      "G",
      "W",
      "U"
    ],
    "secondary_color": null,
    "expression_key": "INK",
    "expression_name": "Ink / Altruism",
    "expression_kind": "four_color",
    "purity": null,
    "routing": {
      "color_identity": "RGWU",
      "label": "Ink",
      "suppress_directory_links": true
    }
  },
  "decree": "Ink / Altruism is the clearest current fit from the approved observations.",
  "confidence": 0.044,
  "confidence_gap": 1,
  "mana_scores": {
    "W": 10,
    "U": 9,
    "B": 9,
    "R": 9,
    "G": 9
  },
  "top_matches": [
    {
      "rank": 1,
      "faction": "INK",
      "faction_name": "Ink / Altruism",
      "institution_type": "four_color",
      "world": "Cross-setting",
      "identity": {
        "core_color": "RGWU",
        "secondary_colors": [
          "R",
          "G",
          "W",
          "U"
        ],
        "secondary_color": null,
        "expression_key": "INK",
        "expression_name": "Ink / Altruism",
        "expression_kind": "four_color",
        "purity": null,
        "routing": {
          "color_identity": "RGWU",
          "label": "Ink",
          "suppress_directory_links": true
        }
      },
      "score": 0.729167,
      "confidence": 0.044,
      "reason": "Ink / Altruism remained plausible through C03, C13; identity mapping remains a hypothesis."
    }
  ],
  "adjacent_matches": [],
  "internal_candidate_order": [
    {
      "identity": "INK",
      "score": 0.729167,
      "positive_dependencies": 2,
      "qualification_dependencies": 2,
      "naming_dependencies": 1,
      "positive_constructs": [
        "C13",
        "C14"
      ],
      "satisfied_naming_rule_ids": [
        "baseline_40:b1.crucible.dune-ink.v1.commons:INK"
      ],
      "naming_qualification": {
        "identity": "INK",
        "qualified": true,
        "satisfied_naming_rule_ids": [
          "baseline_40:b1.crucible.dune-ink.v1.commons:INK"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"ABZAN",
      "score": 0.625,
      "positive_dependencies": 1,
      "qualification_dependencies": 1,
      "naming_dependencies": 0,
      "positive_constructs": [
        "C03"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"C14"
      ]
    },
    {
      "identity": "WG",
      "score": 0.541667,
      "positive_dependencies": 2,
      "qualification_dependencies": 2,
      "naming_dependencies": 0,
      "positive_constructs": [
        "C03",
        "C14"
      ],
      "satisfied_naming_rule_ids": [],
      "naming_qualification": {
        "identity": "WG",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"SILVERQUILL",
      "score": 0.541667,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"C13"
      ]
    },
    {
      "identity": "W",
      "score": 0.541667,
      "positive_dependencies": 1,
      "qualification_dependencies": 1,
      "naming_dependencies": 0,
      "positive_constructs": [
        "C03"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"C13"
      ]
    },
    {
      "identity": "BANT",
      "score": 0.458333,
      "positive_dependencies": 1,
      "qualification_dependencies": 1,
      "naming_dependencies": 0,
      "positive_constructs": [
        "C14"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"JESKAI",
      "score": 0.4375,
      "positive_dependencies": 1,
      "qualification_dependencies": 1,
      "naming_dependencies": 0,
      "positive_constructs": [
        "C01"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"C03"
      ]
    },
    {
      "identity": "G",
      "score": 0.166667,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"GLINT",
      "score": 0.166667,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"MARDU",
      "score": 0.166667,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"C13"
      ]
    },
    {
      "identity": "R",
      "score": 0.166667,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"C11"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"C14"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"C14"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"UB",
      "score": 0.125,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"C11"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"WITCH",
      "score": 0.083333,
      "positive_dependencies": 0,
      "qualification_dependencies": 0,
      "naming_dependencies": 0,
      "positive_constructs": [],
      "satisfied_naming_rule_ids": [],
      "naming_qualification": {
        "identity": "WITCH",
        "qualified": false,
        "satisfied_naming_rule_ids": [</x:v>
      </x:c>
    </x:row>
    <x:row r="80">
      <x:c r="A80" s="53" t="str">
        <x:v>Part 2/3</x:v>
      </x:c>
      <x:c r="B80" s="53" t="str">
        <x:v>],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"B",
      "score": 0.0625,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"C11"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"COLORLESS",
      "score": 0,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"ESPER",
      "score": 0,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"UR",
      "score": 0,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"DUNE",
      "score": -0.395833,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"C11",
        "C13"
      ]
    }
  ],
  "candidate_set": [
    "INK",
    "ABZAN",
    "WG",
    "SILVERQUILL",
    "W",
    "BANT",
    "JESKAI"
  ],
  "alternatives": [],
  "refinement": {
    "kind": "no_approved_discriminator",
    "can_reduce_ambiguity": false,
    "remaining_candidates": [
      "INK",
      "ABZAN",
      "WG",
      "SILVERQUILL",
      "W",
      "BANT",
      "JESKAI"
    ],
    "unresolved_boundaries": [
      {
        "pair_id": "ABZAN__SILVERQUILL",
        "identities": [
          "ABZAN",
          "SILVERQUILL"
        ],
        "distinction": "ABZAN uses Disruption response evidence; SILVERQUILL uses Threat posture evidence. No direct pair claim is made.",
        "question_ids": [
          "b1.gate.disruption.v1",
          "b1.hall.threat.v1",
          "b1.crucible.mono-multi.v1",
          "b1.crucible.wb.v1",
          "b1.hall.commitment.v1",
          "b1.hall.setup.v1"
        ],
        "coverage_status": "DIRECT-OR-STRUCTURAL-MAPPING-HYPOTHESIS; bounded player validation required"
      },
      {
        "pair_id": "BANT__INK",
        "identities": [
          "BANT",
          "INK"
        ],
        "distinction": "BANT uses Commander reliance evidence; INK uses Public commitment evidence. No direct pair claim is made.",
        "question_ids": [
          "b1.hall.commander-role.v1",
          "b1.hall.commitment.v1",
          "b1.crucible.mono-multi.v1",
          "b1.crucible.bant.v1",
          "b1.crucible.dune-ink.v1",
          "b1.crucible.ink-witch.v1"
        ],
        "coverage_status": "DIRECT-OR-STRUCTURAL-MAPPING-HYPOTHESIS; bounded player validation required"
      },
      {
        "pair_id": "BANT__W",
        "identities": [
          "BANT",
          "W"
        ],
        "distinction": "BANT uses Commander reliance evidence; W uses Public commitment evidence. No direct pair claim is made.",
        "question_ids": [
          "b1.hall.commander-role.v1",
          "b1.hall.commitment.v1",
          "b1.crucible.mono-multi.v1",
          "b1.crucible.bant.v1",
          "b1.gate.disruption.v1",
          "b1.hall.setup.v1"
        ],
        "coverage_status": "DIRECT-OR-STRUCTURAL-MAPPING-HYPOTHESIS; bounded player validation required"
      },
      {
        "pair_id": "INK__JESKAI",
        "identities": [
          "INK",
          "JESKAI"
        ],
        "distinction": "Direct scenario tests one bounded Commander behavior.",
        "question_ids": [
          "b1.crucible.jeskai.v1",
          "b1.hall.information-to-plan.v1",
          "b1.crucible.dune-ink.v1",
          "b1.crucible.ink-witch.v1",
          "b1.hall.interaction-window.v1",
          "b1.hall.setup.v1",
          "b1.gate.initiative.v1"
        ],
        "coverage_status": "DIRECT-OR-STRUCTURAL-MAPPING-HYPOTHESIS; bounded player validation required"
      },
      {
        "pair_id": "INK__WG",
        "identities": [
          "INK",
          "WG"
        ],
        "distinction": "INK uses Public commitment evidence; WG uses Public commitment evidence. No direct pair claim is made.",
        "question_ids": [
          "b1.hall.commitment.v1",
          "b1.crucible.mono-multi.v1",
          "b1.crucible.dune-ink.v1",
          "b1.crucible.ink-witch.v1",
          "b1.gate.disruption.v1",
          "b1.hall.pressure.v1"
        ],
        "coverage_status": "DIRECT-OR-STRUCTURAL-MAPPING-HYPOTHESIS; bounded player validation required"
      },
      {
        "pair_id": "JESKAI__W",
        "identities": [
          "JESKAI",
          "W"
        ],
        "distinction": "JESKAI uses Mana commitment and interaction window evidence; W uses Disruption response evidence. No direct pair claim is made.",
        "question_ids": [
          "b1.hall.interaction-window.v1",
          "b1.gate.disruption.v1",
          "b1.crucible.mono-multi.v1",
          "b1.hall.information-to-plan.v1",
          "b1.crucible.jeskai.v1",
          "b1.hall.commitment.v1",
          "b1.gate.initiative.v1"
        ],
        "coverage_status": "DIRECT-OR-STRUCTURAL-MAPPING-HYPOTHESIS; bounded player validation required"
      }
    ],
    "missing_constructs": [
      "C05",
      "C08"
    ],
    "question_id": null,
    "purpose": "none_for_clean_primary",
    "target_identities": [
      "INK",
      "ABZAN",
      "WG"
    ],
    "target_pair_ids": [
      "ABZAN__SILVERQUILL",
      "BANT__INK",
      "BANT__W",
      "INK__JESKAI",
      "INK__WG",
      "JESKAI__W"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"answer_title": "A way to keep the board",
      "prompt": "A board wipe—an effect that removes many cards and tokens from the battlefield—is likely next turn. What would you rather have prepared?",
      "observation": "Prefers protection before broad disruption.",
      "deltas": [
        {
          "faction": "ABZAN",
          "delta": 0.5
        },
        {
          "faction": "W",
          "delta": 0.5
        },
        {
          "faction": "WG",
          "delta": 0.5
        }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"answer_title": "Contribute right away",
      "prompt": "Your deck becomes much stronger after several setup turns, but the table is already developing threats. What must the setup do along the way?",
      "observation": "Requires useful early participation while a longer plan develops.",
      "deltas": [
        {
          "faction": "BANT",
          "delta": 0.5
        },
        {
          "faction": "INK",
          "delta": 0.5
        },
        {
          "faction": "WG",
          "delta": 0.5
        }
      ]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"answer_title": "Stay useful without leading",
      "prompt": "If your board becomes the clearest threat, how do you want the deck to handle that attention?",
      "observation": "Prefers lower visible threat.",
      "deltas": []
    },
    {
      "question_id": "b1.crucible.dune-ink.v1",
      "answer_id": "b1.crucible.dune-ink.v1.commons",
      "stage": "crucible",
      "construct": "C13",
      "bounded_observation": "Prefers durable shared-resource commitment.",
      "signal": "SIG_C13_DURABLE",
      "dependency_group": "DG_C13",
      "evidence_class": "BEHAVIORAL_OBSERVATION",
      "affected_identities": [
        "DUNE",
        "INK"
      ],
      "positive_support": [
        "INK"
      ],
      "contradiction": [
        "DUNE"
      ],
      "neutral": false,
      "mapping_strength": 1,
      "naming_evidence": true,
      "qualification_eligible": true,
      "qualification_support": [
        "INK"
      ],
      "naming_support": [
        "INK"
      ],
      "naming_rule_ids_by_identity": {
        "INK": [
          "baseline_40:b1.crucible.dune-ink.v1.commons:INK"
        ]
      },
      "mapping_role": "exact_pair_direction",
      "mapping_status": "MAPPING_HYPOTHESIS",
      "mapping_provenance": "answer-semantic-adjudication.tsv DUNE vs INK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"Keep shared access available",
      "prompt": "Several players can benefit from yo</x:v>
      </x:c>
    </x:row>
    <x:row r="81">
      <x:c r="A81" s="53" t="str">
        <x:v>Part 3/3</x:v>
      </x:c>
      <x:c r="B81" s="53" t="str">
        <x:v>ur board. What public commitment do you prefer?",
      "observation": "Prefers durable shared-resource commitment.",
      "deltas": [
        {
          "faction": "INK",
          "delta": 1
        },
        {
          "faction": "DUNE",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"b1.gate.disruption.v1.protect",
      "stage": "gate",
      "construct": "C03",
      "bounded_observation": "Prefers protection before broad disruption.",
      "signal": "SIG_C03_PROTECT",
      "dependency_group": "DG_C03",
      "evidence_class": "BEHAVIORAL_OBSERVATION",
      "affected_identities": [
        "ABZAN",
        "W",
        "WG"
      ],
      "positive_support": [
        "ABZAN",
        "W",
        "WG"
      ],
      "contradiction": [],
      "neutral": false,
      "mapping_strength": 0.5,
      "naming_evidence": false,
      "qualification_eligible": true,
      "qualification_support": [
        "ABZAN",
        "W",
        "WG"
      ],
      "naming_support": [],
      "naming_rule_ids_by_identity": {},
      "mapping_role": "completion_corroboration_direction",
      "mapping_status": "REMEDIATION_MAPPING_HYPOTHESIS",
      "mapping_provenance": "docs/plans/vm551-gate-b1-instrument-completion/instrument-change-adjudication.tsv#b1.gate.disruption.v1.protect;docs/audits/vm555-b1-identity-evidence-gap-bridge/identity-evidence-gap-matrix.tsv",
      "evidence_provenance": "E-PLAYER-PACE;E-PLAYER-COMMANDER;E-CECOS;E-VOICE",
      "limitation": "Observation wording and identity association require player validation; no weight is authorized.",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"b1.hall.setup.v1",
      "answer_id": "b1.hall.setup.v1.early",
      "stage": "hall",
      "construct": "C14",
      "bounded_observation": "Requires useful early participation while a longer plan develops.",
      "signal": "SIG_C14_EARLY_IMPACT",
      "dependency_group": "DG_C14",
      "evidence_class": "BEHAVIORAL_OBSERVATION",
      "affected_identities": [
        "BANT",
        "INK",
        "WG"
      ],
      "positive_support": [
        "BANT",
        "INK",
        "WG"
      ],
      "contradiction": [],
      "neutral": false,
      "mapping_strength": 0.5,
      "naming_evidence": false,
      "qualification_eligible": true,
      "qualification_support": [
        "BANT",
        "INK",
        "WG"
      ],
      "naming_support": [],
      "naming_rule_ids_by_identity": {},
      "mapping_role": "completion_corroboration_direction",
      "mapping_status": "REMEDIATION_MAPPING_HYPOTHESIS",
      "mapping_provenance": "docs/plans/vm551-gate-b1-instrument-completion/instrument-change-adjudication.tsv#b1.hall.setup.v1.early;docs/audits/vm555-b1-identity-evidence-gap-bridge/identity-evidence-gap-matrix.tsv",
      "evidence_provenance": "E-VM555;E-CERTIFIED;E-CECOS;E-PLAYER-LANGUAGE",
      "limitation": "Early utility may be incidental to efficient cards rather than a community preference.",
      "behavioral_vs_lens": "behavioral"
    },
    {
      "question_id": "b1.hall.threat.v1",
      "answer_id": "b1.hall.threat.v1.avoid",
      "stage": "hall",
      "construct": "C11",
      "bounded_observation": "Prefers lower visible threat.",
      "signal": "SIG_C11_AVOID",
      "dependency_group": "DG_C11",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"E-PLAYER-THREAT;E-PLAYER-COMMANDER;E-CECOS;E-VOICE",
      "evidence_provenance": "E-PLAYER-THREAT;E-PLAYER-COMMANDER;E-CECOS;E-VOICE",
      "limitation": "Observation wording and identity association require player validation; no weight is authorized.",
      "behavioral_vs_lens": "behavioral"
    },
    {
      "question_id": "b1.crucible.dune-ink.v1",
      "answer_id": "b1.crucible.dune-ink.v1.commons",
      "stage": "crucible",
      "construct": "C13",
      "bounded_observation": "Prefers durable shared-resource commitment.",
      "signal": "SIG_C13_DURABLE",
      "dependency_group": "DG_C13",
      "evidence_class": "BEHAVIORAL_OBSERVATION",
      "affected_identities": [
        "DUNE",
        "INK"
      ],
      "positive_support": [
        "INK"
      ],
      "contradiction": [
        "DUNE"
      ],
      "neutral": false,
      "mapping_strength": 1,
      "naming_evidence": true,
      "qualification_eligible": true,
      "qualification_support": [
        "INK"
      ],
      "naming_support": [
        "INK"
      ],
      "naming_rule_ids_by_identity": {
        "INK": [
          "baseline_40:b1.crucible.dune-ink.v1.commons:INK"
        ]
      },
      "mapping_role": "exact_pair_direction",
      "mapping_status": "MAPPING_HYPOTHESIS",
      "mapping_provenance": "answer-semantic-adjudication.tsv DUNE vs INK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"b1.gate.disruption.v1.protect",
      "stage": "gate",
      "evidence_class": "BEHAVIORAL_OBSERVATION"
    },
    {
      "question_id": "b1.gate.tempo.v1",
      "answer_id": "b1.gate.tempo.v1.depends",
      "stage": "gate",
      "evidence_class": "BEHAVIORAL_OBSERVATION"
    },
    {
      "question_id": "b1.hall.commitment.v1",
      "answer_id": "b1.hall.commitment.v1.reopen",
      "stage": "hall",
      "evidence_class": "BEHAVIORAL_OBSERVATION"
    },
    {
      "question_id": "b1.hall.setup.v1",
      "answer_id": "b1.hall.setup.v1.early",
      "stage": "hall",
      "evidence_class": "BEHAVIORAL_OBSERVATION"
    },
    {
      "question_id": "b1.hall.threat.v1",
      "answer_id": "b1.hall.threat.v1.avoid",
      "stage": "hall",
      "evidence_class": "BEHAVIORAL_OBSERVATION"
    },
    {
      "question_id": "b1.crucible.dune-ink.v1",
      "answer_id": "b1.crucible.dune-ink.v1.commons",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Witch / Growth — Engine Trace</x:v>
      </x:c>
      <x:c r="B1" s="3"/>
      <x:c r="C1" s="3"/>
      <x:c r="D1" s="3"/>
      <x:c r="E1" s="3"/>
      <x:c r="F1" s="3"/>
      <x:c r="G1" s="3"/>
      <x:c r="H1" s="3"/>
      <x:c r="I1" s="3"/>
      <x:c r="J1" s="3"/>
      <x:c r="K1" s="3"/>
      <x:c r="L1" s="3"/>
      <x:c r="M1" s="3"/>
      <x:c r="N1" s="3"/>
      <x:c r="O1" s="3"/>
      <x:c r="P1" s="3"/>
      <x:c r="Q1" s="3"/>
      <x:c r="R1" s="3"/>
      <x:c r="S1" s="3"/>
      <x:c r="T1" s="3"/>
    </x:row>
    <x:row r="2" ht="30" customHeight="1">
      <x:c r="A2" s="7" t="str">
        <x:v>ENGINE-WITCH • PASS_MATCH • primary • trace 21119e6cba429142a2f37a3301e1b0c32cc318f535552518924a0f9511c56ee7</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WITCH</x:v>
      </x:c>
    </x:row>
    <x:row r="6">
      <x:c r="A6" s="53" t="str">
        <x:v>Expected public contract</x:v>
      </x:c>
      <x:c r="B6" s="53" t="str">
        <x:v>NAMED_DOSSIER</x:v>
      </x:c>
    </x:row>
    <x:row r="7">
      <x:c r="A7" s="53" t="str">
        <x:v>Witness status</x:v>
      </x:c>
      <x:c r="B7" s="53" t="str">
        <x:v>CURRENT_COMPATIBLE</x:v>
      </x:c>
    </x:row>
    <x:row r="8">
      <x:c r="A8" s="53" t="str">
        <x:v>Actual result</x:v>
      </x:c>
      <x:c r="B8" s="53" t="str">
        <x:v>WITCH</x:v>
      </x:c>
    </x:row>
    <x:row r="9">
      <x:c r="A9" s="53" t="str">
        <x:v>Directional result</x:v>
      </x:c>
      <x:c r="B9" s="53" t="str">
        <x:v>WITCH</x:v>
      </x:c>
    </x:row>
    <x:row r="10">
      <x:c r="A10" s="53" t="str">
        <x:v>Public state</x:v>
      </x:c>
      <x:c r="B10" s="53" t="str">
        <x:v>current-best-fit</x:v>
      </x:c>
    </x:row>
    <x:row r="11">
      <x:c r="A11" s="53" t="str">
        <x:v>Raw numeric leader</x:v>
      </x:c>
      <x:c r="B11" s="53" t="str">
        <x:v>WITCH</x:v>
      </x:c>
    </x:row>
    <x:row r="12">
      <x:c r="A12" s="53" t="str">
        <x:v>Raw score</x:v>
      </x:c>
      <x:c r="B12" s="53" t="n">
        <x:v>0.916667</x:v>
      </x:c>
    </x:row>
    <x:row r="13">
      <x:c r="A13" s="53" t="str">
        <x:v>Raw leader qualified</x:v>
      </x:c>
      <x:c r="B13" s="54" t="b">
        <x:v>1</x:v>
      </x:c>
    </x:row>
    <x:row r="14">
      <x:c r="A14" s="53" t="str">
        <x:v>Selected qualified</x:v>
      </x:c>
      <x:c r="B14" s="54" t="b">
        <x:v>1</x:v>
      </x:c>
    </x:row>
    <x:row r="15">
      <x:c r="A15" s="53" t="str">
        <x:v>Frontier</x:v>
      </x:c>
      <x:c r="B15" s="53" t="str">
        <x:v>WITCH</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outputs/01a02cd6-bce7-7832-9558-3075c52f146a/archscry-current-state-2026-08-22/evidence/engine/traces/witch.json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b1.gate.initiative.v1.unsure</x:v>
      </x:c>
      <x:c r="G29" s="53" t="str">
        <x:v>I do not know yet</x:v>
      </x:c>
      <x:c r="H29" s="53" t="str">
        <x:v>C01</x:v>
      </x:c>
      <x:c r="I29" s="53" t="str">
        <x:v>SIG_C01_UNKNOWN</x:v>
      </x:c>
      <x:c r="J29" s="53" t="str">
        <x:v>DG_C01</x:v>
      </x:c>
      <x:c r="K29" s="53" t="str">
        <x:v>BEHAVIORAL_OBSERVATION</x:v>
      </x:c>
      <x:c r="L29" s="53" t="str"/>
      <x:c r="M29" s="53" t="str"/>
      <x:c r="N29" s="53" t="n">
        <x:v>0</x:v>
      </x:c>
      <x:c r="O29" s="54" t="b">
        <x:v>0</x:v>
      </x:c>
      <x:c r="P29" s="53" t="str">
        <x:v>OBSERVATION_ONLY</x:v>
      </x:c>
      <x:c r="Q29" s="53" t="str">
        <x:v>Reports insufficient experience for this construct.</x:v>
      </x:c>
      <x:c r="R29" s="53" t="str">
        <x:v>Evidence-bearing but non-directional; may justify another Hall item or a close, mixed, contradictory, or insufficient result and must not be averaged into support.</x:v>
      </x:c>
      <x:c r="S29" s="53" t="str">
        <x:v>ABZAN</x:v>
      </x:c>
      <x:c r="T29" s="53" t="str">
        <x:v>incomplete / minimum_questions / b1.hall.commitment.v1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GRIXIS</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b1.gate.tempo.v1.burst</x:v>
      </x:c>
      <x:c r="G32" s="53" t="str">
        <x:v>One turn that changes the game</x:v>
      </x:c>
      <x:c r="H32" s="53" t="str">
        <x:v>C04</x:v>
      </x:c>
      <x:c r="I32" s="53" t="str">
        <x:v>SIG_C04_CONCENTRATED</x:v>
      </x:c>
      <x:c r="J32" s="53" t="str">
        <x:v>DG_C04</x:v>
      </x:c>
      <x:c r="K32" s="53" t="str">
        <x:v>BEHAVIORAL_OBSERVATION</x:v>
      </x:c>
      <x:c r="L32" s="53" t="str"/>
      <x:c r="M32" s="53" t="str"/>
      <x:c r="N32" s="53" t="n">
        <x:v>0</x:v>
      </x:c>
      <x:c r="O32" s="54" t="b">
        <x:v>0</x:v>
      </x:c>
      <x:c r="P32" s="53" t="str">
        <x:v>OBSERVATION_ONLY</x:v>
      </x:c>
      <x:c r="Q32" s="53" t="str">
        <x:v>Prefers a concentrated payoff turn.</x:v>
      </x:c>
      <x:c r="R32" s="53" t="str">
        <x:v>Observation wording and identity association require player validation; no weight is authorized.</x:v>
      </x:c>
      <x:c r="S32" s="53" t="str">
        <x:v>PRISMARI</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b1.hall.pressure.v1.abundance</x:v>
      </x:c>
      <x:c r="G33" s="53" t="str">
        <x:v>Keep the wide board moving</x:v>
      </x:c>
      <x:c r="H33" s="53" t="str">
        <x:v>C07</x:v>
      </x:c>
      <x:c r="I33" s="53" t="str">
        <x:v>SIG_C07_ABUNDANCE_PRESSURE</x:v>
      </x:c>
      <x:c r="J33" s="53" t="str">
        <x:v>DG_C07</x:v>
      </x:c>
      <x:c r="K33" s="53" t="str">
        <x:v>BEHAVIORAL_OBSERVATION</x:v>
      </x:c>
      <x:c r="L33" s="53" t="str">
        <x:v>NAYA</x:v>
      </x:c>
      <x:c r="M33" s="53" t="str"/>
      <x:c r="N33" s="53" t="n">
        <x:v>1</x:v>
      </x:c>
      <x:c r="O33" s="54" t="b">
        <x:v>1</x:v>
      </x:c>
      <x:c r="P33" s="53" t="str">
        <x:v>REMEDIATION_MAPPING_HYPOTHESIS</x:v>
      </x:c>
      <x:c r="Q33" s="53" t="str">
        <x:v>Prefers abundance-based board pressure rather than one concentrated strike.</x:v>
      </x:c>
      <x:c r="R33" s="53" t="str">
        <x:v>Board width may be accidental or mechanically efficient rather than identity-relevant.</x:v>
      </x:c>
      <x:c r="S33" s="53" t="str">
        <x:v>NAYA</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b1.hall.setup.v1.long</x:v>
      </x:c>
      <x:c r="G34" s="53" t="str">
        <x:v>Protect the long pattern</x:v>
      </x:c>
      <x:c r="H34" s="53" t="str">
        <x:v>C14</x:v>
      </x:c>
      <x:c r="I34" s="53" t="str">
        <x:v>SIG_C14_LONG_SETUP</x:v>
      </x:c>
      <x:c r="J34" s="53" t="str">
        <x:v>DG_C14</x:v>
      </x:c>
      <x:c r="K34" s="53" t="str">
        <x:v>BEHAVIORAL_OBSERVATION</x:v>
      </x:c>
      <x:c r="L34" s="53" t="str">
        <x:v>QUANDRIX | WITCH</x:v>
      </x:c>
      <x:c r="M34" s="53" t="str"/>
      <x:c r="N34" s="53" t="n">
        <x:v>0.5</x:v>
      </x:c>
      <x:c r="O34" s="54" t="b">
        <x:v>0</x:v>
      </x:c>
      <x:c r="P34" s="53" t="str">
        <x:v>REMEDIATION_MAPPING_HYPOTHESIS</x:v>
      </x:c>
      <x:c r="Q34" s="53" t="str">
        <x:v>Accepts concentrated long development before the main payoff.</x:v>
      </x:c>
      <x:c r="R34" s="53" t="str">
        <x:v>Budget, card speed, and table power can force a longer horizon.</x:v>
      </x:c>
      <x:c r="S34" s="53" t="str">
        <x:v>NAYA</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b1.hall.engine-shape.v1.central</x:v>
      </x:c>
      <x:c r="G35" s="53" t="str">
        <x:v>Rebuild the center</x:v>
      </x:c>
      <x:c r="H35" s="53" t="str">
        <x:v>C06</x:v>
      </x:c>
      <x:c r="I35" s="53" t="str">
        <x:v>SIG_C06_CENTRAL</x:v>
      </x:c>
      <x:c r="J35" s="53" t="str">
        <x:v>DG_C06</x:v>
      </x:c>
      <x:c r="K35" s="53" t="str">
        <x:v>BEHAVIORAL_OBSERVATION</x:v>
      </x:c>
      <x:c r="L35" s="53" t="str">
        <x:v>ESPER | QUANDRIX | U</x:v>
      </x:c>
      <x:c r="M35" s="53" t="str"/>
      <x:c r="N35" s="53" t="n">
        <x:v>0.5</x:v>
      </x:c>
      <x:c r="O35" s="54" t="b">
        <x:v>0</x:v>
      </x:c>
      <x:c r="P35" s="53" t="str">
        <x:v>REMEDIATION_MAPPING_HYPOTHESIS</x:v>
      </x:c>
      <x:c r="Q35" s="53" t="str">
        <x:v>Accepts one designed central dependency after revision.</x:v>
      </x:c>
      <x:c r="R35" s="53" t="str">
        <x:v>Some decks have a central engine because of card availability or commander design.</x:v>
      </x:c>
      <x:c r="S35" s="53" t="str">
        <x:v>NAYA</x:v>
      </x:c>
      <x:c r="T35" s="53" t="str">
        <x:v>incomplete / useful_evidence_remains / b1.crucible.ug.v1</x:v>
      </x:c>
    </x:row>
    <x:row r="36">
      <x:c r="A36" s="53" t="n">
        <x:v>8</x:v>
      </x:c>
      <x:c r="B36" s="53" t="str">
        <x:v>main</x:v>
      </x:c>
      <x:c r="C36" s="53" t="str">
        <x:v>crucible</x:v>
      </x:c>
      <x:c r="D36" s="53" t="str">
        <x:v>b1.crucible.ug.v1</x:v>
      </x:c>
      <x:c r="E36" s="53" t="str">
        <x:v>When building an engine, which structure fits your deck?</x:v>
      </x:c>
      <x:c r="F36" s="53" t="str">
        <x:v>b1.crucible.ug.v1.adapt</x:v>
      </x:c>
      <x:c r="G36" s="53" t="str">
        <x:v>Several overlapping engines</x:v>
      </x:c>
      <x:c r="H36" s="53" t="str">
        <x:v>C06</x:v>
      </x:c>
      <x:c r="I36" s="53" t="str">
        <x:v>SIG_C06_MODULAR</x:v>
      </x:c>
      <x:c r="J36" s="53" t="str">
        <x:v>DG_C06</x:v>
      </x:c>
      <x:c r="K36" s="53" t="str">
        <x:v>BEHAVIORAL_OBSERVATION</x:v>
      </x:c>
      <x:c r="L36" s="53" t="str">
        <x:v>UG</x:v>
      </x:c>
      <x:c r="M36" s="53" t="str">
        <x:v>QUANDRIX</x:v>
      </x:c>
      <x:c r="N36" s="53" t="n">
        <x:v>1</x:v>
      </x:c>
      <x:c r="O36" s="54" t="b">
        <x:v>1</x:v>
      </x:c>
      <x:c r="P36" s="53" t="str">
        <x:v>MAPPING_HYPOTHESIS</x:v>
      </x:c>
      <x:c r="Q36" s="53" t="str">
        <x:v>Prefers modular overlapping engines.</x:v>
      </x:c>
      <x:c r="R36" s="53" t="str">
        <x:v>Use only after prior independent observations leave the stated competitor boundary plausible; the identity association requires player validation.</x:v>
      </x:c>
      <x:c r="S36" s="53" t="str">
        <x:v>UG</x:v>
      </x:c>
      <x:c r="T36" s="53" t="str">
        <x:v>contradictory / supported_candidate_has_conflicting_dependencies / </x:v>
      </x:c>
    </x:row>
    <x:row r="37">
      <x:c r="A37" s="53" t="n">
        <x:v>9</x:v>
      </x:c>
      <x:c r="B37" s="53" t="str">
        <x:v>refinement</x:v>
      </x:c>
      <x:c r="C37" s="53" t="str">
        <x:v>crucible</x:v>
      </x:c>
      <x:c r="D37" s="53" t="str">
        <x:v>b1.crucible.witch-yore.v1</x:v>
      </x:c>
      <x:c r="E37" s="53" t="str">
        <x:v>When an engine organizes your plan, which structure do you want?</x:v>
      </x:c>
      <x:c r="F37" s="53" t="str">
        <x:v>b1.crucible.witch-yore.v1.compound</x:v>
      </x:c>
      <x:c r="G37" s="53" t="str">
        <x:v>One engine keeps compounding</x:v>
      </x:c>
      <x:c r="H37" s="53" t="str">
        <x:v>C06</x:v>
      </x:c>
      <x:c r="I37" s="53" t="str">
        <x:v>SIG_C06_CENTRAL</x:v>
      </x:c>
      <x:c r="J37" s="53" t="str">
        <x:v>DG_C06</x:v>
      </x:c>
      <x:c r="K37" s="53" t="str">
        <x:v>BEHAVIORAL_OBSERVATION</x:v>
      </x:c>
      <x:c r="L37" s="53" t="str">
        <x:v>WITCH</x:v>
      </x:c>
      <x:c r="M37" s="53" t="str">
        <x:v>YORE</x:v>
      </x:c>
      <x:c r="N37" s="53" t="n">
        <x:v>1</x:v>
      </x:c>
      <x:c r="O37" s="54" t="b">
        <x:v>1</x:v>
      </x:c>
      <x:c r="P37" s="53" t="str">
        <x:v>MAPPING_HYPOTHESIS</x:v>
      </x:c>
      <x:c r="Q37" s="53" t="str">
        <x:v>Prefers one central engine that compounds value over time.</x:v>
      </x:c>
      <x:c r="R37" s="53" t="str">
        <x:v>Use only after prior independent observations leave the stated competitor boundary plausible; the identity association requires player validation.</x:v>
      </x:c>
      <x:c r="S37" s="53" t="str">
        <x:v>UG</x:v>
      </x:c>
      <x:c r="T37" s="53" t="str">
        <x:v>contradictory / supported_candidate_has_conflicting_dependencies / </x:v>
      </x:c>
    </x:row>
    <x:row r="38">
      <x:c r="A38" s="53" t="n">
        <x:v>10</x:v>
      </x:c>
      <x:c r="B38" s="53" t="str">
        <x:v>refinement</x:v>
      </x:c>
      <x:c r="C38" s="53" t="str">
        <x:v>crucible</x:v>
      </x:c>
      <x:c r="D38" s="53" t="str">
        <x:v>b1.crucible.ink-witch.v1</x:v>
      </x:c>
      <x:c r="E38" s="53" t="str">
        <x:v>Your deck can influence the game early or keep resources to build toward larger turns. Which timing fits?</x:v>
      </x:c>
      <x:c r="F38" s="53" t="str">
        <x:v>b1.crucible.ink-witch.v1.compound</x:v>
      </x:c>
      <x:c r="G38" s="53" t="str">
        <x:v>Let resources accumulate</x:v>
      </x:c>
      <x:c r="H38" s="53" t="str">
        <x:v>C14</x:v>
      </x:c>
      <x:c r="I38" s="53" t="str">
        <x:v>SIG_C14_LONG_SETUP</x:v>
      </x:c>
      <x:c r="J38" s="53" t="str">
        <x:v>DG_C14</x:v>
      </x:c>
      <x:c r="K38" s="53" t="str">
        <x:v>BEHAVIORAL_OBSERVATION</x:v>
      </x:c>
      <x:c r="L38" s="53" t="str">
        <x:v>WITCH</x:v>
      </x:c>
      <x:c r="M38" s="53" t="str">
        <x:v>INK</x:v>
      </x:c>
      <x:c r="N38" s="53" t="n">
        <x:v>1</x:v>
      </x:c>
      <x:c r="O38" s="54" t="b">
        <x:v>1</x:v>
      </x:c>
      <x:c r="P38" s="53" t="str">
        <x:v>MAPPING_HYPOTHESIS</x:v>
      </x:c>
      <x:c r="Q38" s="53" t="str">
        <x:v>Accepts long setup for larger later turns.</x:v>
      </x:c>
      <x:c r="R38" s="53" t="str">
        <x:v>Use only after prior independent observations leave the stated competitor boundary plausible; the identity association requires player validation.</x:v>
      </x:c>
      <x:c r="S38" s="53" t="str">
        <x:v>WITCH</x:v>
      </x:c>
      <x:c r="T38" s="53" t="str">
        <x:v>primary / clear_separation / </x:v>
      </x:c>
    </x:row>
    <x:row r="40" ht="28" customHeight="1">
      <x:c r="A40" s="45" t="str">
        <x:v>FINAL CANDIDATE INVENTORY</x:v>
      </x:c>
      <x:c r="B40" s="45"/>
      <x:c r="C40" s="45"/>
      <x:c r="D40" s="45"/>
      <x:c r="E40" s="45"/>
      <x:c r="F40" s="45"/>
      <x:c r="G40" s="45"/>
      <x:c r="H40" s="45"/>
      <x:c r="I40" s="45"/>
      <x:c r="J40" s="45"/>
      <x:c r="K40" s="45"/>
      <x:c r="L40" s="45"/>
      <x:c r="M40" s="45"/>
      <x:c r="N40" s="45"/>
      <x:c r="O40" s="45"/>
      <x:c r="P40" s="45"/>
      <x:c r="Q40" s="45"/>
      <x:c r="R40" s="45"/>
      <x:c r="S40" s="45"/>
      <x:c r="T40" s="45"/>
    </x:row>
    <x:row r="41" ht="28" customHeight="1">
      <x:c r="A41" s="45" t="str">
        <x:v>Rank</x:v>
      </x:c>
      <x:c r="B41" s="45" t="str">
        <x:v>Identity</x:v>
      </x:c>
      <x:c r="C41" s="45" t="str">
        <x:v>Name</x:v>
      </x:c>
      <x:c r="D41" s="45" t="str">
        <x:v>Score</x:v>
      </x:c>
      <x:c r="E41" s="45" t="str">
        <x:v>Qualified</x:v>
      </x:c>
      <x:c r="F41" s="45" t="str">
        <x:v>Positive Constructs</x:v>
      </x:c>
    </x:row>
    <x:row r="42">
      <x:c r="A42" s="53" t="n">
        <x:v>1</x:v>
      </x:c>
      <x:c r="B42" s="53" t="str">
        <x:v>WITCH</x:v>
      </x:c>
      <x:c r="C42" s="53" t="str">
        <x:v>Witch / Growth</x:v>
      </x:c>
      <x:c r="D42" s="53" t="n">
        <x:v>0.916667</x:v>
      </x:c>
      <x:c r="E42" s="54" t="b">
        <x:v>1</x:v>
      </x:c>
      <x:c r="F42" s="53" t="str">
        <x:v>C06 | C14</x:v>
      </x:c>
    </x:row>
    <x:row r="43">
      <x:c r="A43" s="53" t="n">
        <x:v>2</x:v>
      </x:c>
      <x:c r="B43" s="53" t="str">
        <x:v>UG</x:v>
      </x:c>
      <x:c r="C43" s="53" t="str">
        <x:v>Simic Combine</x:v>
      </x:c>
      <x:c r="D43" s="53" t="n">
        <x:v>0.916667</x:v>
      </x:c>
      <x:c r="E43" s="54" t="b">
        <x:v>0</x:v>
      </x:c>
      <x:c r="F43" s="53" t="str">
        <x:v>C06</x:v>
      </x:c>
    </x:row>
    <x:row r="44">
      <x:c r="A44" s="53" t="n">
        <x:v>3</x:v>
      </x:c>
      <x:c r="B44" s="53" t="str">
        <x:v>NAYA</x:v>
      </x:c>
      <x:c r="C44" s="53" t="str">
        <x:v>Naya</x:v>
      </x:c>
      <x:c r="D44" s="53" t="n">
        <x:v>0.833333</x:v>
      </x:c>
      <x:c r="E44" s="54" t="b">
        <x:v>0</x:v>
      </x:c>
      <x:c r="F44" s="53" t="str">
        <x:v>C07</x:v>
      </x:c>
    </x:row>
    <x:row r="45">
      <x:c r="A45" s="53" t="n">
        <x:v>4</x:v>
      </x:c>
      <x:c r="B45" s="53" t="str">
        <x:v>ESPER</x:v>
      </x:c>
      <x:c r="C45" s="53" t="str">
        <x:v>Esper</x:v>
      </x:c>
      <x:c r="D45" s="53" t="n">
        <x:v>0.4375</x:v>
      </x:c>
      <x:c r="E45" s="54" t="b">
        <x:v>0</x:v>
      </x:c>
      <x:c r="F45" s="53" t="str">
        <x:v>C06</x:v>
      </x:c>
    </x:row>
    <x:row r="46">
      <x:c r="A46" s="53" t="n">
        <x:v>5</x:v>
      </x:c>
      <x:c r="B46" s="53" t="str">
        <x:v>U</x:v>
      </x:c>
      <x:c r="C46" s="53" t="str">
        <x:v>Blue</x:v>
      </x:c>
      <x:c r="D46" s="53" t="n">
        <x:v>0.4375</x:v>
      </x:c>
      <x:c r="E46" s="54" t="b">
        <x:v>0</x:v>
      </x:c>
      <x:c r="F46" s="53" t="str">
        <x:v>C06</x:v>
      </x:c>
    </x:row>
    <x:row r="47">
      <x:c r="A47" s="53" t="n">
        <x:v>6</x:v>
      </x:c>
      <x:c r="B47" s="53" t="str">
        <x:v>QUANDRIX</x:v>
      </x:c>
      <x:c r="C47" s="53" t="str">
        <x:v>Quandrix College</x:v>
      </x:c>
      <x:c r="D47" s="53" t="n">
        <x:v>0.260417</x:v>
      </x:c>
      <x:c r="E47" s="54" t="b">
        <x:v>0</x:v>
      </x:c>
      <x:c r="F47" s="53" t="str">
        <x:v>C06 | C14</x:v>
      </x:c>
    </x:row>
    <x:row r="48">
      <x:c r="A48" s="53" t="n">
        <x:v>7</x:v>
      </x:c>
      <x:c r="B48" s="53" t="str">
        <x:v>UR</x:v>
      </x:c>
      <x:c r="C48" s="53" t="str">
        <x:v>Izzet League</x:v>
      </x:c>
      <x:c r="D48" s="53" t="n">
        <x:v>0.166667</x:v>
      </x:c>
      <x:c r="E48" s="54" t="b">
        <x:v>0</x:v>
      </x:c>
      <x:c r="F48" s="53" t="str"/>
    </x:row>
    <x:row r="49">
      <x:c r="A49" s="53" t="n">
        <x:v>8</x:v>
      </x:c>
      <x:c r="B49" s="53" t="str">
        <x:v>WITHERBLOOM</x:v>
      </x:c>
      <x:c r="C49" s="53" t="str">
        <x:v>Witherbloom College</x:v>
      </x:c>
      <x:c r="D49" s="53" t="n">
        <x:v>0.166667</x:v>
      </x:c>
      <x:c r="E49" s="54" t="b">
        <x:v>0</x:v>
      </x:c>
      <x:c r="F49" s="53" t="str"/>
    </x:row>
    <x:row r="50">
      <x:c r="A50" s="53" t="n">
        <x:v>9</x:v>
      </x:c>
      <x:c r="B50" s="53" t="str">
        <x:v>SULTAI</x:v>
      </x:c>
      <x:c r="C50" s="53" t="str">
        <x:v>Sultai Brood</x:v>
      </x:c>
      <x:c r="D50" s="53" t="n">
        <x:v>0.166667</x:v>
      </x:c>
      <x:c r="E50" s="54" t="b">
        <x:v>0</x:v>
      </x:c>
      <x:c r="F50" s="53" t="str"/>
    </x:row>
    <x:row r="51">
      <x:c r="A51" s="53" t="n">
        <x:v>10</x:v>
      </x:c>
      <x:c r="B51" s="53" t="str">
        <x:v>TEMUR</x:v>
      </x:c>
      <x:c r="C51" s="53" t="str">
        <x:v>Temur Frontier</x:v>
      </x:c>
      <x:c r="D51" s="53" t="n">
        <x:v>0.166667</x:v>
      </x:c>
      <x:c r="E51" s="54" t="b">
        <x:v>0</x:v>
      </x:c>
      <x:c r="F51" s="53" t="str"/>
    </x:row>
    <x:row r="52">
      <x:c r="A52" s="53" t="n">
        <x:v>11</x:v>
      </x:c>
      <x:c r="B52" s="53" t="str">
        <x:v>BG</x:v>
      </x:c>
      <x:c r="C52" s="53" t="str">
        <x:v>Golgari Swarm</x:v>
      </x:c>
      <x:c r="D52" s="53" t="n">
        <x:v>0.083333</x:v>
      </x:c>
      <x:c r="E52" s="54" t="b">
        <x:v>0</x:v>
      </x:c>
      <x:c r="F52" s="53" t="str"/>
    </x:row>
    <x:row r="53">
      <x:c r="A53" s="53" t="n">
        <x:v>12</x:v>
      </x:c>
      <x:c r="B53" s="53" t="str">
        <x:v>PRISMARI</x:v>
      </x:c>
      <x:c r="C53" s="53" t="str">
        <x:v>Prismari College</x:v>
      </x:c>
      <x:c r="D53" s="53" t="n">
        <x:v>0.083333</x:v>
      </x:c>
      <x:c r="E53" s="54" t="b">
        <x:v>0</x:v>
      </x:c>
      <x:c r="F53" s="53" t="str"/>
    </x:row>
    <x:row r="54">
      <x:c r="A54" s="53" t="n">
        <x:v>13</x:v>
      </x:c>
      <x:c r="B54" s="53" t="str">
        <x:v>ABZAN</x:v>
      </x:c>
      <x:c r="C54" s="53" t="str">
        <x:v>Abzan Houses</x:v>
      </x:c>
      <x:c r="D54" s="53" t="n">
        <x:v>0.083333</x:v>
      </x:c>
      <x:c r="E54" s="54" t="b">
        <x:v>0</x:v>
      </x:c>
      <x:c r="F54" s="53" t="str"/>
    </x:row>
    <x:row r="55">
      <x:c r="A55" s="53" t="n">
        <x:v>14</x:v>
      </x:c>
      <x:c r="B55" s="53" t="str">
        <x:v>BR</x:v>
      </x:c>
      <x:c r="C55" s="53" t="str">
        <x:v>Cult of Rakdos</x:v>
      </x:c>
      <x:c r="D55" s="53" t="n">
        <x:v>0.083333</x:v>
      </x:c>
      <x:c r="E55" s="54" t="b">
        <x:v>0</x:v>
      </x:c>
      <x:c r="F55" s="53" t="str"/>
    </x:row>
    <x:row r="56">
      <x:c r="A56" s="53" t="n">
        <x:v>15</x:v>
      </x:c>
      <x:c r="B56" s="53" t="str">
        <x:v>COLORLESS</x:v>
      </x:c>
      <x:c r="C56" s="53" t="str">
        <x:v>Colorless</x:v>
      </x:c>
      <x:c r="D56" s="53" t="n">
        <x:v>0.083333</x:v>
      </x:c>
      <x:c r="E56" s="54" t="b">
        <x:v>0</x:v>
      </x:c>
      <x:c r="F56" s="53" t="str"/>
    </x:row>
    <x:row r="57">
      <x:c r="A57" s="53" t="n">
        <x:v>16</x:v>
      </x:c>
      <x:c r="B57" s="53" t="str">
        <x:v>DUNE</x:v>
      </x:c>
      <x:c r="C57" s="53" t="str">
        <x:v>Dune / Aggression</x:v>
      </x:c>
      <x:c r="D57" s="53" t="n">
        <x:v>0.083333</x:v>
      </x:c>
      <x:c r="E57" s="54" t="b">
        <x:v>0</x:v>
      </x:c>
      <x:c r="F57" s="53" t="str"/>
    </x:row>
    <x:row r="58">
      <x:c r="A58" s="53" t="n">
        <x:v>17</x:v>
      </x:c>
      <x:c r="B58" s="53" t="str">
        <x:v>G</x:v>
      </x:c>
      <x:c r="C58" s="53" t="str">
        <x:v>Green</x:v>
      </x:c>
      <x:c r="D58" s="53" t="n">
        <x:v>0.083333</x:v>
      </x:c>
      <x:c r="E58" s="54" t="b">
        <x:v>0</x:v>
      </x:c>
      <x:c r="F58" s="53" t="str"/>
    </x:row>
    <x:row r="59">
      <x:c r="A59" s="53" t="n">
        <x:v>18</x:v>
      </x:c>
      <x:c r="B59" s="53" t="str">
        <x:v>JUND</x:v>
      </x:c>
      <x:c r="C59" s="53" t="str">
        <x:v>Jund</x:v>
      </x:c>
      <x:c r="D59" s="53" t="n">
        <x:v>0.083333</x:v>
      </x:c>
      <x:c r="E59" s="54" t="b">
        <x:v>0</x:v>
      </x:c>
      <x:c r="F59" s="53" t="str"/>
    </x:row>
    <x:row r="60">
      <x:c r="A60" s="53" t="n">
        <x:v>19</x:v>
      </x:c>
      <x:c r="B60" s="53" t="str">
        <x:v>LOREHOLD</x:v>
      </x:c>
      <x:c r="C60" s="53" t="str">
        <x:v>Lorehold College</x:v>
      </x:c>
      <x:c r="D60" s="53" t="n">
        <x:v>0.083333</x:v>
      </x:c>
      <x:c r="E60" s="54" t="b">
        <x:v>0</x:v>
      </x:c>
      <x:c r="F60" s="53" t="str"/>
    </x:row>
    <x:row r="61">
      <x:c r="A61" s="53" t="n">
        <x:v>20</x:v>
      </x:c>
      <x:c r="B61" s="53" t="str">
        <x:v>MARDU</x:v>
      </x:c>
      <x:c r="C61" s="53" t="str">
        <x:v>Mardu Horde</x:v>
      </x:c>
      <x:c r="D61" s="53" t="n">
        <x:v>0.083333</x:v>
      </x:c>
      <x:c r="E61" s="54" t="b">
        <x:v>0</x:v>
      </x:c>
      <x:c r="F61" s="53" t="str"/>
    </x:row>
    <x:row r="62">
      <x:c r="A62" s="53" t="n">
        <x:v>21</x:v>
      </x:c>
      <x:c r="B62" s="53" t="str">
        <x:v>R</x:v>
      </x:c>
      <x:c r="C62" s="53" t="str">
        <x:v>Red</x:v>
      </x:c>
      <x:c r="D62" s="53" t="n">
        <x:v>0.083333</x:v>
      </x:c>
      <x:c r="E62" s="54" t="b">
        <x:v>0</x:v>
      </x:c>
      <x:c r="F62" s="53" t="str"/>
    </x:row>
    <x:row r="63">
      <x:c r="A63" s="53" t="n">
        <x:v>22</x:v>
      </x:c>
      <x:c r="B63" s="53" t="str">
        <x:v>RG</x:v>
      </x:c>
      <x:c r="C63" s="53" t="str">
        <x:v>Gruul Clans</x:v>
      </x:c>
      <x:c r="D63" s="53" t="n">
        <x:v>0.083333</x:v>
      </x:c>
      <x:c r="E63" s="54" t="b">
        <x:v>0</x:v>
      </x:c>
      <x:c r="F63" s="53" t="str"/>
    </x:row>
    <x:row r="64">
      <x:c r="A64" s="53" t="n">
        <x:v>23</x:v>
      </x:c>
      <x:c r="B64" s="53" t="str">
        <x:v>W</x:v>
      </x:c>
      <x:c r="C64" s="53" t="str">
        <x:v>White</x:v>
      </x:c>
      <x:c r="D64" s="53" t="n">
        <x:v>0.083333</x:v>
      </x:c>
      <x:c r="E64" s="54" t="b">
        <x:v>0</x:v>
      </x:c>
      <x:c r="F64" s="53" t="str"/>
    </x:row>
    <x:row r="65">
      <x:c r="A65" s="53" t="n">
        <x:v>24</x:v>
      </x:c>
      <x:c r="B65" s="53" t="str">
        <x:v>WR</x:v>
      </x:c>
      <x:c r="C65" s="53" t="str">
        <x:v>Boros Legion</x:v>
      </x:c>
      <x:c r="D65" s="53" t="n">
        <x:v>0.083333</x:v>
      </x:c>
      <x:c r="E65" s="54" t="b">
        <x:v>0</x:v>
      </x:c>
      <x:c r="F65" s="53" t="str"/>
    </x:row>
    <x:row r="66">
      <x:c r="A66" s="53" t="n">
        <x:v>25</x:v>
      </x:c>
      <x:c r="B66" s="53" t="str">
        <x:v>GRIXIS</x:v>
      </x:c>
      <x:c r="C66" s="53" t="str">
        <x:v>Grixis</x:v>
      </x:c>
      <x:c r="D66" s="53" t="n">
        <x:v>0.0625</x:v>
      </x:c>
      <x:c r="E66" s="54" t="b">
        <x:v>0</x:v>
      </x:c>
      <x:c r="F66" s="53" t="str"/>
    </x:row>
    <x:row r="67">
      <x:c r="A67" s="53" t="n">
        <x:v>26</x:v>
      </x:c>
      <x:c r="B67" s="53" t="str">
        <x:v>UB</x:v>
      </x:c>
      <x:c r="C67" s="53" t="str">
        <x:v>House Dimir</x:v>
      </x:c>
      <x:c r="D67" s="53" t="n">
        <x:v>0.0625</x:v>
      </x:c>
      <x:c r="E67" s="54" t="b">
        <x:v>0</x:v>
      </x:c>
      <x:c r="F67" s="53" t="str"/>
    </x:row>
    <x:row r="68">
      <x:c r="A68" s="53" t="n">
        <x:v>27</x:v>
      </x:c>
      <x:c r="B68" s="53" t="str">
        <x:v>B</x:v>
      </x:c>
      <x:c r="C68" s="53" t="str">
        <x:v>Black</x:v>
      </x:c>
      <x:c r="D68" s="53" t="n">
        <x:v>0</x:v>
      </x:c>
      <x:c r="E68" s="54" t="b">
        <x:v>0</x:v>
      </x:c>
      <x:c r="F68" s="53" t="str"/>
    </x:row>
    <x:row r="69">
      <x:c r="A69" s="53" t="n">
        <x:v>28</x:v>
      </x:c>
      <x:c r="B69" s="53" t="str">
        <x:v>BANT</x:v>
      </x:c>
      <x:c r="C69" s="53" t="str">
        <x:v>Bant</x:v>
      </x:c>
      <x:c r="D69" s="53" t="n">
        <x:v>0</x:v>
      </x:c>
      <x:c r="E69" s="54" t="b">
        <x:v>0</x:v>
      </x:c>
      <x:c r="F69" s="53" t="str"/>
    </x:row>
    <x:row r="70">
      <x:c r="A70" s="53" t="n">
        <x:v>29</x:v>
      </x:c>
      <x:c r="B70" s="53" t="str">
        <x:v>GLINT</x:v>
      </x:c>
      <x:c r="C70" s="53" t="str">
        <x:v>Glint / Chaos</x:v>
      </x:c>
      <x:c r="D70" s="53" t="n">
        <x:v>0</x:v>
      </x:c>
      <x:c r="E70" s="54" t="b">
        <x:v>0</x:v>
      </x:c>
      <x:c r="F70" s="53" t="str"/>
    </x:row>
    <x:row r="71">
      <x:c r="A71" s="53" t="n">
        <x:v>30</x:v>
      </x:c>
      <x:c r="B71" s="53" t="str">
        <x:v>JESKAI</x:v>
      </x:c>
      <x:c r="C71" s="53" t="str">
        <x:v>Jeskai Way</x:v>
      </x:c>
      <x:c r="D71" s="53" t="n">
        <x:v>0</x:v>
      </x:c>
      <x:c r="E71" s="54" t="b">
        <x:v>0</x:v>
      </x:c>
      <x:c r="F71" s="53" t="str"/>
    </x:row>
    <x:row r="72">
      <x:c r="A72" s="53" t="n">
        <x:v>31</x:v>
      </x:c>
      <x:c r="B72" s="53" t="str">
        <x:v>SILVERQUILL</x:v>
      </x:c>
      <x:c r="C72" s="53" t="str">
        <x:v>Silverquill College</x:v>
      </x:c>
      <x:c r="D72" s="53" t="n">
        <x:v>0</x:v>
      </x:c>
      <x:c r="E72" s="54" t="b">
        <x:v>0</x:v>
      </x:c>
      <x:c r="F72" s="53" t="str"/>
    </x:row>
    <x:row r="73">
      <x:c r="A73" s="53" t="n">
        <x:v>32</x:v>
      </x:c>
      <x:c r="B73" s="53" t="str">
        <x:v>WB</x:v>
      </x:c>
      <x:c r="C73" s="53" t="str">
        <x:v>Orzhov Syndicate</x:v>
      </x:c>
      <x:c r="D73" s="53" t="n">
        <x:v>0</x:v>
      </x:c>
      <x:c r="E73" s="54" t="b">
        <x:v>0</x:v>
      </x:c>
      <x:c r="F73" s="53" t="str"/>
    </x:row>
    <x:row r="74">
      <x:c r="A74" s="53" t="n">
        <x:v>33</x:v>
      </x:c>
      <x:c r="B74" s="53" t="str">
        <x:v>WG</x:v>
      </x:c>
      <x:c r="C74" s="53" t="str">
        <x:v>Selesnya Conclave</x:v>
      </x:c>
      <x:c r="D74" s="53" t="n">
        <x:v>0</x:v>
      </x:c>
      <x:c r="E74" s="54" t="b">
        <x:v>0</x:v>
      </x:c>
      <x:c r="F74" s="53" t="str"/>
    </x:row>
    <x:row r="75">
      <x:c r="A75" s="53" t="n">
        <x:v>34</x:v>
      </x:c>
      <x:c r="B75" s="53" t="str">
        <x:v>WU</x:v>
      </x:c>
      <x:c r="C75" s="53" t="str">
        <x:v>Azorius Senate</x:v>
      </x:c>
      <x:c r="D75" s="53" t="n">
        <x:v>0</x:v>
      </x:c>
      <x:c r="E75" s="54" t="b">
        <x:v>0</x:v>
      </x:c>
      <x:c r="F75" s="53" t="str"/>
    </x:row>
    <x:row r="76">
      <x:c r="A76" s="53" t="n">
        <x:v>35</x:v>
      </x:c>
      <x:c r="B76" s="53" t="str">
        <x:v>WUBRG</x:v>
      </x:c>
      <x:c r="C76" s="53" t="str">
        <x:v>Five-Color / WUBRG</x:v>
      </x:c>
      <x:c r="D76" s="53" t="n">
        <x:v>0</x:v>
      </x:c>
      <x:c r="E76" s="54" t="b">
        <x:v>0</x:v>
      </x:c>
      <x:c r="F76" s="53" t="str"/>
    </x:row>
    <x:row r="77">
      <x:c r="A77" s="53" t="n">
        <x:v>36</x:v>
      </x:c>
      <x:c r="B77" s="53" t="str">
        <x:v>YORE</x:v>
      </x:c>
      <x:c r="C77" s="53" t="str">
        <x:v>Yore / Artifice</x:v>
      </x:c>
      <x:c r="D77" s="53" t="n">
        <x:v>-0.479167</x:v>
      </x:c>
      <x:c r="E77" s="54" t="b">
        <x:v>0</x:v>
      </x:c>
      <x:c r="F77" s="53" t="str"/>
    </x:row>
    <x:row r="78">
      <x:c r="A78" s="53" t="n">
        <x:v>37</x:v>
      </x:c>
      <x:c r="B78" s="53" t="str">
        <x:v>INK</x:v>
      </x:c>
      <x:c r="C78" s="53" t="str">
        <x:v>Ink / Altruism</x:v>
      </x:c>
      <x:c r="D78" s="53" t="n">
        <x:v>-0.5625</x:v>
      </x:c>
      <x:c r="E78" s="54" t="b">
        <x:v>0</x:v>
      </x:c>
      <x:c r="F78" s="53" t="str"/>
    </x:row>
    <x:row r="80" ht="28" customHeight="1">
      <x:c r="A80" s="45" t="str">
        <x:v>FINAL RESULT JSON — CHUNKED ONLY FOR XLSX CELL LIMIT</x:v>
      </x:c>
      <x:c r="B80" s="45"/>
      <x:c r="C80" s="45"/>
      <x:c r="D80" s="45"/>
      <x:c r="E80" s="45"/>
      <x:c r="F80" s="45"/>
      <x:c r="G80" s="45"/>
      <x:c r="H80" s="45"/>
      <x:c r="I80" s="45"/>
      <x:c r="J80" s="45"/>
      <x:c r="K80" s="45"/>
      <x:c r="L80" s="45"/>
      <x:c r="M80" s="45"/>
      <x:c r="N80" s="45"/>
      <x:c r="O80" s="45"/>
      <x:c r="P80" s="45"/>
      <x:c r="Q80" s="45"/>
      <x:c r="R80" s="45"/>
      <x:c r="S80" s="45"/>
      <x:c r="T80" s="45"/>
    </x:row>
    <x:row r="81">
      <x:c r="A81" s="53" t="str">
        <x:v>Part 1/3</x:v>
      </x:c>
      <x:c r="B81" s="53" t="str">
        <x:v>{
  "version": "2026-08-09-gate-b1-v1",
  "model_version": "vm551-gate-b1-placement-engine-v1",
  "instrument_version": "vm551-gate-b1-instrument-v2",
  "mapping_version": "vm551-gate-b1-mapping-v2-instrument-completion",
  "source_mode": "quick",
  "faction": "WITCH",
  "faction_name": "Witch / Growth",
  "institution_type": "four_color",
  "world": "Cross-setting",
  "identity": {
    "core_color": "GWUB",
    "secondary_colors": [
      "G",
      "W",
      "U",
      "B"
    ],
    "secondary_color": null,
    "expression_key": "WITCH",
    "expression_name": "Witch / Growth",
    "expression_kind": "four_color",
    "purity": null,
    "routing": {
      "color_identity": "GWUB",
      "label": "Witch",
      "suppress_directory_links": true
    }
  },
  "decree": "Witch / Growth is the clearest current fit from the approved observations.",
  "confidence": 0.051,
  "confidence_gap": 1,
  "mana_scores": {
    "W": 9,
    "U": 10,
    "B": 9,
    "R": 9,
    "G": 10
  },
  "top_matches": [
    {
      "rank": 1,
      "faction": "WITCH",
      "faction_name": "Witch / Growth",
      "institution_type": "four_color",
      "world": "Cross-setting",
      "identity": {
        "core_color": "GWUB",
        "secondary_colors": [
          "G",
          "W",
          "U",
          "B"
        ],
        "secondary_color": null,
        "expression_key": "WITCH",
        "expression_name": "Witch / Growth",
        "expression_kind": "four_color",
        "purity": null,
        "routing": {
          "color_identity": "GWUB",
          "label": "Witch",
          "suppress_directory_links": true
        }
      },
      "score": 0.916667,
      "confidence": 0.051,
      "reason": "Witch / Growth remained plausible through C06, C14; identity mapping remains a hypothesis."
    }
  ],
  "adjacent_matches": [],
  "internal_candidate_order": [
    {
      "identity": "WITCH",
      "score": 0.916667,
      "positive_dependencies": 2,
      "qualification_dependencies": 2,
      "naming_dependencies": 2,
      "positive_constructs": [
        "C06",
        "C14"
      ],
      "satisfied_naming_rule_ids": [
        "baseline_40:b1.crucible.ink-witch.v1.compound:WITCH",
        "baseline_40:b1.crucible.witch-yore.v1.compound:WITCH"
      ],
      "naming_qualification": {
        "identity": "WITCH",
        "qualified": true,
        "satisfied_naming_rule_ids": [
          "baseline_40:b1.crucible.ink-witch.v1.compound:WITCH",
          "baseline_40:b1.crucible.witch-yore.v1.compound:WITCH"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"UG",
      "score": 0.916667,
      "positive_dependencies": 1,
      "qualification_dependencies": 1,
      "naming_dependencies": 1,
      "positive_constructs": [
        "C06"
      ],
      "satisfied_naming_rule_ids": [
        "baseline_40:b1.crucible.ug.v1.adapt:UG"
      ],
      "naming_qualification": {
        "identity": "UG",
        "qualified": false,
        "satisfied_naming_rule_ids": [
          "baseline_40:b1.crucible.ug.v1.adapt:UG"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"NAYA",
      "score": 0.833333,
      "positive_dependencies": 1,
      "qualification_dependencies": 1,
      "naming_dependencies": 1,
      "positive_constructs": [
        "C07"
      ],
      "satisfied_naming_rule_ids": [
        "instrument_completion_overlay:b1.hall.pressure.v1.abundance:NAYA"
      ],
      "naming_qualification": {
        "identity": "NAYA",
        "qualified": false,
        "satisfied_naming_rule_ids": [
          "instrument_completion_overlay:b1.hall.pressure.v1.abundance:NAYA"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"ESPER",
      "score": 0.4375,
      "positive_dependencies": 1,
      "qualification_dependencies": 1,
      "naming_dependencies": 0,
      "positive_constructs": [
        "C06"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
      "score": 0.4375,
      "positive_dependencies": 1,
      "qualification_dependencies": 1,
      "naming_dependencies": 0,
      "positive_constructs": [
        "C06"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"QUANDRIX",
      "score": 0.260417,
      "positive_dependencies": 2,
      "qualification_dependencies": 2,
      "naming_dependencies": 0,
      "positive_constructs": [
        "C06",
        "C14"
      ],
      "satisfied_naming_rule_ids": [],
      "naming_qualification": {
        "identity": "QUANDRIX",
        "qualified": false,
        "satisfied_naming_rule_ids": [],
        "requirements": {
          "behaviorally_observable": true,
          "approved_naming_rule": false,
          "independent_positive_dependencies": true,
          "independent_positive_constructs": true,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"C06",
        "C14"
      ]
    },
    {
      "identity": "UR",
      "score": 0.166667,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"C06"
      ]
    },
    {
      "identity": "WITHERBLOOM",
      "score": 0.166667,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"C14"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"PRISMARI",
      "score": 0.083333,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"BR",
      "score": 0.083333,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"C04"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"GRIXIS",
      "score": 0.0625,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"B",
      "s</x:v>
      </x:c>
    </x:row>
    <x:row r="82">
      <x:c r="A82" s="53" t="str">
        <x:v>Part 2/3</x:v>
      </x:c>
      <x:c r="B82" s="53" t="str">
        <x:v>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"GLINT",
      "score": 0,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"JESKAI",
      "score": 0,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"WB",
      "score": 0,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
      "score": 0,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"YORE",
      "score": -0.479167,
      "positive_dependencies": 0,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"C06"
      ]
    },
    {
      "identity": "INK",
      "score": -0.5625,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
  ],
  "candidate_set": [
    "WITCH",
    "UG",
    "NAYA"
  ],
  "alternatives": [],
  "refinement": {
    "kind": "no_approved_discriminator",
    "can_reduce_ambiguity": false,
    "remaining_candidates": [
      "WITCH",
      "UG",
      "NAYA",
      "ESPER",
      "U",
      "QUANDRIX"
    ],
    "unresolved_boundaries": [
      {
        "pair_id": "ESPER__WITCH",
        "identities": [
          "ESPER",
          "WITCH"
        ],
        "distinction": "ESPER uses Information-to-plan conversion evidence; WITCH uses Setup tolerance evidence. No direct pair claim is made.",
        "question_ids": [
          "b1.hall.information-to-plan.v1",
          "b1.hall.setup.v1",
          "b1.crucible.mono-multi.v1",
          "b1.crucible.esper.v1",
          "b1.crucible.ink-witch.v1",
          "b1.crucible.witch-yore.v1",
          "b1.hall.repeatability.v1",
          "b1.hall.engine-shape.v1",
          "b1.crucible.disruption-boundary.v1"
        ],
        "coverage_status": "DIRECT-OR-STRUCTURAL-MAPPING-HYPOTHESIS; bounded player validation required"
      },
      {
        "pair_id": "QUANDRIX__UG",
        "identities": [
          "QUANDRIX",
          "UG"
        ],
        "distinction": "Direct scenario tests one bounded Commander behavior.",
        "question_ids": [
          "b1.crucible.ug.v1",
          "b1.hall.engine-shape.v1",
          "b1.hall.setup.v1"
        ],
        "coverage_status": "DIRECT-OR-STRUCTURAL-MAPPING-HYPOTHESIS; bounded player validation required"
      },
      {
        "pair_id": "QUANDRIX__WITCH",
        "identities": [
          "QUANDRIX",
          "WITCH"
        ],
        "distinction": "QUANDRIX uses Engine concentration evidence; WITCH uses Setup tolerance evidence. No direct pair claim is made.",
        "question_ids": [
          "b1.hall.engine-shape.v1",
          "b1.hall.setup.v1",
          "b1.crucible.mono-multi.v1",
          "b1.crucible.ug.v1",
          "b1.crucible.ink-witch.v1",
          "b1.crucible.witch-yore.v1",
          "b1.hall.repeatability.v1"
        ],
        "coverage_status": "DIRECT-OR-STRUCTURAL-MAPPING-HYPOTHESIS; bounded player validation required"
      },
      {
        "pair_id": "UG__WITCH",
        "identities": [
          "UG",
          "WITCH"
        ],
        "distinction": "UG uses Disruption response evidence; WITCH uses Repeatability preference evidence. No direct pair claim is made.",
        "question_ids": [
          "b1.gate.disruption.v1",
          "b1.hall.repeatability.v1",
          "b1.crucible.mono-multi.v1",
          "b1.crucible.ug.v1",
          "b1.crucible.ink-witch.v1",
          "b1.crucible.witch-yore.v1",
          "b1.hall.setup.v1"
        ],
        "coverage_status": "DIRECT-OR-STRUCTURAL-MAPPING-HYPOTHESIS; bounded player validation required"
      }
    ],
    "missing_constructs": [
      "C01",
      "C03",
      "C08",
      "C09",
      "C10",
      "C16"
    ],
    "question_id": null,
    "purpose": "none_for_clean_primary",
    "target_identities": [
      "WITCH",
      "UG",
      "NAYA"
    ],
    "target_pair_ids": [
      "ESPER__WITCH",
      "QUANDRIX__UG",
      "QUANDRIX__WITCH",
      "UG__WITCH"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"I do not know yet",
      "prompt": "Your turn begins, no urgent threat needs an answer, and you have enough mana to act. What feels best?",
      "observation": "Reports insufficient experience for this construct.",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"answer_title": "One turn that changes the game",
      "prompt": "When your Commander deck is doing what you built it to do, how do you want the advantage to arrive?",
      "observation": "Prefers a concentrated payoff turn.",
      "deltas": []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"answer_title": "Keep the wide board moving",
      "prompt": "The player ahead uses all their mana and leaves one turn where the table can take control. Which kind of pressure do you want your deck to create?",
      "observation": "Prefers abundance-based board pressure rather than one concentrated strike.",
      "deltas": [
        {
          "faction": "NAYA",
          "delta": 1
        }
      ]
    },
    {
      "question_id": "b1.hall.setup.v1",
      "answer_id": "b1.hall.setup.v1.long",
      "stage": "hall",
      "construct": "C14",
      "bounded_observation": "Accepts concentrated long development before the main payoff.",
      "signal": "SIG_C14_LONG_SETUP",
      "dependency_group": "DG_C14",
      "evidence_class": "BEHAVIORAL_OBSERVATION",
      "affected_identities": [
        "QUANDRIX",
        "WITCH"
      ],
      "positive_support": [
        "QUANDRIX",
        "WITCH"
      ],
      "contradiction": [],
      "neutral": false,
      "mapping_strength": 0.5,
      "naming_evidence": false,
      "qualification_eligible": true,
      "qualification_support": [
        "QUANDRIX",
        "WITCH"
      ],
      "naming_support": [],
      "naming_rule_ids_by_identity": {},
      "mapping_role": "completion_corroboration_direction",
      "mapping_status": "REMEDIATION_MAPPING_HYPOTHESIS",
      "mapping_provenance": "docs/plans/vm551-gate-b1-instrument-completion/instrument-change-adjudication.tsv#b1.hall.setup.v1.long;docs/audits/vm555-b1-identity-evidence-gap-bridge/identity-evidence-gap-matrix.tsv",
      "evidence_provenance": "E-VM555;E-CERTIFIED;E-CECOS;E-PLAYER-LANGUAGE",
      "limitation": "Budget, card speed, and table power can force a longer horizon.",
      "behavioral_vs_lens": "behavioral",
      "answer_title": "Protect the long pattern",
      "prompt": "Your deck becomes much stronger after several setup turns, but the table is already developing threats. What must the setup do along the way?",
      "observation": "Accepts concentrated long development before the main payoff.",
      "deltas": [
        {
          "faction": "QUANDRIX",
          "delta": 0.5
        },
        {
          "faction": "WITCH",
          "delta": 0.5
        }
      ]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"answer_title": "Rebuild the center",
      "prompt": "Opponents have learned how to stop your main engine. When you revise the deck, what structure do you want next?",
      "observation": "Accepts one designed central dependency after revision.",
      "deltas": [
        {
          "faction": "ESPER",
          "delta": 0.5
        },
        {
          "faction": "QUANDRIX",
          "delta": 0.5
        },
        {
          "faction": "U",
          "delta": 0.5
        }
      ]
    },
    {
      "question_id": "b1.crucible.ug.v1",
      "answer_id": "b1.crucible.ug.v1.adapt",
      "stage": "crucible",
      "construct": "C06",
      "bounded_observation": "Prefers modular overlapping engines.",
      "signal": "SIG_C06_MODULAR",
      "dependency_group": "DG_C06",
      "evidence_class": "BEHAVIORAL_OBSERVATION",
      "affected_identities": [
        "QUANDRIX",
        "UG"
      ],
      "positive_support": [
        "UG"
      ],
      "contradiction": [
        "QUANDRIX"
      ],
      "neutral": false,
      "mapping_strength": 1,
      "naming_evidence": true,
      "qualification_eligible": true,
      "qualification_support": [
        "UG"
      ],
      "naming_support": [
        "UG"
      ],
      "naming_rule_ids_by_identity": {
        "UG": [
          "baseline_40:b1.crucible.ug.v1.adapt:UG"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"Several overlapping engines",
      "prompt": "When building an engine, which structure fits your deck?",
      "observation": "Prefers modular overlapping engines.",
      "deltas": [
        {
          "faction": "UG",
          "delta": 1
        },
        {
          "faction": "QUANDRIX",
          "delta": -1
        }
      ]
    },
    {
      "question_id": "b1.crucible.witch-yore.v1",
      "answer_id": "b1.crucible.witch-yore.v1.compound",
      "stage": "crucible",
      "construct": "C06",
      "bounded_observation": "Prefers one central engine that compounds value over time.",
      "signal": "SIG_C06_CENTRAL",
      "dependency_group": "DG_C06",
      "evidence_class": "BEHAVIORAL_OBSERVATION",
      "affected_identities": [
        "WITCH",
        "YORE"
      ],
      "positive_support": [
        "WITCH"
      ],
      "contradiction": [
        "YORE"
      ],
      "neutral": false,
      "mapping_strength": 1,
      "naming_evidence": true,
      "qualification_eligible": true,
      "qualification_support": [
        "WITCH"
      ],
      "naming_support": [
        "WITCH"
      ],
      "naming_rule_ids_by_identity": {
        "WITCH": [
          "baseline_40:b1.crucible.witch-yore.v1.compound:WITCH"
        ]
      },
      "mapping_role": "exact_pair_direction",
      "mapping_status": "MAPPING_HYPOTHESIS",
      "mapping_provenance": "answer-semantic-adjudication.tsv WITCH vs YOR</x:v>
      </x:c>
    </x:row>
    <x:row r="83">
      <x:c r="A83" s="53" t="str">
        <x:v>Part 3/3</x:v>
      </x:c>
      <x:c r="B83" s="53" t="str">
        <x:v>E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"answer_title": "One engine keeps compounding",
      "prompt": "When an engine organizes your plan, which structure do you want?",
      "observation": "Prefers one central engine that compounds value over time.",
      "deltas": [
        {
          "faction": "WITCH",
          "delta": 1
        },
        {
          "faction": "YORE",
          "delta": -1
        }
      ]
    },
    {
      "question_id": "b1.crucible.ink-witch.v1",
      "answer_id": "b1.crucible.ink-witch.v1.compound",
      "stage": "crucible",
      "construct": "C14",
      "bounded_observation": "Accepts long setup for larger later turns.",
      "signal": "SIG_C14_LONG_SETUP",
      "dependency_group": "DG_C14",
      "evidence_class": "BEHAVIORAL_OBSERVATION",
      "affected_identities": [
        "INK",
        "WITCH"
      ],
      "positive_support": [
        "WITCH"
      ],
      "contradiction": [
        "INK"
      ],
      "neutral": false,
      "mapping_strength": 1,
      "naming_evidence": true,
      "qualification_eligible": true,
      "qualification_support": [
        "WITCH"
      ],
      "naming_support": [
        "WITCH"
      ],
      "naming_rule_ids_by_identity": {
        "WITCH": [
          "baseline_40:b1.crucible.ink-witch.v1.compound:WITCH"
        ]
      },
      "mapping_role": "exact_pair_direction",
      "mapping_status": "MAPPING_HYPOTHESIS",
      "mapping_provenance": "answer-semantic-adjudication.tsv INK vs WITCH evidence-required hypothesis",
      "evidence_provenance": "E-CERTIFIED;E-PLAYER-PACE;E-AUDIT;E-CECOS;E-VOICE",
      "limitation": "Use only after prior independent observations leave the stated competitor boundary plausible; the identity association requires player validation.",
      "behavioral_vs_lens": "behavioral",
      "answer_title": "Let resources accumulate",
      "prompt": "Your deck can influence the game early or keep resources to build toward larger turns. Which timing fits?",
      "observation": "Accepts long setup for larger later turns.",
      "deltas": [
        {
          "faction": "WITCH",
          "delta": 1
        },
        {
          "faction": "INK",
          "delta": -1
        }
      ]
    }
  ],
  "evidence_ledger":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"b1.gate.tempo.v1.burst",
      "stage": "gate",
      "construct": "C04",
      "bounded_observation": "Prefers a concentrated payoff turn.",
      "signal": "SIG_C04_CONCENTRATED",
      "dependency_group": "DG_C04",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"Observation wording and identity association require player validation; no weight is authorized.",
      "behavioral_vs_lens": "behavioral"
    },
    {
      "question_id": "b1.hall.pressure.v1",
      "answer_id": "b1.hall.pressure.v1.abundance",
      "stage": "hall",
      "construct": "C07",
      "bounded_observation": "Prefers abundance-based board pressure rather than one concentrated strike.",
      "signal": "SIG_C07_ABUNDANCE_PRESSURE",
      "dependency_group": "DG_C07",
      "evidence_class": "BEHAVIORAL_OBSERVATION",
      "affected_identities": [
        "NAYA"
      ],
      "positive_support": [
        "NAYA"
      ],
      "contradiction": [],
      "neutral": false,
      "mapping_strength": 1,
      "naming_evidence": true,
      "qualification_eligible": true,
      "qualification_support": [
        "NAYA"
      ],
      "naming_support": [
        "NAYA"
      ],
      "naming_rule_ids_by_identity": {
        "NAYA": [
          "instrument_completion_overlay:b1.hall.pressure.v1.abundance:NAYA"
        ]
      },
      "mapping_role": "completion_boundary_direction",
      "mapping_status": "REMEDIATION_MAPPING_HYPOTHESIS",
      "mapping_provenance": "docs/plans/vm551-gate-b1-instrument-completion/instrument-change-adjudication.tsv#b1.hall.pressure.v1.abundance;docs/audits/vm555-b1-identity-evidence-gap-bridge/identity-evidence-gap-matrix.tsv",
      "evidence_provenance": "E-VM555;E-CERTIFIED;E-CECOS;E-PLAYER-LANGUAGE",
      "limitation": "Board width may be accidental or mechanically efficient rather than identity-relevant.",
      "behavioral_vs_lens": "behavioral"
    },
    {
      "question_id": "b1.hall.setup.v1",
      "answer_id": "b1.hall.setup.v1.long",
      "stage": "hall",
      "construct": "C14",
      "bounded_observation": "Accepts concentrated long development before the main payoff.",
      "signal": "SIG_C14_LONG_SETUP",
      "dependency_group": "DG_C14",
      "evidence_class": "BEHAVIORAL_OBSERVATION",
      "affected_identities": [
        "QUANDRIX",
        "WITCH"
      ],
      "positive_support": [
        "QUANDRIX",
        "WITCH"
      ],
      "contradiction": [],
      "neutral": false,
      "mapping_strength": 0.5,
      "naming_evidence": false,
      "qualification_eligible": true,
      "qualification_support": [
        "QUANDRIX",
        "WITCH"
      ],
      "naming_support": [],
      "naming_rule_ids_by_identity": {},
      "mapping_role": "completion_corroboration_direction",
      "mapping_status": "REMEDIATION_MAPPING_HYPOTHESIS",
      "mapping_provenance": "docs/plans/vm551-gate-b1-instrument-completion/instrument-change-adjudication.tsv#b1.hall.setup.v1.long;docs/audits/vm555-b1-identity-evidence-gap-bridge/identity-evidence-gap-matrix.tsv",
      "evidence_provenance": "E-VM555;E-CERTIFIED;E-CECOS;E-PLAYER-LANGUAGE",
      "limitation": "Budget, card speed, and table power can force a longer horizon.",
      "behavioral_vs_lens": "behavioral"
    },
    {
      "question_id": "b1.hall.engine-shape.v1",
      "answer_id": "b1.hall.engine-shape.v1.central",
      "stage": "hall",
      "construct": "C06",
      "bounded_observation": "Accepts one designed central dependency after revision.",
      "signal": "SIG_C06_CENTRAL",
      "dependency_group": "DG_C06",
      "evidence_class": "BEHAVIORAL_OBSERVATION",
      "affected_identities": [
        "ESPER",
        "QUANDRIX",
        "U"
      ],
      "positive_support": [
        "ESPER",
        "QUANDRIX",
        "U"
      ],
      "contradiction": [],
      "neutral": false,
      "mapping_strength": 0.5,
      "naming_evidence": false,
      "qualification_eligible": true,
      "qualification_support": [
        "ESPER",
        "QUANDRIX",
        "U"
      ],
      "naming_support": [],
      "naming_rule_ids_by_identity": {},
      "mapping_role": "completion_corroboration_direction",
      "mapping_status": "REMEDIATION_MAPPING_HYPOTHESIS",
      "mapping_provenance": "docs/plans/vm551-gate-b1-instrument-completion/instrument-change-adjudication.tsv#b1.hall.engine-shape.v1.central;docs/audits/vm555-b1-identity-evidence-gap-bridge/identity-evidence-gap-matrix.tsv",
      "evidence_provenance": "E-VM555;E-CERTIFIED;E-CECOS;E-PLAYER-LANGUAGE",
      "limitation": "Some decks have a central engine because of card availability or commander design.",
      "behavioral_vs_lens": "behavioral"
    },
    {
      "question_id": "b1.crucible.ug.v1",
      "answer_id": "b1.crucible.ug.v1.adapt",
      "stage": "crucible",
      "construct": "C06",
      "bounded_observation": "Prefers modular overlapping engines.",
      "signal": "SIG_C06_MODULAR",
      "dependency_group": "DG_C06",
      "evidence_class": "BEHAVIORAL_OBSERVATION",
      "affected_identities": [
        "QUANDRIX",
        "UG"
      ],
      "positive_support": [
        "UG"
      ],
      "contradiction": [
        "QUANDRIX"
      ],
      "neutral": false,
      "mapping_strength": 1,
      "naming_evidence": true,
      "qualification_eligible": true,
      "qualification_support": [
        "UG"
      ],
      "naming_support": [
        "UG"
      ],
      "naming_rule_ids_by_identity": {
        "UG": [
          "baseline_40:b1.crucible.ug.v1.adapt:UG"
        ]
      },
      "mapping_role": "exact_pair_direction",
      "mapping_status": "MAPPING_HYPOTHESIS",
      "mapping_provenance": "answer-semantic-adjudication.tsv UG vs QUANDRIX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"question_id": "b1.crucible.witch-yore.v1",
      "answer_id": "b1.crucible.witch-yore.v1.compound",
      "stage": "crucible",
      "construct": "C06",
      "bounded_observation": "Prefers one central engine that compounds value over time.",
      "signal": "SIG_C06_CENTRAL",
      "dependency_group": "DG_C06",
      "evidence_class": "BEHAVIORAL_OBSERVATION",
      "affected_identities": [
        "WITCH",
        "YORE"
      ],
      "positive_support": [
        "WITCH"
      ],
      "contradiction": [
        "YORE"
      ],
      "neutral": false,
      "mapping_strength": 1,
      "naming_evidence": true,
      "qualification_eligible": true,
      "qualification_support": [
        "WITCH"
      ],
      "naming_support": [
        "WITCH"
      ],
      "naming_rule_ids_by_identity": {
        "WITCH": [
          "baseline_40:b1.crucible.witch-yore.v1.compound:WITCH"
        ]
      },
      "mapping_role": "exact_pair_direction",
      "mapping_status": "MAPPING_HYPOTHESIS",
      "mapping_provenance": "answer-semantic-adjudication.tsv WITCH vs YORE evidence-required hypothesis",
      "evidence_provenance": "E-CERTIFIED;E-PLAYER-COMMANDER;E-AUDIT;E-CECOS;E-VOICE",
      "limitation": "Use only after prior independent observations leave the stated competitor boundary plausible; the identity association requires player validation.",
      "behavioral_vs_lens": "behavioral"
    },
    {
      "question_id": "b1.crucible.ink-witch.v1",
      "answer_id": "b1.crucible.ink-witch.v1.compound",
      "stage": "crucible",
      "construct": "C14",
      "bounded_observation": "Accepts long setup for larger later turns.",
      "signal": "SIG_C14_LONG_SETUP",
      "dependency_group": "DG_C14",
      "evidence_class": "BEHAVIORAL_OBSERVATION",
      "affected_identities": [
        "INK",
        "WITCH"
      ],
      "positive_support": [
        "WITCH"
      ],
      "contradiction": [
        "INK"
      ],
      "neutral": false,
      "mapping_strength": 1,
      "naming_evidence": true,
      "qualification_eligible": true,
      "qualification_support": [
        "WITCH"
      ],
      "naming_support": [
        "WITCH"
      ],
      "naming_rule_ids_by_identity": {
        "WITCH": [
          "baseline_40:b1.crucible.ink-witch.v1.compound:WITCH"
        ]
      },
      "mapping_role": "exact_pair_direction",
      "mapping_status": "MAPPING_HYPOTHESIS",
      "mapping_provenance": "answer-semantic-adjudication.tsv INK vs WITCH evidence-required hypothesis",
      "evidence_provenance": "E-CERTIFIED;E-PLAYER-PACE;E-AUDIT;E-CECOS;E-VOICE",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"b1.gate.initiative.v1.unsure",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"b1.gate.tempo.v1.burst",
      "stage": "gate",
      "evidence_class": "BEHAVIORAL_OBSERVATION"
    },
    {
      "question_id": "b1.hall.pressure.v1",
      "answer_id": "b1.hall.pressure.v1.abundance",
      "stage": "hall",
      "evidence_class": "BEHAVIORAL_OBSERVATION"
    },
    {
      "question_id": "b1.hall.setup.v1",
      "answer_id": "b1.hall.setup.v1.long",
      "stage": "hall",
      "evidence_class": "BEHAVIORAL_OBSERVATION"
    },
    {
      "question_id": "b1.hall.engine-shape.v1",
      "answer_id": "b1.hall.engine-shape.v1.central",
      "stage": "hall",
      "evidence_class": "BEHAVIORAL_OBSERVATION"
    },
    {
      "question_id": "b1.crucible.ug.v1",
      "answer_id": "b1.crucible.ug.v1.adapt",
      "stage": "crucible",
      "evidence_class": "BEHAVIORAL_OBSERVATION"
    },
    {
      "question_id": "b1.crucible.witch-yore.v1",
      "answer_id": "b1.crucible.witch-yore.v1.compound",
      "stage": "crucible",
      "evidence_class": "BEHAVIORAL_OBSERVATION"
    },
    {
      "question_id": "b1.crucible.ink-witch.v1",
      "answer_id": "b1.crucible.ink-witch.v1.compound",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40:T40"/>
    <x:mergeCell ref="A80:T80"/>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Yore / Artifice — Engine Trace</x:v>
      </x:c>
      <x:c r="B1" s="3"/>
      <x:c r="C1" s="3"/>
      <x:c r="D1" s="3"/>
      <x:c r="E1" s="3"/>
      <x:c r="F1" s="3"/>
      <x:c r="G1" s="3"/>
      <x:c r="H1" s="3"/>
      <x:c r="I1" s="3"/>
      <x:c r="J1" s="3"/>
      <x:c r="K1" s="3"/>
      <x:c r="L1" s="3"/>
      <x:c r="M1" s="3"/>
      <x:c r="N1" s="3"/>
      <x:c r="O1" s="3"/>
      <x:c r="P1" s="3"/>
      <x:c r="Q1" s="3"/>
      <x:c r="R1" s="3"/>
      <x:c r="S1" s="3"/>
      <x:c r="T1" s="3"/>
    </x:row>
    <x:row r="2" ht="30" customHeight="1">
      <x:c r="A2" s="7" t="str">
        <x:v>ENGINE-YORE • NO_RESULT • insufficient • trace f6645e89489cde4101b4b26ca8bfc7f4fc22034969f1f6954b63e41f9fecba5e</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YORE</x:v>
      </x:c>
    </x:row>
    <x:row r="6">
      <x:c r="A6" s="53" t="str">
        <x:v>Expected public contract</x:v>
      </x:c>
      <x:c r="B6" s="53" t="str">
        <x:v>INTENTIONAL_BOUNDED_STATE</x:v>
      </x:c>
    </x:row>
    <x:row r="7">
      <x:c r="A7" s="53" t="str">
        <x:v>Witness status</x:v>
      </x:c>
      <x:c r="B7" s="53" t="str">
        <x:v>CURRENT_COMPATIBLE</x:v>
      </x:c>
    </x:row>
    <x:row r="8">
      <x:c r="A8" s="53" t="str">
        <x:v>Actual result</x:v>
      </x:c>
      <x:c r="B8" s="53" t="str"/>
    </x:row>
    <x:row r="9">
      <x:c r="A9" s="53" t="str">
        <x:v>Directional result</x:v>
      </x:c>
      <x:c r="B9" s="53" t="str">
        <x:v>UB</x:v>
      </x:c>
    </x:row>
    <x:row r="10">
      <x:c r="A10" s="53" t="str">
        <x:v>Public state</x:v>
      </x:c>
      <x:c r="B10" s="53" t="str">
        <x:v>insufficient</x:v>
      </x:c>
    </x:row>
    <x:row r="11">
      <x:c r="A11" s="53" t="str">
        <x:v>Raw numeric leader</x:v>
      </x:c>
      <x:c r="B11" s="53" t="str">
        <x:v>UB</x:v>
      </x:c>
    </x:row>
    <x:row r="12">
      <x:c r="A12" s="53" t="str">
        <x:v>Raw score</x:v>
      </x:c>
      <x:c r="B12" s="53" t="n">
        <x:v>0.9375</x:v>
      </x:c>
    </x:row>
    <x:row r="13">
      <x:c r="A13" s="53" t="str">
        <x:v>Raw leader qualified</x:v>
      </x:c>
      <x:c r="B13" s="54" t="b">
        <x:v>0</x:v>
      </x:c>
    </x:row>
    <x:row r="14">
      <x:c r="A14" s="53" t="str">
        <x:v>Selected qualified</x:v>
      </x:c>
      <x:c r="B14" s="54" t="b">
        <x:v>0</x:v>
      </x:c>
    </x:row>
    <x:row r="15">
      <x:c r="A15" s="53" t="str">
        <x:v>Frontier</x:v>
      </x:c>
      <x:c r="B15" s="53" t="str"/>
    </x:row>
    <x:row r="16">
      <x:c r="A16" s="53" t="str">
        <x:v>Stop reason</x:v>
      </x:c>
      <x:c r="B16" s="53" t="str">
        <x:v>no_responsible_named_placement</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outputs/01a02cd6-bce7-7832-9558-3075c52f146a/archscry-current-state-2026-08-22/evidence/engine/traces/yore.json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b1.gate.initiative.v1.balance</x:v>
      </x:c>
      <x:c r="G29" s="53" t="str">
        <x:v>Advance with a safeguard</x:v>
      </x:c>
      <x:c r="H29" s="53" t="str">
        <x:v>C01</x:v>
      </x:c>
      <x:c r="I29" s="53" t="str">
        <x:v>SIG_C01_BALANCED</x:v>
      </x:c>
      <x:c r="J29" s="53" t="str">
        <x:v>DG_C01</x:v>
      </x:c>
      <x:c r="K29" s="53" t="str">
        <x:v>BEHAVIORAL_OBSERVATION</x:v>
      </x:c>
      <x:c r="L29" s="53" t="str">
        <x:v>JESKAI</x:v>
      </x:c>
      <x:c r="M29" s="53" t="str"/>
      <x:c r="N29" s="53" t="n">
        <x:v>0.5</x:v>
      </x:c>
      <x:c r="O29" s="54" t="b">
        <x:v>0</x:v>
      </x:c>
      <x:c r="P29" s="53" t="str">
        <x:v>REMEDIATION_MAPPING_HYPOTHESIS</x:v>
      </x:c>
      <x:c r="Q29" s="53" t="str">
        <x:v>Prefers mixed development with bounded response.</x:v>
      </x:c>
      <x:c r="R29" s="53" t="str">
        <x:v>Initiative posture may vary across calm, behind, and disrupted contexts; every C01 response shares DG_C01 and cannot stack.</x:v>
      </x:c>
      <x:c r="S29" s="53" t="str">
        <x:v>JESKAI</x:v>
      </x:c>
      <x:c r="T29" s="53" t="str">
        <x:v>incomplete / minimum_questions / b1.hall.interaction-window.v1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JESKAI</x:v>
      </x:c>
      <x:c r="T30" s="53" t="str">
        <x:v>incomplete / minimum_questions / b1.hall.interaction-window.v1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JESKAI</x:v>
      </x:c>
      <x:c r="T31" s="53" t="str">
        <x:v>incomplete / minimum_questions / b1.hall.interaction-window.v1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JESKAI</x:v>
      </x:c>
      <x:c r="T32" s="53" t="str">
        <x:v>incomplete / minimum_questions / b1.hall.interaction-window.v1</x:v>
      </x:c>
    </x:row>
    <x:row r="33">
      <x:c r="A33" s="53" t="n">
        <x:v>5</x:v>
      </x:c>
      <x:c r="B33" s="53" t="str">
        <x:v>main</x:v>
      </x:c>
      <x:c r="C33" s="53" t="str">
        <x:v>hall</x:v>
      </x:c>
      <x:c r="D33" s="53" t="str">
        <x:v>b1.hall.interaction-window.v1</x:v>
      </x:c>
      <x:c r="E33" s="53" t="str">
        <x:v>An opponent begins a decisive turn, but you do not yet know which card matters most. When do you want your deck to use the card or mana it kept available?</x:v>
      </x:c>
      <x:c r="F33" s="53" t="str">
        <x:v>b1.hall.interaction-window.v1.pressure</x:v>
      </x:c>
      <x:c r="G33" s="53" t="str">
        <x:v>As they commit</x:v>
      </x:c>
      <x:c r="H33" s="53" t="str">
        <x:v>C08</x:v>
      </x:c>
      <x:c r="I33" s="53" t="str">
        <x:v>SIG_C08_COMMIT_WINDOW</x:v>
      </x:c>
      <x:c r="J33" s="53" t="str">
        <x:v>DG_C08</x:v>
      </x:c>
      <x:c r="K33" s="53" t="str">
        <x:v>BEHAVIORAL_OBSERVATION</x:v>
      </x:c>
      <x:c r="L33" s="53" t="str">
        <x:v>GLINT | GRIXIS | UB</x:v>
      </x:c>
      <x:c r="M33" s="53" t="str"/>
      <x:c r="N33" s="53" t="n">
        <x:v>1</x:v>
      </x:c>
      <x:c r="O33" s="54" t="b">
        <x:v>1</x:v>
      </x:c>
      <x:c r="P33" s="53" t="str">
        <x:v>REMEDIATION_MAPPING_HYPOTHESIS</x:v>
      </x:c>
      <x:c r="Q33" s="53" t="str">
        <x:v>Prefers the commitment window where opposing resources are exposed.</x:v>
      </x:c>
      <x:c r="R33" s="53" t="str">
        <x:v>The window may be dictated by rules timing rather than behavioral preference.</x:v>
      </x:c>
      <x:c r="S33" s="53" t="str">
        <x:v>UB</x:v>
      </x:c>
      <x:c r="T33" s="53" t="str">
        <x:v>incomplete / minimum_questions / b1.hall.information-to-plan.v1</x:v>
      </x:c>
    </x:row>
    <x:row r="34">
      <x:c r="A34" s="53" t="n">
        <x:v>6</x:v>
      </x:c>
      <x:c r="B34" s="53" t="str">
        <x:v>main</x:v>
      </x:c>
      <x:c r="C34" s="53" t="str">
        <x:v>hall</x:v>
      </x:c>
      <x:c r="D34" s="53" t="str">
        <x:v>b1.hall.information-to-plan.v1</x:v>
      </x:c>
      <x:c r="E34" s="53" t="str">
        <x:v>A dangerous opposing play has been stopped, and you now have enough cards to choose among several workable plans. What do you most want to do next?</x:v>
      </x:c>
      <x:c r="F34" s="53" t="str">
        <x:v>b1.hall.information-to-plan.v1.exploit</x:v>
      </x:c>
      <x:c r="G34" s="53" t="str">
        <x:v>Use the opening now</x:v>
      </x:c>
      <x:c r="H34" s="53" t="str">
        <x:v>C16</x:v>
      </x:c>
      <x:c r="I34" s="53" t="str">
        <x:v>SIG_C16_EXPLOIT</x:v>
      </x:c>
      <x:c r="J34" s="53" t="str">
        <x:v>DG_C16</x:v>
      </x:c>
      <x:c r="K34" s="53" t="str">
        <x:v>BEHAVIORAL_OBSERVATION</x:v>
      </x:c>
      <x:c r="L34" s="53" t="str">
        <x:v>B | GRIXIS | JESKAI</x:v>
      </x:c>
      <x:c r="M34" s="53" t="str"/>
      <x:c r="N34" s="53" t="n">
        <x:v>0.5</x:v>
      </x:c>
      <x:c r="O34" s="54" t="b">
        <x:v>0</x:v>
      </x:c>
      <x:c r="P34" s="53" t="str">
        <x:v>MAPPING_HYPOTHESIS</x:v>
      </x:c>
      <x:c r="Q34" s="53" t="str">
        <x:v>Prefers to exploit the current opening after gaining information.</x:v>
      </x:c>
      <x:c r="R34" s="53" t="str">
        <x:v>Observation wording and identity association require player validation; no weight is authorized.</x:v>
      </x:c>
      <x:c r="S34" s="53" t="str">
        <x:v>UB</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b1.hall.engine-shape.v1.overlap</x:v>
      </x:c>
      <x:c r="G35" s="53" t="str">
        <x:v>Let smaller engines overlap</x:v>
      </x:c>
      <x:c r="H35" s="53" t="str">
        <x:v>C06</x:v>
      </x:c>
      <x:c r="I35" s="53" t="str">
        <x:v>SIG_C06_MODULAR</x:v>
      </x:c>
      <x:c r="J35" s="53" t="str">
        <x:v>DG_C06</x:v>
      </x:c>
      <x:c r="K35" s="53" t="str">
        <x:v>BEHAVIORAL_OBSERVATION</x:v>
      </x:c>
      <x:c r="L35" s="53" t="str">
        <x:v>BG | UR | WITHERBLOOM</x:v>
      </x:c>
      <x:c r="M35" s="53" t="str"/>
      <x:c r="N35" s="53" t="n">
        <x:v>0.5</x:v>
      </x:c>
      <x:c r="O35" s="54" t="b">
        <x:v>0</x:v>
      </x:c>
      <x:c r="P35" s="53" t="str">
        <x:v>REMEDIATION_MAPPING_HYPOTHESIS</x:v>
      </x:c>
      <x:c r="Q35" s="53" t="str">
        <x:v>Prefers modular engines whose functions overlap.</x:v>
      </x:c>
      <x:c r="R35" s="53" t="str">
        <x:v>Overlapping packages may be required by singleton deck construction.</x:v>
      </x:c>
      <x:c r="S35" s="53" t="str">
        <x:v>UB</x:v>
      </x:c>
      <x:c r="T35" s="53" t="str">
        <x:v>incomplete / useful_evidence_remains / b1.crucible.yore-glint.v1</x:v>
      </x:c>
    </x:row>
    <x:row r="36">
      <x:c r="A36" s="53" t="n">
        <x:v>8</x:v>
      </x:c>
      <x:c r="B36" s="53" t="str">
        <x:v>main</x:v>
      </x:c>
      <x:c r="C36" s="53" t="str">
        <x:v>crucible</x:v>
      </x:c>
      <x:c r="D36" s="53" t="str">
        <x:v>b1.crucible.yore-glint.v1</x:v>
      </x:c>
      <x:c r="E36" s="53" t="str">
        <x:v>When a complex engine starts, how predictable should the next turn be?</x:v>
      </x:c>
      <x:c r="F36" s="53" t="str">
        <x:v>b1.crucible.yore-glint.v1.engineered</x:v>
      </x:c>
      <x:c r="G36" s="53" t="str">
        <x:v>The sequence is repeatable</x:v>
      </x:c>
      <x:c r="H36" s="53" t="str">
        <x:v>C09</x:v>
      </x:c>
      <x:c r="I36" s="53" t="str">
        <x:v>SIG_C09_CONSISTENT</x:v>
      </x:c>
      <x:c r="J36" s="53" t="str">
        <x:v>DG_C09</x:v>
      </x:c>
      <x:c r="K36" s="53" t="str">
        <x:v>BEHAVIORAL_OBSERVATION</x:v>
      </x:c>
      <x:c r="L36" s="53" t="str">
        <x:v>YORE</x:v>
      </x:c>
      <x:c r="M36" s="53" t="str">
        <x:v>GLINT</x:v>
      </x:c>
      <x:c r="N36" s="53" t="n">
        <x:v>1</x:v>
      </x:c>
      <x:c r="O36" s="54" t="b">
        <x:v>0</x:v>
      </x:c>
      <x:c r="P36" s="53" t="str">
        <x:v>MAPPING_HYPOTHESIS</x:v>
      </x:c>
      <x:c r="Q36" s="53" t="str">
        <x:v>Prefers engineered repeatability.</x:v>
      </x:c>
      <x:c r="R36" s="53" t="str">
        <x:v>Use only after prior independent observations leave the stated competitor boundary plausible; the identity association requires player validation.</x:v>
      </x:c>
      <x:c r="S36" s="53" t="str">
        <x:v>UB</x:v>
      </x:c>
      <x:c r="T36" s="53" t="str">
        <x:v>insufficient / no_responsible_named_placement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UB</x:v>
      </x:c>
      <x:c r="C40" s="53" t="str">
        <x:v>House Dimir</x:v>
      </x:c>
      <x:c r="D40" s="53" t="n">
        <x:v>0.9375</x:v>
      </x:c>
      <x:c r="E40" s="54" t="b">
        <x:v>0</x:v>
      </x:c>
      <x:c r="F40" s="53" t="str">
        <x:v>C08</x:v>
      </x:c>
    </x:row>
    <x:row r="41">
      <x:c r="A41" s="53" t="n">
        <x:v>2</x:v>
      </x:c>
      <x:c r="B41" s="53" t="str">
        <x:v>YORE</x:v>
      </x:c>
      <x:c r="C41" s="53" t="str">
        <x:v>Yore / Artifice</x:v>
      </x:c>
      <x:c r="D41" s="53" t="n">
        <x:v>0.916667</x:v>
      </x:c>
      <x:c r="E41" s="54" t="b">
        <x:v>0</x:v>
      </x:c>
      <x:c r="F41" s="53" t="str">
        <x:v>C09</x:v>
      </x:c>
    </x:row>
    <x:row r="42">
      <x:c r="A42" s="53" t="n">
        <x:v>3</x:v>
      </x:c>
      <x:c r="B42" s="53" t="str">
        <x:v>GRIXIS</x:v>
      </x:c>
      <x:c r="C42" s="53" t="str">
        <x:v>Grixis</x:v>
      </x:c>
      <x:c r="D42" s="53" t="n">
        <x:v>0.75</x:v>
      </x:c>
      <x:c r="E42" s="54" t="b">
        <x:v>0</x:v>
      </x:c>
      <x:c r="F42" s="53" t="str">
        <x:v>C08 | C16</x:v>
      </x:c>
    </x:row>
    <x:row r="43">
      <x:c r="A43" s="53" t="n">
        <x:v>4</x:v>
      </x:c>
      <x:c r="B43" s="53" t="str">
        <x:v>JESKAI</x:v>
      </x:c>
      <x:c r="C43" s="53" t="str">
        <x:v>Jeskai Way</x:v>
      </x:c>
      <x:c r="D43" s="53" t="n">
        <x:v>0.625</x:v>
      </x:c>
      <x:c r="E43" s="54" t="b">
        <x:v>0</x:v>
      </x:c>
      <x:c r="F43" s="53" t="str">
        <x:v>C01 | C16</x:v>
      </x:c>
    </x:row>
    <x:row r="44">
      <x:c r="A44" s="53" t="n">
        <x:v>5</x:v>
      </x:c>
      <x:c r="B44" s="53" t="str">
        <x:v>UR</x:v>
      </x:c>
      <x:c r="C44" s="53" t="str">
        <x:v>Izzet League</x:v>
      </x:c>
      <x:c r="D44" s="53" t="n">
        <x:v>0.541667</x:v>
      </x:c>
      <x:c r="E44" s="54" t="b">
        <x:v>0</x:v>
      </x:c>
      <x:c r="F44" s="53" t="str">
        <x:v>C06</x:v>
      </x:c>
    </x:row>
    <x:row r="45">
      <x:c r="A45" s="53" t="n">
        <x:v>6</x:v>
      </x:c>
      <x:c r="B45" s="53" t="str">
        <x:v>B</x:v>
      </x:c>
      <x:c r="C45" s="53" t="str">
        <x:v>Black</x:v>
      </x:c>
      <x:c r="D45" s="53" t="n">
        <x:v>0.5</x:v>
      </x:c>
      <x:c r="E45" s="54" t="b">
        <x:v>0</x:v>
      </x:c>
      <x:c r="F45" s="53" t="str">
        <x:v>C16</x:v>
      </x:c>
    </x:row>
    <x:row r="46">
      <x:c r="A46" s="53" t="n">
        <x:v>7</x:v>
      </x:c>
      <x:c r="B46" s="53" t="str">
        <x:v>BG</x:v>
      </x:c>
      <x:c r="C46" s="53" t="str">
        <x:v>Golgari Swarm</x:v>
      </x:c>
      <x:c r="D46" s="53" t="n">
        <x:v>0.458333</x:v>
      </x:c>
      <x:c r="E46" s="54" t="b">
        <x:v>0</x:v>
      </x:c>
      <x:c r="F46" s="53" t="str">
        <x:v>C06</x:v>
      </x:c>
    </x:row>
    <x:row r="47">
      <x:c r="A47" s="53" t="n">
        <x:v>8</x:v>
      </x:c>
      <x:c r="B47" s="53" t="str">
        <x:v>WITHERBLOOM</x:v>
      </x:c>
      <x:c r="C47" s="53" t="str">
        <x:v>Witherbloom College</x:v>
      </x:c>
      <x:c r="D47" s="53" t="n">
        <x:v>0.458333</x:v>
      </x:c>
      <x:c r="E47" s="54" t="b">
        <x:v>0</x:v>
      </x:c>
      <x:c r="F47" s="53" t="str">
        <x:v>C06</x:v>
      </x:c>
    </x:row>
    <x:row r="48">
      <x:c r="A48" s="53" t="n">
        <x:v>9</x:v>
      </x:c>
      <x:c r="B48" s="53" t="str">
        <x:v>GLINT</x:v>
      </x:c>
      <x:c r="C48" s="53" t="str">
        <x:v>Glint / Chaos</x:v>
      </x:c>
      <x:c r="D48" s="53" t="n">
        <x:v>0.260417</x:v>
      </x:c>
      <x:c r="E48" s="54" t="b">
        <x:v>0</x:v>
      </x:c>
      <x:c r="F48" s="53" t="str">
        <x:v>C08</x:v>
      </x:c>
    </x:row>
    <x:row r="49">
      <x:c r="A49" s="53" t="n">
        <x:v>10</x:v>
      </x:c>
      <x:c r="B49" s="53" t="str">
        <x:v>ESPER</x:v>
      </x:c>
      <x:c r="C49" s="53" t="str">
        <x:v>Esper</x:v>
      </x:c>
      <x:c r="D49" s="53" t="n">
        <x:v>0.25</x:v>
      </x:c>
      <x:c r="E49" s="54" t="b">
        <x:v>0</x:v>
      </x:c>
      <x:c r="F49" s="53" t="str"/>
    </x:row>
    <x:row r="50">
      <x:c r="A50" s="53" t="n">
        <x:v>11</x:v>
      </x:c>
      <x:c r="B50" s="53" t="str">
        <x:v>U</x:v>
      </x:c>
      <x:c r="C50" s="53" t="str">
        <x:v>Blue</x:v>
      </x:c>
      <x:c r="D50" s="53" t="n">
        <x:v>0.25</x:v>
      </x:c>
      <x:c r="E50" s="54" t="b">
        <x:v>0</x:v>
      </x:c>
      <x:c r="F50" s="53" t="str"/>
    </x:row>
    <x:row r="51">
      <x:c r="A51" s="53" t="n">
        <x:v>12</x:v>
      </x:c>
      <x:c r="B51" s="53" t="str">
        <x:v>WU</x:v>
      </x:c>
      <x:c r="C51" s="53" t="str">
        <x:v>Azorius Senate</x:v>
      </x:c>
      <x:c r="D51" s="53" t="n">
        <x:v>0.1875</x:v>
      </x:c>
      <x:c r="E51" s="54" t="b">
        <x:v>0</x:v>
      </x:c>
      <x:c r="F51" s="53" t="str"/>
    </x:row>
    <x:row r="52">
      <x:c r="A52" s="53" t="n">
        <x:v>13</x:v>
      </x:c>
      <x:c r="B52" s="53" t="str">
        <x:v>WITCH</x:v>
      </x:c>
      <x:c r="C52" s="53" t="str">
        <x:v>Witch / Growth</x:v>
      </x:c>
      <x:c r="D52" s="53" t="n">
        <x:v>0.166667</x:v>
      </x:c>
      <x:c r="E52" s="54" t="b">
        <x:v>0</x:v>
      </x:c>
      <x:c r="F52" s="53" t="str"/>
    </x:row>
    <x:row r="53">
      <x:c r="A53" s="53" t="n">
        <x:v>14</x:v>
      </x:c>
      <x:c r="B53" s="53" t="str">
        <x:v>QUANDRIX</x:v>
      </x:c>
      <x:c r="C53" s="53" t="str">
        <x:v>Quandrix College</x:v>
      </x:c>
      <x:c r="D53" s="53" t="n">
        <x:v>0.166667</x:v>
      </x:c>
      <x:c r="E53" s="54" t="b">
        <x:v>0</x:v>
      </x:c>
      <x:c r="F53" s="53" t="str"/>
    </x:row>
    <x:row r="54">
      <x:c r="A54" s="53" t="n">
        <x:v>15</x:v>
      </x:c>
      <x:c r="B54" s="53" t="str">
        <x:v>UG</x:v>
      </x:c>
      <x:c r="C54" s="53" t="str">
        <x:v>Simic Combine</x:v>
      </x:c>
      <x:c r="D54" s="53" t="n">
        <x:v>0.083333</x:v>
      </x:c>
      <x:c r="E54" s="54" t="b">
        <x:v>0</x:v>
      </x:c>
      <x:c r="F54" s="53" t="str"/>
    </x:row>
    <x:row r="55">
      <x:c r="A55" s="53" t="n">
        <x:v>16</x:v>
      </x:c>
      <x:c r="B55" s="53" t="str">
        <x:v>BANT</x:v>
      </x:c>
      <x:c r="C55" s="53" t="str">
        <x:v>Bant</x:v>
      </x:c>
      <x:c r="D55" s="53" t="n">
        <x:v>0.083333</x:v>
      </x:c>
      <x:c r="E55" s="54" t="b">
        <x:v>0</x:v>
      </x:c>
      <x:c r="F55" s="53" t="str"/>
    </x:row>
    <x:row r="56">
      <x:c r="A56" s="53" t="n">
        <x:v>17</x:v>
      </x:c>
      <x:c r="B56" s="53" t="str">
        <x:v>COLORLESS</x:v>
      </x:c>
      <x:c r="C56" s="53" t="str">
        <x:v>Colorless</x:v>
      </x:c>
      <x:c r="D56" s="53" t="n">
        <x:v>0.083333</x:v>
      </x:c>
      <x:c r="E56" s="54" t="b">
        <x:v>0</x:v>
      </x:c>
      <x:c r="F56" s="53" t="str"/>
    </x:row>
    <x:row r="57">
      <x:c r="A57" s="53" t="n">
        <x:v>18</x:v>
      </x:c>
      <x:c r="B57" s="53" t="str">
        <x:v>JUND</x:v>
      </x:c>
      <x:c r="C57" s="53" t="str">
        <x:v>Jund</x:v>
      </x:c>
      <x:c r="D57" s="53" t="n">
        <x:v>0.083333</x:v>
      </x:c>
      <x:c r="E57" s="54" t="b">
        <x:v>0</x:v>
      </x:c>
      <x:c r="F57" s="53" t="str"/>
    </x:row>
    <x:row r="58">
      <x:c r="A58" s="53" t="n">
        <x:v>19</x:v>
      </x:c>
      <x:c r="B58" s="53" t="str">
        <x:v>LOREHOLD</x:v>
      </x:c>
      <x:c r="C58" s="53" t="str">
        <x:v>Lorehold College</x:v>
      </x:c>
      <x:c r="D58" s="53" t="n">
        <x:v>0.083333</x:v>
      </x:c>
      <x:c r="E58" s="54" t="b">
        <x:v>0</x:v>
      </x:c>
      <x:c r="F58" s="53" t="str"/>
    </x:row>
    <x:row r="59">
      <x:c r="A59" s="53" t="n">
        <x:v>20</x:v>
      </x:c>
      <x:c r="B59" s="53" t="str">
        <x:v>MARDU</x:v>
      </x:c>
      <x:c r="C59" s="53" t="str">
        <x:v>Mardu Horde</x:v>
      </x:c>
      <x:c r="D59" s="53" t="n">
        <x:v>0.083333</x:v>
      </x:c>
      <x:c r="E59" s="54" t="b">
        <x:v>0</x:v>
      </x:c>
      <x:c r="F59" s="53" t="str"/>
    </x:row>
    <x:row r="60">
      <x:c r="A60" s="53" t="n">
        <x:v>21</x:v>
      </x:c>
      <x:c r="B60" s="53" t="str">
        <x:v>R</x:v>
      </x:c>
      <x:c r="C60" s="53" t="str">
        <x:v>Red</x:v>
      </x:c>
      <x:c r="D60" s="53" t="n">
        <x:v>0.083333</x:v>
      </x:c>
      <x:c r="E60" s="54" t="b">
        <x:v>0</x:v>
      </x:c>
      <x:c r="F60" s="53" t="str"/>
    </x:row>
    <x:row r="61">
      <x:c r="A61" s="53" t="n">
        <x:v>22</x:v>
      </x:c>
      <x:c r="B61" s="53" t="str">
        <x:v>RG</x:v>
      </x:c>
      <x:c r="C61" s="53" t="str">
        <x:v>Gruul Clans</x:v>
      </x:c>
      <x:c r="D61" s="53" t="n">
        <x:v>0.083333</x:v>
      </x:c>
      <x:c r="E61" s="54" t="b">
        <x:v>0</x:v>
      </x:c>
      <x:c r="F61" s="53" t="str"/>
    </x:row>
    <x:row r="62">
      <x:c r="A62" s="53" t="n">
        <x:v>23</x:v>
      </x:c>
      <x:c r="B62" s="53" t="str">
        <x:v>SULTAI</x:v>
      </x:c>
      <x:c r="C62" s="53" t="str">
        <x:v>Sultai Brood</x:v>
      </x:c>
      <x:c r="D62" s="53" t="n">
        <x:v>0.083333</x:v>
      </x:c>
      <x:c r="E62" s="54" t="b">
        <x:v>0</x:v>
      </x:c>
      <x:c r="F62" s="53" t="str"/>
    </x:row>
    <x:row r="63">
      <x:c r="A63" s="53" t="n">
        <x:v>24</x:v>
      </x:c>
      <x:c r="B63" s="53" t="str">
        <x:v>TEMUR</x:v>
      </x:c>
      <x:c r="C63" s="53" t="str">
        <x:v>Temur Frontier</x:v>
      </x:c>
      <x:c r="D63" s="53" t="n">
        <x:v>0.083333</x:v>
      </x:c>
      <x:c r="E63" s="54" t="b">
        <x:v>0</x:v>
      </x:c>
      <x:c r="F63" s="53" t="str"/>
    </x:row>
    <x:row r="64">
      <x:c r="A64" s="53" t="n">
        <x:v>25</x:v>
      </x:c>
      <x:c r="B64" s="53" t="str">
        <x:v>WB</x:v>
      </x:c>
      <x:c r="C64" s="53" t="str">
        <x:v>Orzhov Syndicate</x:v>
      </x:c>
      <x:c r="D64" s="53" t="n">
        <x:v>0.083333</x:v>
      </x:c>
      <x:c r="E64" s="54" t="b">
        <x:v>0</x:v>
      </x:c>
      <x:c r="F64" s="53" t="str"/>
    </x:row>
    <x:row r="65">
      <x:c r="A65" s="53" t="n">
        <x:v>26</x:v>
      </x:c>
      <x:c r="B65" s="53" t="str">
        <x:v>WR</x:v>
      </x:c>
      <x:c r="C65" s="53" t="str">
        <x:v>Boros Legion</x:v>
      </x:c>
      <x:c r="D65" s="53" t="n">
        <x:v>0.083333</x:v>
      </x:c>
      <x:c r="E65" s="54" t="b">
        <x:v>0</x:v>
      </x:c>
      <x:c r="F65" s="53" t="str"/>
    </x:row>
    <x:row r="66">
      <x:c r="A66" s="53" t="n">
        <x:v>27</x:v>
      </x:c>
      <x:c r="B66" s="53" t="str">
        <x:v>WUBRG</x:v>
      </x:c>
      <x:c r="C66" s="53" t="str">
        <x:v>Five-Color / WUBRG</x:v>
      </x:c>
      <x:c r="D66" s="53" t="n">
        <x:v>0.083333</x:v>
      </x:c>
      <x:c r="E66" s="54" t="b">
        <x:v>0</x:v>
      </x:c>
      <x:c r="F66" s="53" t="str"/>
    </x:row>
    <x:row r="67">
      <x:c r="A67" s="53" t="n">
        <x:v>28</x:v>
      </x:c>
      <x:c r="B67" s="53" t="str">
        <x:v>ABZAN</x:v>
      </x:c>
      <x:c r="C67" s="53" t="str">
        <x:v>Abzan Houses</x:v>
      </x:c>
      <x:c r="D67" s="53" t="n">
        <x:v>0</x:v>
      </x:c>
      <x:c r="E67" s="54" t="b">
        <x:v>0</x:v>
      </x:c>
      <x:c r="F67" s="53" t="str"/>
    </x:row>
    <x:row r="68">
      <x:c r="A68" s="53" t="n">
        <x:v>29</x:v>
      </x:c>
      <x:c r="B68" s="53" t="str">
        <x:v>BR</x:v>
      </x:c>
      <x:c r="C68" s="53" t="str">
        <x:v>Cult of Rakdos</x:v>
      </x:c>
      <x:c r="D68" s="53" t="n">
        <x:v>0</x:v>
      </x:c>
      <x:c r="E68" s="54" t="b">
        <x:v>0</x:v>
      </x:c>
      <x:c r="F68" s="53" t="str"/>
    </x:row>
    <x:row r="69">
      <x:c r="A69" s="53" t="n">
        <x:v>30</x:v>
      </x:c>
      <x:c r="B69" s="53" t="str">
        <x:v>DUNE</x:v>
      </x:c>
      <x:c r="C69" s="53" t="str">
        <x:v>Dune / Aggression</x:v>
      </x:c>
      <x:c r="D69" s="53" t="n">
        <x:v>0</x:v>
      </x:c>
      <x:c r="E69" s="54" t="b">
        <x:v>0</x:v>
      </x:c>
      <x:c r="F69" s="53" t="str"/>
    </x:row>
    <x:row r="70">
      <x:c r="A70" s="53" t="n">
        <x:v>31</x:v>
      </x:c>
      <x:c r="B70" s="53" t="str">
        <x:v>G</x:v>
      </x:c>
      <x:c r="C70" s="53" t="str">
        <x:v>Green</x:v>
      </x:c>
      <x:c r="D70" s="53" t="n">
        <x:v>0</x:v>
      </x:c>
      <x:c r="E70" s="54" t="b">
        <x:v>0</x:v>
      </x:c>
      <x:c r="F70" s="53" t="str"/>
    </x:row>
    <x:row r="71">
      <x:c r="A71" s="53" t="n">
        <x:v>32</x:v>
      </x:c>
      <x:c r="B71" s="53" t="str">
        <x:v>INK</x:v>
      </x:c>
      <x:c r="C71" s="53" t="str">
        <x:v>Ink / Altruism</x:v>
      </x:c>
      <x:c r="D71" s="53" t="n">
        <x:v>0</x:v>
      </x:c>
      <x:c r="E71" s="54" t="b">
        <x:v>0</x:v>
      </x:c>
      <x:c r="F71" s="53" t="str"/>
    </x:row>
    <x:row r="72">
      <x:c r="A72" s="53" t="n">
        <x:v>33</x:v>
      </x:c>
      <x:c r="B72" s="53" t="str">
        <x:v>NAYA</x:v>
      </x:c>
      <x:c r="C72" s="53" t="str">
        <x:v>Naya</x:v>
      </x:c>
      <x:c r="D72" s="53" t="n">
        <x:v>0</x:v>
      </x:c>
      <x:c r="E72" s="54" t="b">
        <x:v>0</x:v>
      </x:c>
      <x:c r="F72" s="53" t="str"/>
    </x:row>
    <x:row r="73">
      <x:c r="A73" s="53" t="n">
        <x:v>34</x:v>
      </x:c>
      <x:c r="B73" s="53" t="str">
        <x:v>PRISMARI</x:v>
      </x:c>
      <x:c r="C73" s="53" t="str">
        <x:v>Prismari College</x:v>
      </x:c>
      <x:c r="D73" s="53" t="n">
        <x:v>0</x:v>
      </x:c>
      <x:c r="E73" s="54" t="b">
        <x:v>0</x:v>
      </x:c>
      <x:c r="F73" s="53" t="str"/>
    </x:row>
    <x:row r="74">
      <x:c r="A74" s="53" t="n">
        <x:v>35</x:v>
      </x:c>
      <x:c r="B74" s="53" t="str">
        <x:v>SILVERQUILL</x:v>
      </x:c>
      <x:c r="C74" s="53" t="str">
        <x:v>Silverquill College</x:v>
      </x:c>
      <x:c r="D74" s="53" t="n">
        <x:v>0</x:v>
      </x:c>
      <x:c r="E74" s="54" t="b">
        <x:v>0</x:v>
      </x:c>
      <x:c r="F74" s="53" t="str"/>
    </x:row>
    <x:row r="75">
      <x:c r="A75" s="53" t="n">
        <x:v>36</x:v>
      </x:c>
      <x:c r="B75" s="53" t="str">
        <x:v>W</x:v>
      </x:c>
      <x:c r="C75" s="53" t="str">
        <x:v>White</x:v>
      </x:c>
      <x:c r="D75" s="53" t="n">
        <x:v>0</x:v>
      </x:c>
      <x:c r="E75" s="54" t="b">
        <x:v>0</x:v>
      </x:c>
      <x:c r="F75" s="53" t="str"/>
    </x:row>
    <x:row r="76">
      <x:c r="A76" s="53" t="n">
        <x:v>37</x:v>
      </x:c>
      <x:c r="B76" s="53" t="str">
        <x:v>WG</x:v>
      </x:c>
      <x:c r="C76" s="53" t="str">
        <x:v>Selesnya Conclave</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"UB",
  "faction_name": "House Dimir",
  "institution_type": "guild",
  "world": "Ravnica",
  "identity": {
    "core_color": "U",
    "secondary_colors": [
      "B"
    ],
    "secondary_color": "B",
    "expression_key": "UB",
    "expression_name": "House Dimir",
    "expression_kind": "guild",
    "purity": null,
    "routing": {
      "edhrec_slug": "dimir",
      "mtgdecks_slug": "dimir",
      "label": "Dimir"
    }
  },
  "decree": "The approved observations do not support a more certain public claim.",
  "confidence": 0.048,
  "confidence_gap": 1,
  "mana_scores": {
    "W": 9,
    "U": 10,
    "B": 10,
    "R": 9,
    "G": 8
  },
  "top_matches": [],
  "adjacent_matches": [],
  "internal_candidate_order": [
    {
      "identity": "UB",
      "score": 0.9375,
      "positive_dependencies": 1,
      "qualification_dependencies": 1,
      "naming_dependencies": 1,
      "positive_constructs": [
        "C08"
      ],
      "satisfied_naming_rule_ids": [
        "instrument_completion_overlay:b1.hall.interaction-window.v1.pressure:UB"
      ],
      "naming_qualification": {
        "identity": "UB",
        "qualified": false,
        "satisfied_naming_rule_ids": [
          "instrument_completion_overlay:b1.hall.interaction-window.v1.pressure:UB"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"C08",
        "C16"
      ]
    },
    {
      "identity": "YORE",
      "score": 0.916667,
      "positive_dependencies": 1,
      "qualification_dependencies": 1,
      "naming_dependencies": 0,
      "positive_constructs": [
        "C09"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"C09"
      ]
    },
    {
      "identity": "GRIXIS",
      "score": 0.75,
      "positive_dependencies": 2,
      "qualification_dependencies": 2,
      "naming_dependencies": 0,
      "positive_constructs": [
        "C08",
        "C16"
      ],
      "satisfied_naming_rule_ids": [],
      "naming_qualification": {
        "identity": "GRIXIS",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"C16"
      ]
    },
    {
      "identity": "JESKAI",
      "score": 0.625,
      "positive_dependencies": 2,
      "qualification_dependencies": 2,
      "naming_dependencies": 0,
      "positive_constructs": [
        "C01",
        "C16"
      ],
      "satisfied_naming_rule_ids": [],
      "naming_qualification": {
        "identity": "JESKAI",
        "qualified": false,
        "satisfied_naming_rule_ids": [],
        "requirements": {
          "behaviorally_observable": true,
          "approved_naming_rule": false,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"C08",
        "C09",
        "C16"
      ]
    },
    {
      "identity": "UR",
      "score": 0.541667,
      "positive_dependencies": 1,
      "qualification_dependencies": 1,
      "naming_dependencies": 0,
      "positive_constructs": [
        "C06"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"C09"
      ]
    },
    {
      "identity": "B",
      "score": 0.5,
      "positive_dependencies": 1,
      "qualification_dependencies": 1,
      "naming_dependencies": 0,
      "positive_constructs": [
        "C16"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"C09",
        "C16"
      ]
    },
    {
      "identity": "BG",
      "score": 0.458333,
      "positive_dependencies": 1,
      "qualification_dependencies": 1,
      "naming_dependencies": 0,
      "positive_constructs": [
        "C06"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0.458333,
      "positive_dependencies": 1,
      "qualification_dependencies": 1,
      "naming_dependencies": 0,
      "positive_constructs": [
        "C06"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0.260417,
      "positive_dependencies": 1,
      "qualification_dependencies": 1,
      "naming_dependencies": 0,
      "positive_constructs": [
        "C08"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"C01",
        "C09"
      ]
    },
    {
      "identity": "ESPER",
      "score": 0.25,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"C08",
        "C09",
        "C16"
      ]
    },
    {
      "identity": "U",
      "score": 0.25,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"C08",
        "C16"
      ]
    },
    {
      "identity": "WU",
      "score": 0.1875,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"C08",
        "C09",
        "C16"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"C09"
      ]
    },
    {
      "identity": "QUANDRIX",
      "score": 0.166667,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"C09"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"BANT",
      "score": 0.083333,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"C09"
      ]
    },
    {
      "identity": "COLORLESS",
      "score": 0.083333,
      "positive_dependencies": 0,
      "qualification_dependencies": 0,
      "naming_dependencies": 0,
      "positive_constructs":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"JUND",
      "score": 0.083333,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"LOREHOLD",
      "score": 0.083333,
      "positive_dependencies": 0,
      "qualification_dependencies": 0,
      "naming_dependencies": 0,
      "positive_constructs":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"RG",
      "score": 0.083333,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0.083333,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"C09"
      ]
    },
    {
      "identity": "WR",
      "score": 0.083333,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"WUBRG",
      "score": 0.083333,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"C09"
      ]
    },
    {
      "identity": "ABZAN",
      "score": 0,
      "positi</x:v>
      </x:c>
    </x:row>
    <x:row r="80">
      <x:c r="A80" s="53" t="str">
        <x:v>Part 2/3</x:v>
      </x:c>
      <x:c r="B80" s="53" t="str">
        <x:v>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"DUNE",
      "score": 0,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"INK",
      "score": 0,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"SILVERQUILL",
      "score": 0,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
      "score": 0,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"WG",
      "score": 0,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"UB",
    "YORE",
    "GRIXIS"
  ],
  "alternatives": [],
  "refinement": {
    "kind": "ask_targeted_question",
    "can_reduce_ambiguity": true,
    "remaining_candidates": [
      "UB",
      "YORE",
      "GRIXIS",
      "JESKAI",
      "UR",
      "B",
      "BG",
      "WITHERBLOOM"
    ],
    "unresolved_boundaries": [
      {
        "pair_id": "B__UB",
        "identities": [
          "B",
          "UB"
        ],
        "distinction": "B uses Resource sacrifice evidence; UB uses Resource visibility evidence. No direct pair claim is made.",
        "question_ids": [
          "b1.hall.sacrifice.v1",
          "b1.gate.visibility.v1",
          "b1.crucible.mono-multi.v1",
          "b1.hall.information-to-plan.v1",
          "b1.hall.engine-shape.v1",
          "b1.hall.interaction-window.v1",
          "b1.crucible.disruption-boundary.v1"
        ],
        "coverage_status": "DIRECT-OR-STRUCTURAL-MAPPING-HYPOTHESIS; bounded player validation required"
      },
      {
        "pair_id": "B__WITHERBLOOM",
        "identities": [
          "B",
          "WITHERBLOOM"
        ],
        "distinction": "B uses Threat posture evidence; WITHERBLOOM uses Engine concentration evidence. No direct pair claim is made.",
        "question_ids": [
          "b1.hall.threat.v1",
          "b1.hall.engine-shape.v1",
          "b1.crucible.mono-multi.v1",
          "b1.hall.information-to-plan.v1",
          "b1.crucible.bg.v1",
          "b1.hall.sacrifice.v1",
          "b1.hall.setup.v1",
          "b1.crucible.disruption-boundary.v1"
        ],
        "coverage_status": "DIRECT-OR-STRUCTURAL-MAPPING-HYPOTHESIS; bounded player validation required"
      },
      {
        "pair_id": "B__YORE",
        "identities": [
          "B",
          "YORE"
        ],
        "distinction": "B uses Threat posture evidence; YORE uses Engine concentration evidence. No direct pair claim is made.",
        "question_ids": [
          "b1.hall.threat.v1",
          "b1.hall.engine-shape.v1",
          "b1.crucible.mono-multi.v1",
          "b1.hall.information-to-plan.v1",
          "b1.crucible.yore-glint.v1",
          "b1.crucible.witch-yore.v1",
          "b1.hall.sacrifice.v1",
          "b1.crucible.disruption-boundary.v1"
        ],
        "coverage_status": "DIRECT-OR-STRUCTURAL-MAPPING-HYPOTHESIS; bounded player validation required"
      },
      {
        "pair_id": "BG__WITHERBLOOM",
        "identities": [
          "BG",
          "WITHERBLOOM"
        ],
        "distinction": "Direct scenario tests one bounded Commander behavior.",
        "question_ids": [
          "b1.crucible.bg.v1",
          "b1.crucible.disruption-boundary.v1"
        ],
        "coverage_status": "DIRECT-OR-STRUCTURAL-MAPPING-HYPOTHESIS; bounded player validation required"
      },
      {
        "pair_id": "GRIXIS__JESKAI",
        "identities": [
          "GRIXIS",
          "JESKAI"
        ],
        "distinction": "GRIXIS uses Resource sacrifice evidence; JESKAI uses Mana commitment and interaction window evidence. No direct pair claim is made.",
        "question_ids": [
          "b1.hall.sacrifice.v1",
          "b1.hall.interaction-window.v1",
          "b1.crucible.mono-multi.v1",
          "b1.crucible.grixis.v1",
          "b1.crucible.jeskai.v1",
          "b1.crucible.disruption-boundary.v1",
          "b1.gate.initiative.v1"
        ],
        "coverage_status": "DIRECT-OR-STRUCTURAL-MAPPING-HYPOTHESIS; bounded player validation required"
      },
      {
        "pair_id": "JESKAI__UR",
        "identities": [
          "JESKAI",
          "UR"
        ],
        "distinction": "JESKAI uses Mana commitment and interaction window evidence; UR uses Engine concentration evidence. No direct pair claim is made.",
        "question_ids": [
          "b1.hall.interaction-window.v1",
          "b1.hall.engine-shape.v1",
          "b1.crucible.mono-multi.v1",
          "b1.hall.information-to-plan.v1",
          "b1.crucible.ur.v1",
          "b1.crucible.jeskai.v1",
          "b1.hall.pressure.v1",
          "b1.gate.initiative.v1"
        ],
        "coverage_status": "DIRECT-OR-STRUCTURAL-MAPPING-HYPOTHESIS; bounded player validation required"
      },
      {
        "pair_id": "UB__YORE",
        "identities": [
          "UB",
          "YORE"
        ],
        "distinction": "UB uses Resource visibility evidence; YORE uses Engine concentration evidence. No direct pair claim is made.",
        "question_ids": [
          "b1.gate.visibility.v1",
          "b1.hall.engine-shape.v1",
          "b1.crucible.mono-multi.v1",
          "b1.hall.information-to-plan.v1",
          "b1.crucible.yore-glint.v1",
          "b1.crucible.witch-yore.v1",
          "b1.hall.interaction-window.v1"
        ],
        "coverage_status": "DIRECT-OR-STRUCTURAL-MAPPING-HYPOTHESIS; bounded player validation required"
      },
      {
        "pair_id": "UR__YORE",
        "identities": [
          "UR",
          "YORE"
        ],
        "distinction": "UR uses Advantage tempo evidence; YORE uses Resource sacrifice evidence. No direct pair claim is made.",
        "question_ids": [
          "b1.gate.tempo.v1",
          "b1.hall.sacrifice.v1",
          "b1.crucible.mono-multi.v1",
          "b1.crucible.ur.v1",
          "b1.crucible.yore-glint.v1",
          "b1.crucible.witch-yore.v1",
          "b1.hall.pressure.v1",
          "b1.hall.engine-shape.v1",
          "b1.hall.interaction-window.v1"
        ],
        "coverage_status": "DIRECT-OR-STRUCTURAL-MAPPING-HYPOTHESIS; bounded player validation required"
      }
    ],
    "missing_constructs": [
      "C03",
      "C04",
      "C11",
      "C12"
    ],
    "question_id": "b1.crucible.bg.v1",
    "question_stage": "crucible",
    "purpose": "separate_supported_pair",
    "target_identities": [
      "UB",
      "BG"
    ],
    "target_pair_ids": [
      "BG__UB",
      "UB__WITHERBLOOM",
      "BG__YORE",
      "WITHERBLOOM__YORE",
      "BG__GRIXIS",
      "GRIXIS__WITHERBLOOM",
      "BG__JESKAI",
      "JESKAI__WITHERBLOOM",
      "BG__UR",
      "UR__WITHERBLOOM",
      "B__BG",
      "B__WITHERBLOOM",
      "BG__WITHERBLOOM"
    ],
    "distinction": "One question about resource sacrifice can separate the remaining supported directions.",
    "revisit": null,
    "limitation": "This optional refinement asks one unused approved discriminator, then immediately returns to the result. It does not extend the eight-question main journey."
  },
  "stopping": {
    "stop": true,
    "state": "insufficient",
    "reason": "no_responsible_named_placement",
    "can_improve": false,
    "next_question_id": null
  },
  "starter_profile": {
    "format_interest": "commander",
    "budget_band": "mid",
    "experience_level": "returning"
  },
  "evidence_trail":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"answer_title": "Advance with a safeguard",
      "prompt": "Your turn begins, no urgent threat needs an answer, and you have enough mana to act. What feels best?",
      "observation": "Prefers mixed development with bounded response.",
      "deltas": [
        {
          "faction": "JESKAI",
          "delta": 0.5
        }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"answer_title": "As they commit",
      "prompt": "An opponent begins a decisive turn, but you do not yet know which card matters most. When do you want your deck to use the card or mana it kept available?",
      "observation": "Prefers the commitment window where opposing resources are exposed.",
      "deltas": [
        {
          "faction": "GLINT",
          "delta": 1
        },
        {
          "faction": "GRIXIS",
          "delta": 1
        },
        {
          "faction": "UB",
          "delta": 1
        }
      ]
    },
    {
      "question_id": "b1.hall.information-to-plan.v1",
      "answer_id": "b1.hall.information-to-plan.v1.exploit",
      "stage": "hall",
      "construct": "C16",
      "bounded_observation": "Prefers to exploit the current opening after gaining information.",
      "signal": "SIG_C16_EXPLOIT",
      "dependency_group": "DG_C16",
      "evidence_class": "BEHAVIORAL_OBSERVATION",
      "affected_identities": [
        "B",
        "GRIXIS",
        "JESKAI"
      ],
      "positive_support": [
        "B",
        "GRIXIS",
        "JESKAI"
      ],
      "contradiction": [],
      "neutral": false,
      "mapping_strength": 0.5,
      "naming_evidence": false,
      "qualification_eligible": true,
      "qualification_support": [
        "B",
        "GRIXIS",
        "JESKAI"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"answer_title": "Use the opening now",
      "prompt": "A dangerous opposing play has been stopped, and you now have enough cards to choose among several workable plans. What do you most want to do next?",
      "observation": "Prefers to exploit the current opening after gaining information.",
      "deltas": [
        {
          "faction": "B",
          "delta": 0.5
        },
        {
          "faction": "GRIXIS",
          "delta": 0.5
        },
        {
          "faction": "JESKAI",
          "delta": 0.5
        }
      ]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"answer_title": "Let smaller engines overlap",
      "prompt": "Opponents have learned how to stop your main engine. When you revise the deck, what structure do you want next?",
      "observation": "Prefers modular engines whose functions overlap.",
      "deltas": [
        {
          "faction": "BG",
          "delta": 0.5
        },
        {
          "faction": "UR",
          "delta": 0.5
        },
        {
          "faction": "WITHERBLOOM",
          "delta": 0.5
    </x:v>
      </x:c>
    </x:row>
    <x:row r="81">
      <x:c r="A81" s="53" t="str">
        <x:v>Part 3/3</x:v>
      </x:c>
      <x:c r="B81" s="53" t="str">
        <x:v>    }
      ]
    },
    {
      "question_id": "b1.crucible.yore-glint.v1",
      "answer_id": "b1.crucible.yore-glint.v1.engineered",
      "stage": "crucible",
      "construct": "C09",
      "bounded_observation": "Prefers engineered repeatability.",
      "signal": "SIG_C09_CONSISTENT",
      "dependency_group": "DG_C09",
      "evidence_class": "BEHAVIORAL_OBSERVATION",
      "affected_identities": [
        "GLINT",
        "YORE"
      ],
      "positive_support": [
        "YORE"
      ],
      "contradiction": [
        "GLINT"
      ],
      "neutral": false,
      "mapping_strength": 1,
      "naming_evidence": false,
      "qualification_eligible": true,
      "qualification_support": [
        "YORE"
      ],
      "naming_support": [],
      "naming_rule_ids_by_identity": {},
      "mapping_role": "approximate_not_cleanly_observable",
      "mapping_status": "MAPPING_HYPOTHESIS",
      "mapping_provenance": "Yore/Glint C09 hypothesis; Yore remains NOT_CLEANLY_OBSERVABLE",
      "evidence_provenance": "E-CERTIFIED;E-PLAYER-VARIANCE;E-AUDIT;E-CECOS;E-VOICE",
      "limitation": "Use only after prior independent observations leave the stated competitor boundary plausible; the identity association requires player validation.",
      "behavioral_vs_lens": "behavioral",
      "answer_title": "The sequence is repeatable",
      "prompt": "When a complex engine starts, how predictable should the next turn be?",
      "observation": "Prefers engineered repeatability.",
      "deltas": [
        {
          "faction": "YORE",
          "delta": 1
        },
        {
          "faction": "GLINT",
          "delta": -1
        }
      ]
    }
  ],
  "evidence_ledger": [
    {
      "question_id": "b1.gate.initiative.v1",
      "answer_id": "b1.gate.initiative.v1.balance",
      "stage": "gate",
      "construct": "C01",
      "bounded_observation": "Prefers mixed development with bounded response.",
      "signal": "SIG_C01_BALANCED",
      "dependency_group": "DG_C01",
      "evidence_class": "BEHAVIORAL_OBSERVATION",
      "affected_identities": [
        "JESKAI"
      ],
      "positive_support": [
        "JESKAI"
      ],
      "contradiction": [],
      "neutral": false,
      "mapping_strength": 0.5,
      "naming_evidence": false,
      "qualification_eligible": true,
      "qualification_support": [
        "JESKAI"
      ],
      "naming_support": [],
      "naming_rule_ids_by_identity": {},
      "mapping_role": "completion_corroboration_direction",
      "mapping_status": "REMEDIATION_MAPPING_HYPOTHESIS",
      "mapping_provenance": "docs/plans/vm551-gate-b1-instrument-completion/instrument-change-adjudication.tsv#b1.gate.initiative.v1.balance;docs/audits/vm555-b1-identity-evidence-gap-bridge/identity-evidence-gap-matrix.tsv",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"b1.hall.interaction-window.v1",
      "answer_id": "b1.hall.interaction-window.v1.pressure",
      "stage": "hall",
      "construct": "C08",
      "bounded_observation": "Prefers the commitment window where opposing resources are exposed.",
      "signal": "SIG_C08_COMMIT_WINDOW",
      "dependency_group": "DG_C08",
      "evidence_class": "BEHAVIORAL_OBSERVATION",
      "affected_identities": [
        "GLINT",
        "GRIXIS",
        "UB"
      ],
      "positive_support": [
        "GLINT",
        "GRIXIS",
        "UB"
      ],
      "contradiction": [],
      "neutral": false,
      "mapping_strength": 1,
      "naming_evidence": true,
      "qualification_eligible": true,
      "qualification_support": [
        "GLINT",
        "GRIXIS",
        "UB"
      ],
      "naming_support": [
        "UB"
      ],
      "naming_rule_ids_by_identity": {
        "UB": [
          "instrument_completion_overlay:b1.hall.interaction-window.v1.pressure:UB"
        ]
      },
      "mapping_role": "completion_boundary_direction",
      "mapping_status": "REMEDIATION_MAPPING_HYPOTHESIS",
      "mapping_provenance": "docs/plans/vm551-gate-b1-instrument-completion/instrument-change-adjudication.tsv#b1.hall.interaction-window.v1.pressure;docs/audits/vm555-b1-identity-evidence-gap-bridge/identity-evidence-gap-matrix.tsv",
      "evidence_provenance": "E-VM555;E-CERTIFIED;E-CECOS;E-PLAYER-LANGUAGE",
      "limitation": "The window may be dictated by rules timing rather than behavioral preference.",
      "behavioral_vs_lens": "behavioral"
    },
    {
      "question_id": "b1.hall.information-to-plan.v1",
      "answer_id": "b1.hall.information-to-plan.v1.exploit",
      "stage": "hall",
      "construct": "C16",
      "bounded_observation": "Prefers to exploit the current opening after gaining information.",
      "signal": "SIG_C16_EXPLOIT",
      "dependency_group": "DG_C16",
      "evidence_class": "BEHAVIORAL_OBSERVATION",
      "affected_identities": [
        "B",
        "GRIXIS",
        "JESKAI"
      ],
      "positive_support": [
        "B",
        "GRIXIS",
        "JESKAI"
      ],
      "contradiction": [],
      "neutral": false,
      "mapping_strength": 0.5,
      "naming_evidence": false,
      "qualification_eligible": true,
      "qualification_support": [
        "B",
        "GRIXIS",
        "JESKAI"
      ],
      "naming_support": [],
      "naming_rule_ids_by_identity": {},
      "mapping_role": "cross_identity_direction",
      "mapping_status": "MAPPING_HYPOTHESIS",
      "mapping_provenance": "answer-semantic-adjudication.tsv C16 evidence-required hypothesis; final-b1-architecture-decision.md",
      "evidence_provenance": "E-CERTIFIED;E-PLAYER-PACE;E-PLAYER-THREAT;E-PLAYER-VARIANCE;E-CECOS;E-VOICE",
      "limitation": "Observation wording and identity association require player validation; no weight is authorized.",
      "behavioral_vs_lens": "behavioral"
    },
    {
      "question_id": "b1.hall.engine-shape.v1",
      "answer_id": "b1.hall.engine-shape.v1.overlap",
      "stage": "hall",
      "construct": "C06",
      "bounded_observation": "Prefers modular engines whose functions overlap.",
      "signal": "SIG_C06_MODULAR",
      "dependency_group": "DG_C06",
      "evidence_class": "BEHAVIORAL_OBSERVATION",
      "affected_identities": [
        "BG",
        "UR",
        "WITHERBLOOM"
      ],
      "positive_support": [
        "BG",
        "UR",
        "WITHERBLOOM"
      ],
      "contradiction": [],
      "neutral": false,
      "mapping_strength": 0.5,
      "naming_evidence": false,
      "qualification_eligible": true,
      "qualification_support": [
        "BG",
        "UR",
        "WITHERBLOOM"
      ],
      "naming_support": [],
      "naming_rule_ids_by_identity": {},
      "mapping_role": "completion_corroboration_direction",
      "mapping_status": "REMEDIATION_MAPPING_HYPOTHESIS",
      "mapping_provenance": "docs/plans/vm551-gate-b1-instrument-completion/instrument-change-adjudication.tsv#b1.hall.engine-shape.v1.overlap;docs/audits/vm555-b1-identity-evidence-gap-bridge/identity-evidence-gap-matrix.tsv",
      "evidence_provenance": "E-VM555;E-CERTIFIED;E-CECOS;E-PLAYER-LANGUAGE",
      "limitation": "Overlapping packages may be required by singleton deck construction.",
      "behavioral_vs_lens": "behavioral"
    },
    {
      "question_id": "b1.crucible.yore-glint.v1",
      "answer_id": "b1.crucible.yore-glint.v1.engineered",
      "stage": "crucible",
      "construct": "C09",
      "bounded_observation": "Prefers engineered repeatability.",
      "signal": "SIG_C09_CONSISTENT",
      "dependency_group": "DG_C09",
      "evidence_class": "BEHAVIORAL_OBSERVATION",
      "affected_identities": [
        "GLINT",
        "YORE"
      ],
      "positive_support": [
        "YORE"
      ],
      "contradiction": [
        "GLINT"
      ],
      "neutral": false,
      "mapping_strength": 1,
      "naming_evidence": false,
      "qualification_eligible": true,
      "qualification_support": [
        "YORE"
      ],
      "naming_support": [],
      "naming_rule_ids_by_identity": {},
      "mapping_role": "approximate_not_cleanly_observable",
      "mapping_status": "MAPPING_HYPOTHESIS",
      "mapping_provenance": "Yore/Glint C09 hypothesis; Yore remains NOT_CLEANLY_OBSERVABLE",
      "evidence_provenance": "E-CERTIFIED;E-PLAYER-VARIANCE;E-AUDIT;E-CECOS;E-VOICE",
      "limitation": "Use only after prior independent observations leave the stated competitor boundary plausible; the identity association requires player validation.",
      "behavioral_vs_lens": "behavioral"
    }
  ],
  "lens_ledger": [],
  "stage_history": [
    {
      "question_id": "b1.gate.initiative.v1",
      "answer_id": "b1.gate.initiative.v1.balance",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"b1.hall.interaction-window.v1",
      "answer_id": "b1.hall.interaction-window.v1.pressure",
      "stage": "hall",
      "evidence_class": "BEHAVIORAL_OBSERVATION"
    },
    {
      "question_id": "b1.hall.information-to-plan.v1",
      "answer_id": "b1.hall.information-to-plan.v1.exploit",
      "stage": "hall",
      "evidence_class": "BEHAVIORAL_OBSERVATION"
    },
    {
      "question_id": "b1.hall.engine-shape.v1",
      "answer_id": "b1.hall.engine-shape.v1.overlap",
      "stage": "hall",
      "evidence_class": "BEHAVIORAL_OBSERVATION"
    },
    {
      "question_id": "b1.crucible.yore-glint.v1",
      "answer_id": "b1.crucible.yore-glint.v1.engineered",
      "stage": "crucible",
      "evidence_class": "BEHAVIORAL_OBSERVATION"
    }
  ],
  "result_state": "insufficient",
  "public_confidence_state": "insufficient",
  "alternative_state": "none",
  "confidence_display_mode": "bounded-state",
  "model_kind": "gate-b1-evidence-ranking-v1",
  "legacy_result": false,
  "limitations": [
    "Identity mappings are in-model hypotheses, not empirical player accuracy.",
    "Internal scores are ranking aids and are not public confidence percentages.",
    "This optional refinement asks one unused approved discriminator, then immediately returns to the result. It does not extend the eight-question main journey."
  ],
  "compatibility_version": "gate-a-v1",
  "engine_result_state": "insufficient"
}</x:v>
      </x:c>
    </x:row>
  </x:sheetData>
  <x:mergeCells>
    <x:mergeCell ref="A1:T1"/>
    <x:mergeCell ref="A2:T2"/>
    <x:mergeCell ref="A27:T27"/>
    <x:mergeCell ref="A38:T38"/>
    <x:mergeCell ref="A78:T78"/>
  </x:mergeCells>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Colorless — Engine Trace</x:v>
      </x:c>
      <x:c r="B1" s="3"/>
      <x:c r="C1" s="3"/>
      <x:c r="D1" s="3"/>
      <x:c r="E1" s="3"/>
      <x:c r="F1" s="3"/>
      <x:c r="G1" s="3"/>
      <x:c r="H1" s="3"/>
      <x:c r="I1" s="3"/>
      <x:c r="J1" s="3"/>
      <x:c r="K1" s="3"/>
      <x:c r="L1" s="3"/>
      <x:c r="M1" s="3"/>
      <x:c r="N1" s="3"/>
      <x:c r="O1" s="3"/>
      <x:c r="P1" s="3"/>
      <x:c r="Q1" s="3"/>
      <x:c r="R1" s="3"/>
      <x:c r="S1" s="3"/>
      <x:c r="T1" s="3"/>
    </x:row>
    <x:row r="2" ht="30" customHeight="1">
      <x:c r="A2" s="7" t="str">
        <x:v>ENGINE-COLORLESS • PASS_MATCH • primary • trace cf3edd9e14d0e7bb4d5e4b73f6c2dcd115f6b707314ec86929f95622aa720cff</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COLORLESS</x:v>
      </x:c>
    </x:row>
    <x:row r="6">
      <x:c r="A6" s="53" t="str">
        <x:v>Expected public contract</x:v>
      </x:c>
      <x:c r="B6" s="53" t="str">
        <x:v>NAMED_DOSSIER</x:v>
      </x:c>
    </x:row>
    <x:row r="7">
      <x:c r="A7" s="53" t="str">
        <x:v>Witness status</x:v>
      </x:c>
      <x:c r="B7" s="53" t="str">
        <x:v>CURRENT_COMPATIBLE</x:v>
      </x:c>
    </x:row>
    <x:row r="8">
      <x:c r="A8" s="53" t="str">
        <x:v>Actual result</x:v>
      </x:c>
      <x:c r="B8" s="53" t="str">
        <x:v>COLORLESS</x:v>
      </x:c>
    </x:row>
    <x:row r="9">
      <x:c r="A9" s="53" t="str">
        <x:v>Directional result</x:v>
      </x:c>
      <x:c r="B9" s="53" t="str">
        <x:v>COLORLESS</x:v>
      </x:c>
    </x:row>
    <x:row r="10">
      <x:c r="A10" s="53" t="str">
        <x:v>Public state</x:v>
      </x:c>
      <x:c r="B10" s="53" t="str">
        <x:v>current-best-fit</x:v>
      </x:c>
    </x:row>
    <x:row r="11">
      <x:c r="A11" s="53" t="str">
        <x:v>Raw numeric leader</x:v>
      </x:c>
      <x:c r="B11" s="53" t="str">
        <x:v>COLORLESS</x:v>
      </x:c>
    </x:row>
    <x:row r="12">
      <x:c r="A12" s="53" t="str">
        <x:v>Raw score</x:v>
      </x:c>
      <x:c r="B12" s="53" t="n">
        <x:v>0.666667</x:v>
      </x:c>
    </x:row>
    <x:row r="13">
      <x:c r="A13" s="53" t="str">
        <x:v>Raw leader qualified</x:v>
      </x:c>
      <x:c r="B13" s="54" t="b">
        <x:v>1</x:v>
      </x:c>
    </x:row>
    <x:row r="14">
      <x:c r="A14" s="53" t="str">
        <x:v>Selected qualified</x:v>
      </x:c>
      <x:c r="B14" s="54" t="b">
        <x:v>1</x:v>
      </x:c>
    </x:row>
    <x:row r="15">
      <x:c r="A15" s="53" t="str">
        <x:v>Frontier</x:v>
      </x:c>
      <x:c r="B15" s="53" t="str">
        <x:v>COLORLESS</x:v>
      </x:c>
    </x:row>
    <x:row r="16">
      <x:c r="A16" s="53" t="str">
        <x:v>Stop reason</x:v>
      </x:c>
      <x:c r="B16" s="53" t="str">
        <x:v>clear_separation</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outputs/01a02cd6-bce7-7832-9558-3075c52f146a/archscry-current-state-2026-08-22/evidence/engine/traces/colorless.json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b1.gate.initiative.v1.respond</x:v>
      </x:c>
      <x:c r="G29" s="53" t="str">
        <x:v>Keep options open</x:v>
      </x:c>
      <x:c r="H29" s="53" t="str">
        <x:v>C01</x:v>
      </x:c>
      <x:c r="I29" s="53" t="str">
        <x:v>SIG_C01_REACTIVE</x:v>
      </x:c>
      <x:c r="J29" s="53" t="str">
        <x:v>DG_C01</x:v>
      </x:c>
      <x:c r="K29" s="53" t="str">
        <x:v>BEHAVIORAL_OBSERVATION</x:v>
      </x:c>
      <x:c r="L29" s="53" t="str"/>
      <x:c r="M29" s="53" t="str"/>
      <x:c r="N29" s="53" t="n">
        <x:v>0</x:v>
      </x:c>
      <x:c r="O29" s="54" t="b">
        <x:v>0</x:v>
      </x:c>
      <x:c r="P29" s="53" t="str">
        <x:v>OBSERVATION_ONLY</x:v>
      </x:c>
      <x:c r="Q29" s="53" t="str">
        <x:v>Prefers reactive optionality on an open turn.</x:v>
      </x:c>
      <x:c r="R29" s="53" t="str">
        <x:v>Initiative posture may vary across calm, behind, and disrupted contexts; every C01 response shares DG_C01 and cannot stack.</x:v>
      </x:c>
      <x:c r="S29" s="53" t="str">
        <x:v>GLINT</x:v>
      </x:c>
      <x:c r="T29" s="53" t="str">
        <x:v>incomplete / minimum_questions / b1.hall.pressure.v1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b1.gate.visibility.v1.board</x:v>
      </x:c>
      <x:c r="G30" s="53" t="str">
        <x:v>A board people can see</x:v>
      </x:c>
      <x:c r="H30" s="53" t="str">
        <x:v>C02</x:v>
      </x:c>
      <x:c r="I30" s="53" t="str">
        <x:v>SIG_C02_VISIBLE</x:v>
      </x:c>
      <x:c r="J30" s="53" t="str">
        <x:v>DG_C02</x:v>
      </x:c>
      <x:c r="K30" s="53" t="str">
        <x:v>BEHAVIORAL_OBSERVATION</x:v>
      </x:c>
      <x:c r="L30" s="53" t="str"/>
      <x:c r="M30" s="53" t="str"/>
      <x:c r="N30" s="53" t="n">
        <x:v>0</x:v>
      </x:c>
      <x:c r="O30" s="54" t="b">
        <x:v>0</x:v>
      </x:c>
      <x:c r="P30" s="53" t="str">
        <x:v>OBSERVATION_ONLY</x:v>
      </x:c>
      <x:c r="Q30" s="53" t="str">
        <x:v>Prefers visible battlefield resources.</x:v>
      </x:c>
      <x:c r="R30" s="53" t="str">
        <x:v>Observation wording and identity association require player validation; no weight is authorized.</x:v>
      </x:c>
      <x:c r="S30" s="53" t="str">
        <x:v>GRIXIS</x:v>
      </x:c>
      <x:c r="T30" s="53" t="str">
        <x:v>incomplete / minimum_questions / b1.hall.pressure.v1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GRIXIS</x:v>
      </x:c>
      <x:c r="T31" s="53" t="str">
        <x:v>incomplete / minimum_questions / b1.hall.pressure.v1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GRIXIS</x:v>
      </x:c>
      <x:c r="T32" s="53" t="str">
        <x:v>incomplete / minimum_questions / b1.hall.pressure.v1</x:v>
      </x:c>
    </x:row>
    <x:row r="33">
      <x:c r="A33" s="53" t="n">
        <x:v>5</x:v>
      </x:c>
      <x:c r="B33" s="53" t="str">
        <x:v>main</x:v>
      </x:c>
      <x:c r="C33" s="53" t="str">
        <x:v>hall</x:v>
      </x:c>
      <x:c r="D33" s="53" t="str">
        <x:v>b1.hall.pressure.v1</x:v>
      </x:c>
      <x:c r="E33" s="53" t="str">
        <x:v>The player ahead uses all their mana and leaves one turn where the table can take control. Which kind of pressure do you want your deck to create?</x:v>
      </x:c>
      <x:c r="F33" s="53" t="str">
        <x:v>b1.hall.pressure.v1.engine</x:v>
      </x:c>
      <x:c r="G33" s="53" t="str">
        <x:v>Finish without combat</x:v>
      </x:c>
      <x:c r="H33" s="53" t="str">
        <x:v>C07</x:v>
      </x:c>
      <x:c r="I33" s="53" t="str">
        <x:v>SIG_C07_NONCOMBAT_ENGINE</x:v>
      </x:c>
      <x:c r="J33" s="53" t="str">
        <x:v>DG_C07</x:v>
      </x:c>
      <x:c r="K33" s="53" t="str">
        <x:v>BEHAVIORAL_OBSERVATION</x:v>
      </x:c>
      <x:c r="L33" s="53" t="str">
        <x:v>COLORLESS | UR</x:v>
      </x:c>
      <x:c r="M33" s="53" t="str"/>
      <x:c r="N33" s="53" t="n">
        <x:v>0.5</x:v>
      </x:c>
      <x:c r="O33" s="54" t="b">
        <x:v>0</x:v>
      </x:c>
      <x:c r="P33" s="53" t="str">
        <x:v>REMEDIATION_MAPPING_HYPOTHESIS</x:v>
      </x:c>
      <x:c r="Q33" s="53" t="str">
        <x:v>Prefers engine-based ending pressure instead of combat pressure.</x:v>
      </x:c>
      <x:c r="R33" s="53" t="str">
        <x:v>Many identities can use engines; the observation describes pressure channel only.</x:v>
      </x:c>
      <x:c r="S33" s="53" t="str">
        <x:v>COLORLESS</x:v>
      </x:c>
      <x:c r="T33" s="53" t="str">
        <x:v>incomplete / minimum_questions / b1.hall.engine-shape.v1</x:v>
      </x:c>
    </x:row>
    <x:row r="34">
      <x:c r="A34" s="53" t="n">
        <x:v>6</x:v>
      </x:c>
      <x:c r="B34" s="53" t="str">
        <x:v>main</x:v>
      </x:c>
      <x:c r="C34" s="53" t="str">
        <x:v>hall</x:v>
      </x:c>
      <x:c r="D34" s="53" t="str">
        <x:v>b1.hall.engine-shape.v1</x:v>
      </x:c>
      <x:c r="E34" s="53" t="str">
        <x:v>Opponents have learned how to stop your main engine. When you revise the deck, what structure do you want next?</x:v>
      </x:c>
      <x:c r="F34" s="53" t="str">
        <x:v>b1.hall.engine-shape.v1.replace</x:v>
      </x:c>
      <x:c r="G34" s="53" t="str">
        <x:v>Make each job replaceable</x:v>
      </x:c>
      <x:c r="H34" s="53" t="str">
        <x:v>C06</x:v>
      </x:c>
      <x:c r="I34" s="53" t="str">
        <x:v>SIG_C06_REDUNDANT</x:v>
      </x:c>
      <x:c r="J34" s="53" t="str">
        <x:v>DG_C06</x:v>
      </x:c>
      <x:c r="K34" s="53" t="str">
        <x:v>BEHAVIORAL_OBSERVATION</x:v>
      </x:c>
      <x:c r="L34" s="53" t="str">
        <x:v>COLORLESS | LOREHOLD | YORE</x:v>
      </x:c>
      <x:c r="M34" s="53" t="str"/>
      <x:c r="N34" s="53" t="n">
        <x:v>0.5</x:v>
      </x:c>
      <x:c r="O34" s="54" t="b">
        <x:v>0</x:v>
      </x:c>
      <x:c r="P34" s="53" t="str">
        <x:v>REMEDIATION_MAPPING_HYPOTHESIS</x:v>
      </x:c>
      <x:c r="Q34" s="53" t="str">
        <x:v>Prefers replaceable functional redundancy.</x:v>
      </x:c>
      <x:c r="R34" s="53" t="str">
        <x:v>Consistency can be a generic deckbuilding goal rather than identity evidence.</x:v>
      </x:c>
      <x:c r="S34" s="53" t="str">
        <x:v>COLORLESS</x:v>
      </x:c>
      <x:c r="T34" s="53" t="str">
        <x:v>incomplete / useful_evidence_remains / b1.hall.commitment.v1</x:v>
      </x:c>
    </x:row>
    <x:row r="35">
      <x:c r="A35" s="53" t="n">
        <x:v>7</x:v>
      </x:c>
      <x:c r="B35" s="53" t="str">
        <x:v>main</x:v>
      </x:c>
      <x:c r="C35" s="53" t="str">
        <x:v>hall</x:v>
      </x:c>
      <x:c r="D35" s="53" t="str">
        <x:v>b1.hall.commitment.v1</x:v>
      </x:c>
      <x:c r="E35" s="53" t="str">
        <x:v>The table agrees to stop a repeatable threat. Before your next turn, the board changes and that threat is weaker but still present. What should the agreement require now?</x:v>
      </x:c>
      <x:c r="F35" s="53" t="str">
        <x:v>b1.hall.commitment.v1.reopen</x:v>
      </x:c>
      <x:c r="G35" s="53" t="str">
        <x:v>Reopen the agreement</x:v>
      </x:c>
      <x:c r="H35" s="53" t="str">
        <x:v>C13</x:v>
      </x:c>
      <x:c r="I35" s="53" t="str">
        <x:v>SIG_C13_REVISABLE</x:v>
      </x:c>
      <x:c r="J35" s="53" t="str">
        <x:v>DG_C13</x:v>
      </x:c>
      <x:c r="K35" s="53" t="str">
        <x:v>BEHAVIORAL_OBSERVATION</x:v>
      </x:c>
      <x:c r="L35" s="53" t="str">
        <x:v>SILVERQUILL</x:v>
      </x:c>
      <x:c r="M35" s="53" t="str"/>
      <x:c r="N35" s="53" t="n">
        <x:v>0.5</x:v>
      </x:c>
      <x:c r="O35" s="54" t="b">
        <x:v>0</x:v>
      </x:c>
      <x:c r="P35" s="53" t="str">
        <x:v>REMEDIATION_MAPPING_HYPOTHESIS</x:v>
      </x:c>
      <x:c r="Q35" s="53" t="str">
        <x:v>Prefers revisable present influence over a binding future commitment.</x:v>
      </x:c>
      <x:c r="R35" s="53" t="str">
        <x:v>Players may reopen a deal because it became impossible, not because they prefer revisable influence.</x:v>
      </x:c>
      <x:c r="S35" s="53" t="str">
        <x:v>COLORLESS</x:v>
      </x:c>
      <x:c r="T35" s="53" t="str">
        <x:v>incomplete / useful_evidence_remains / b1.crucible.colorless-wubrg.v1</x:v>
      </x:c>
    </x:row>
    <x:row r="36">
      <x:c r="A36" s="53" t="n">
        <x:v>8</x:v>
      </x:c>
      <x:c r="B36" s="53" t="str">
        <x:v>main</x:v>
      </x:c>
      <x:c r="C36" s="53" t="str">
        <x:v>crucible</x:v>
      </x:c>
      <x:c r="D36" s="53" t="str">
        <x:v>b1.crucible.colorless-wubrg.v1</x:v>
      </x:c>
      <x:c r="E36" s="53" t="str">
        <x:v>When building around an idea you like, which kind of challenge sounds more satisfying?</x:v>
      </x:c>
      <x:c r="F36" s="53" t="str">
        <x:v>b1.crucible.colorless-wubrg.v1.constraint</x:v>
      </x:c>
      <x:c r="G36" s="53" t="str">
        <x:v>Work within the limits</x:v>
      </x:c>
      <x:c r="H36" s="53" t="str">
        <x:v>C15</x:v>
      </x:c>
      <x:c r="I36" s="53" t="str">
        <x:v>SIG_C15_NARROW</x:v>
      </x:c>
      <x:c r="J36" s="53" t="str">
        <x:v>DG_C15</x:v>
      </x:c>
      <x:c r="K36" s="53" t="str">
        <x:v>BEHAVIORAL_OBSERVATION</x:v>
      </x:c>
      <x:c r="L36" s="53" t="str">
        <x:v>COLORLESS</x:v>
      </x:c>
      <x:c r="M36" s="53" t="str">
        <x:v>WUBRG</x:v>
      </x:c>
      <x:c r="N36" s="53" t="n">
        <x:v>1</x:v>
      </x:c>
      <x:c r="O36" s="54" t="b">
        <x:v>1</x:v>
      </x:c>
      <x:c r="P36" s="53" t="str">
        <x:v>MAPPING_HYPOTHESIS</x:v>
      </x:c>
      <x:c r="Q36" s="53" t="str">
        <x:v>Prefers an imposed card-pool limitation as part of the desired challenge.</x:v>
      </x:c>
      <x:c r="R36" s="53" t="str">
        <x:v>Boundary evidence only; prior independent behavior and the direct boundary are required, and this answer cannot assign an identity or cause a one-answer flip.</x:v>
      </x:c>
      <x:c r="S36" s="53" t="str">
        <x:v>COLORLESS</x:v>
      </x:c>
      <x:c r="T36" s="53" t="str">
        <x:v>primary / clear_separation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COLORLESS</x:v>
      </x:c>
      <x:c r="C40" s="53" t="str">
        <x:v>Colorless</x:v>
      </x:c>
      <x:c r="D40" s="53" t="n">
        <x:v>0.666667</x:v>
      </x:c>
      <x:c r="E40" s="54" t="b">
        <x:v>1</x:v>
      </x:c>
      <x:c r="F40" s="53" t="str">
        <x:v>C06 | C07 | C15</x:v>
      </x:c>
    </x:row>
    <x:row r="41">
      <x:c r="A41" s="53" t="n">
        <x:v>2</x:v>
      </x:c>
      <x:c r="B41" s="53" t="str">
        <x:v>LOREHOLD</x:v>
      </x:c>
      <x:c r="C41" s="53" t="str">
        <x:v>Lorehold College</x:v>
      </x:c>
      <x:c r="D41" s="53" t="n">
        <x:v>0.458333</x:v>
      </x:c>
      <x:c r="E41" s="54" t="b">
        <x:v>0</x:v>
      </x:c>
      <x:c r="F41" s="53" t="str">
        <x:v>C06</x:v>
      </x:c>
    </x:row>
    <x:row r="42">
      <x:c r="A42" s="53" t="n">
        <x:v>3</x:v>
      </x:c>
      <x:c r="B42" s="53" t="str">
        <x:v>SILVERQUILL</x:v>
      </x:c>
      <x:c r="C42" s="53" t="str">
        <x:v>Silverquill College</x:v>
      </x:c>
      <x:c r="D42" s="53" t="n">
        <x:v>0.458333</x:v>
      </x:c>
      <x:c r="E42" s="54" t="b">
        <x:v>0</x:v>
      </x:c>
      <x:c r="F42" s="53" t="str"/>
    </x:row>
    <x:row r="43">
      <x:c r="A43" s="53" t="n">
        <x:v>4</x:v>
      </x:c>
      <x:c r="B43" s="53" t="str">
        <x:v>UR</x:v>
      </x:c>
      <x:c r="C43" s="53" t="str">
        <x:v>Izzet League</x:v>
      </x:c>
      <x:c r="D43" s="53" t="n">
        <x:v>0.458333</x:v>
      </x:c>
      <x:c r="E43" s="54" t="b">
        <x:v>0</x:v>
      </x:c>
      <x:c r="F43" s="53" t="str">
        <x:v>C07</x:v>
      </x:c>
    </x:row>
    <x:row r="44">
      <x:c r="A44" s="53" t="n">
        <x:v>5</x:v>
      </x:c>
      <x:c r="B44" s="53" t="str">
        <x:v>YORE</x:v>
      </x:c>
      <x:c r="C44" s="53" t="str">
        <x:v>Yore / Artifice</x:v>
      </x:c>
      <x:c r="D44" s="53" t="n">
        <x:v>0.458333</x:v>
      </x:c>
      <x:c r="E44" s="54" t="b">
        <x:v>0</x:v>
      </x:c>
      <x:c r="F44" s="53" t="str"/>
    </x:row>
    <x:row r="45">
      <x:c r="A45" s="53" t="n">
        <x:v>6</x:v>
      </x:c>
      <x:c r="B45" s="53" t="str">
        <x:v>MARDU</x:v>
      </x:c>
      <x:c r="C45" s="53" t="str">
        <x:v>Mardu Horde</x:v>
      </x:c>
      <x:c r="D45" s="53" t="n">
        <x:v>0.25</x:v>
      </x:c>
      <x:c r="E45" s="54" t="b">
        <x:v>0</x:v>
      </x:c>
      <x:c r="F45" s="53" t="str"/>
    </x:row>
    <x:row r="46">
      <x:c r="A46" s="53" t="n">
        <x:v>7</x:v>
      </x:c>
      <x:c r="B46" s="53" t="str">
        <x:v>W</x:v>
      </x:c>
      <x:c r="C46" s="53" t="str">
        <x:v>White</x:v>
      </x:c>
      <x:c r="D46" s="53" t="n">
        <x:v>0.166667</x:v>
      </x:c>
      <x:c r="E46" s="54" t="b">
        <x:v>0</x:v>
      </x:c>
      <x:c r="F46" s="53" t="str"/>
    </x:row>
    <x:row r="47">
      <x:c r="A47" s="53" t="n">
        <x:v>8</x:v>
      </x:c>
      <x:c r="B47" s="53" t="str">
        <x:v>DUNE</x:v>
      </x:c>
      <x:c r="C47" s="53" t="str">
        <x:v>Dune / Aggression</x:v>
      </x:c>
      <x:c r="D47" s="53" t="n">
        <x:v>0.166667</x:v>
      </x:c>
      <x:c r="E47" s="54" t="b">
        <x:v>0</x:v>
      </x:c>
      <x:c r="F47" s="53" t="str"/>
    </x:row>
    <x:row r="48">
      <x:c r="A48" s="53" t="n">
        <x:v>9</x:v>
      </x:c>
      <x:c r="B48" s="53" t="str">
        <x:v>JUND</x:v>
      </x:c>
      <x:c r="C48" s="53" t="str">
        <x:v>Jund</x:v>
      </x:c>
      <x:c r="D48" s="53" t="n">
        <x:v>0.166667</x:v>
      </x:c>
      <x:c r="E48" s="54" t="b">
        <x:v>0</x:v>
      </x:c>
      <x:c r="F48" s="53" t="str"/>
    </x:row>
    <x:row r="49">
      <x:c r="A49" s="53" t="n">
        <x:v>10</x:v>
      </x:c>
      <x:c r="B49" s="53" t="str">
        <x:v>RG</x:v>
      </x:c>
      <x:c r="C49" s="53" t="str">
        <x:v>Gruul Clans</x:v>
      </x:c>
      <x:c r="D49" s="53" t="n">
        <x:v>0.166667</x:v>
      </x:c>
      <x:c r="E49" s="54" t="b">
        <x:v>0</x:v>
      </x:c>
      <x:c r="F49" s="53" t="str"/>
    </x:row>
    <x:row r="50">
      <x:c r="A50" s="53" t="n">
        <x:v>11</x:v>
      </x:c>
      <x:c r="B50" s="53" t="str">
        <x:v>TEMUR</x:v>
      </x:c>
      <x:c r="C50" s="53" t="str">
        <x:v>Temur Frontier</x:v>
      </x:c>
      <x:c r="D50" s="53" t="n">
        <x:v>0.166667</x:v>
      </x:c>
      <x:c r="E50" s="54" t="b">
        <x:v>0</x:v>
      </x:c>
      <x:c r="F50" s="53" t="str"/>
    </x:row>
    <x:row r="51">
      <x:c r="A51" s="53" t="n">
        <x:v>12</x:v>
      </x:c>
      <x:c r="B51" s="53" t="str">
        <x:v>WR</x:v>
      </x:c>
      <x:c r="C51" s="53" t="str">
        <x:v>Boros Legion</x:v>
      </x:c>
      <x:c r="D51" s="53" t="n">
        <x:v>0.166667</x:v>
      </x:c>
      <x:c r="E51" s="54" t="b">
        <x:v>0</x:v>
      </x:c>
      <x:c r="F51" s="53" t="str"/>
    </x:row>
    <x:row r="52">
      <x:c r="A52" s="53" t="n">
        <x:v>13</x:v>
      </x:c>
      <x:c r="B52" s="53" t="str">
        <x:v>U</x:v>
      </x:c>
      <x:c r="C52" s="53" t="str">
        <x:v>Blue</x:v>
      </x:c>
      <x:c r="D52" s="53" t="n">
        <x:v>0.125</x:v>
      </x:c>
      <x:c r="E52" s="54" t="b">
        <x:v>0</x:v>
      </x:c>
      <x:c r="F52" s="53" t="str"/>
    </x:row>
    <x:row r="53">
      <x:c r="A53" s="53" t="n">
        <x:v>14</x:v>
      </x:c>
      <x:c r="B53" s="53" t="str">
        <x:v>GRIXIS</x:v>
      </x:c>
      <x:c r="C53" s="53" t="str">
        <x:v>Grixis</x:v>
      </x:c>
      <x:c r="D53" s="53" t="n">
        <x:v>0.125</x:v>
      </x:c>
      <x:c r="E53" s="54" t="b">
        <x:v>0</x:v>
      </x:c>
      <x:c r="F53" s="53" t="str"/>
    </x:row>
    <x:row r="54">
      <x:c r="A54" s="53" t="n">
        <x:v>15</x:v>
      </x:c>
      <x:c r="B54" s="53" t="str">
        <x:v>R</x:v>
      </x:c>
      <x:c r="C54" s="53" t="str">
        <x:v>Red</x:v>
      </x:c>
      <x:c r="D54" s="53" t="n">
        <x:v>0.083333</x:v>
      </x:c>
      <x:c r="E54" s="54" t="b">
        <x:v>0</x:v>
      </x:c>
      <x:c r="F54" s="53" t="str"/>
    </x:row>
    <x:row r="55">
      <x:c r="A55" s="53" t="n">
        <x:v>16</x:v>
      </x:c>
      <x:c r="B55" s="53" t="str">
        <x:v>ABZAN</x:v>
      </x:c>
      <x:c r="C55" s="53" t="str">
        <x:v>Abzan Houses</x:v>
      </x:c>
      <x:c r="D55" s="53" t="n">
        <x:v>0.083333</x:v>
      </x:c>
      <x:c r="E55" s="54" t="b">
        <x:v>0</x:v>
      </x:c>
      <x:c r="F55" s="53" t="str"/>
    </x:row>
    <x:row r="56">
      <x:c r="A56" s="53" t="n">
        <x:v>17</x:v>
      </x:c>
      <x:c r="B56" s="53" t="str">
        <x:v>BG</x:v>
      </x:c>
      <x:c r="C56" s="53" t="str">
        <x:v>Golgari Swarm</x:v>
      </x:c>
      <x:c r="D56" s="53" t="n">
        <x:v>0.083333</x:v>
      </x:c>
      <x:c r="E56" s="54" t="b">
        <x:v>0</x:v>
      </x:c>
      <x:c r="F56" s="53" t="str"/>
    </x:row>
    <x:row r="57">
      <x:c r="A57" s="53" t="n">
        <x:v>18</x:v>
      </x:c>
      <x:c r="B57" s="53" t="str">
        <x:v>GLINT</x:v>
      </x:c>
      <x:c r="C57" s="53" t="str">
        <x:v>Glint / Chaos</x:v>
      </x:c>
      <x:c r="D57" s="53" t="n">
        <x:v>0.083333</x:v>
      </x:c>
      <x:c r="E57" s="54" t="b">
        <x:v>0</x:v>
      </x:c>
      <x:c r="F57" s="53" t="str"/>
    </x:row>
    <x:row r="58">
      <x:c r="A58" s="53" t="n">
        <x:v>19</x:v>
      </x:c>
      <x:c r="B58" s="53" t="str">
        <x:v>INK</x:v>
      </x:c>
      <x:c r="C58" s="53" t="str">
        <x:v>Ink / Altruism</x:v>
      </x:c>
      <x:c r="D58" s="53" t="n">
        <x:v>0.083333</x:v>
      </x:c>
      <x:c r="E58" s="54" t="b">
        <x:v>0</x:v>
      </x:c>
      <x:c r="F58" s="53" t="str"/>
    </x:row>
    <x:row r="59">
      <x:c r="A59" s="53" t="n">
        <x:v>20</x:v>
      </x:c>
      <x:c r="B59" s="53" t="str">
        <x:v>NAYA</x:v>
      </x:c>
      <x:c r="C59" s="53" t="str">
        <x:v>Naya</x:v>
      </x:c>
      <x:c r="D59" s="53" t="n">
        <x:v>0.083333</x:v>
      </x:c>
      <x:c r="E59" s="54" t="b">
        <x:v>0</x:v>
      </x:c>
      <x:c r="F59" s="53" t="str"/>
    </x:row>
    <x:row r="60">
      <x:c r="A60" s="53" t="n">
        <x:v>21</x:v>
      </x:c>
      <x:c r="B60" s="53" t="str">
        <x:v>QUANDRIX</x:v>
      </x:c>
      <x:c r="C60" s="53" t="str">
        <x:v>Quandrix College</x:v>
      </x:c>
      <x:c r="D60" s="53" t="n">
        <x:v>0.083333</x:v>
      </x:c>
      <x:c r="E60" s="54" t="b">
        <x:v>0</x:v>
      </x:c>
      <x:c r="F60" s="53" t="str"/>
    </x:row>
    <x:row r="61">
      <x:c r="A61" s="53" t="n">
        <x:v>22</x:v>
      </x:c>
      <x:c r="B61" s="53" t="str">
        <x:v>SULTAI</x:v>
      </x:c>
      <x:c r="C61" s="53" t="str">
        <x:v>Sultai Brood</x:v>
      </x:c>
      <x:c r="D61" s="53" t="n">
        <x:v>0.083333</x:v>
      </x:c>
      <x:c r="E61" s="54" t="b">
        <x:v>0</x:v>
      </x:c>
      <x:c r="F61" s="53" t="str"/>
    </x:row>
    <x:row r="62">
      <x:c r="A62" s="53" t="n">
        <x:v>23</x:v>
      </x:c>
      <x:c r="B62" s="53" t="str">
        <x:v>UG</x:v>
      </x:c>
      <x:c r="C62" s="53" t="str">
        <x:v>Simic Combine</x:v>
      </x:c>
      <x:c r="D62" s="53" t="n">
        <x:v>0.083333</x:v>
      </x:c>
      <x:c r="E62" s="54" t="b">
        <x:v>0</x:v>
      </x:c>
      <x:c r="F62" s="53" t="str"/>
    </x:row>
    <x:row r="63">
      <x:c r="A63" s="53" t="n">
        <x:v>24</x:v>
      </x:c>
      <x:c r="B63" s="53" t="str">
        <x:v>WB</x:v>
      </x:c>
      <x:c r="C63" s="53" t="str">
        <x:v>Orzhov Syndicate</x:v>
      </x:c>
      <x:c r="D63" s="53" t="n">
        <x:v>0.083333</x:v>
      </x:c>
      <x:c r="E63" s="54" t="b">
        <x:v>0</x:v>
      </x:c>
      <x:c r="F63" s="53" t="str"/>
    </x:row>
    <x:row r="64">
      <x:c r="A64" s="53" t="n">
        <x:v>25</x:v>
      </x:c>
      <x:c r="B64" s="53" t="str">
        <x:v>WG</x:v>
      </x:c>
      <x:c r="C64" s="53" t="str">
        <x:v>Selesnya Conclave</x:v>
      </x:c>
      <x:c r="D64" s="53" t="n">
        <x:v>0.083333</x:v>
      </x:c>
      <x:c r="E64" s="54" t="b">
        <x:v>0</x:v>
      </x:c>
      <x:c r="F64" s="53" t="str"/>
    </x:row>
    <x:row r="65">
      <x:c r="A65" s="53" t="n">
        <x:v>26</x:v>
      </x:c>
      <x:c r="B65" s="53" t="str">
        <x:v>WITCH</x:v>
      </x:c>
      <x:c r="C65" s="53" t="str">
        <x:v>Witch / Growth</x:v>
      </x:c>
      <x:c r="D65" s="53" t="n">
        <x:v>0.083333</x:v>
      </x:c>
      <x:c r="E65" s="54" t="b">
        <x:v>0</x:v>
      </x:c>
      <x:c r="F65" s="53" t="str"/>
    </x:row>
    <x:row r="66">
      <x:c r="A66" s="53" t="n">
        <x:v>27</x:v>
      </x:c>
      <x:c r="B66" s="53" t="str">
        <x:v>WITHERBLOOM</x:v>
      </x:c>
      <x:c r="C66" s="53" t="str">
        <x:v>Witherbloom College</x:v>
      </x:c>
      <x:c r="D66" s="53" t="n">
        <x:v>0.083333</x:v>
      </x:c>
      <x:c r="E66" s="54" t="b">
        <x:v>0</x:v>
      </x:c>
      <x:c r="F66" s="53" t="str"/>
    </x:row>
    <x:row r="67">
      <x:c r="A67" s="53" t="n">
        <x:v>28</x:v>
      </x:c>
      <x:c r="B67" s="53" t="str">
        <x:v>ESPER</x:v>
      </x:c>
      <x:c r="C67" s="53" t="str">
        <x:v>Esper</x:v>
      </x:c>
      <x:c r="D67" s="53" t="n">
        <x:v>0.0625</x:v>
      </x:c>
      <x:c r="E67" s="54" t="b">
        <x:v>0</x:v>
      </x:c>
      <x:c r="F67" s="53" t="str"/>
    </x:row>
    <x:row r="68">
      <x:c r="A68" s="53" t="n">
        <x:v>29</x:v>
      </x:c>
      <x:c r="B68" s="53" t="str">
        <x:v>JESKAI</x:v>
      </x:c>
      <x:c r="C68" s="53" t="str">
        <x:v>Jeskai Way</x:v>
      </x:c>
      <x:c r="D68" s="53" t="n">
        <x:v>0.0625</x:v>
      </x:c>
      <x:c r="E68" s="54" t="b">
        <x:v>0</x:v>
      </x:c>
      <x:c r="F68" s="53" t="str"/>
    </x:row>
    <x:row r="69">
      <x:c r="A69" s="53" t="n">
        <x:v>30</x:v>
      </x:c>
      <x:c r="B69" s="53" t="str">
        <x:v>UB</x:v>
      </x:c>
      <x:c r="C69" s="53" t="str">
        <x:v>House Dimir</x:v>
      </x:c>
      <x:c r="D69" s="53" t="n">
        <x:v>0.0625</x:v>
      </x:c>
      <x:c r="E69" s="54" t="b">
        <x:v>0</x:v>
      </x:c>
      <x:c r="F69" s="53" t="str"/>
    </x:row>
    <x:row r="70">
      <x:c r="A70" s="53" t="n">
        <x:v>31</x:v>
      </x:c>
      <x:c r="B70" s="53" t="str">
        <x:v>WU</x:v>
      </x:c>
      <x:c r="C70" s="53" t="str">
        <x:v>Azorius Senate</x:v>
      </x:c>
      <x:c r="D70" s="53" t="n">
        <x:v>0.0625</x:v>
      </x:c>
      <x:c r="E70" s="54" t="b">
        <x:v>0</x:v>
      </x:c>
      <x:c r="F70" s="53" t="str"/>
    </x:row>
    <x:row r="71">
      <x:c r="A71" s="53" t="n">
        <x:v>32</x:v>
      </x:c>
      <x:c r="B71" s="53" t="str">
        <x:v>B</x:v>
      </x:c>
      <x:c r="C71" s="53" t="str">
        <x:v>Black</x:v>
      </x:c>
      <x:c r="D71" s="53" t="n">
        <x:v>0</x:v>
      </x:c>
      <x:c r="E71" s="54" t="b">
        <x:v>0</x:v>
      </x:c>
      <x:c r="F71" s="53" t="str"/>
    </x:row>
    <x:row r="72">
      <x:c r="A72" s="53" t="n">
        <x:v>33</x:v>
      </x:c>
      <x:c r="B72" s="53" t="str">
        <x:v>G</x:v>
      </x:c>
      <x:c r="C72" s="53" t="str">
        <x:v>Green</x:v>
      </x:c>
      <x:c r="D72" s="53" t="n">
        <x:v>0</x:v>
      </x:c>
      <x:c r="E72" s="54" t="b">
        <x:v>0</x:v>
      </x:c>
      <x:c r="F72" s="53" t="str"/>
    </x:row>
    <x:row r="73">
      <x:c r="A73" s="53" t="n">
        <x:v>34</x:v>
      </x:c>
      <x:c r="B73" s="53" t="str">
        <x:v>BANT</x:v>
      </x:c>
      <x:c r="C73" s="53" t="str">
        <x:v>Bant</x:v>
      </x:c>
      <x:c r="D73" s="53" t="n">
        <x:v>0</x:v>
      </x:c>
      <x:c r="E73" s="54" t="b">
        <x:v>0</x:v>
      </x:c>
      <x:c r="F73" s="53" t="str"/>
    </x:row>
    <x:row r="74">
      <x:c r="A74" s="53" t="n">
        <x:v>35</x:v>
      </x:c>
      <x:c r="B74" s="53" t="str">
        <x:v>BR</x:v>
      </x:c>
      <x:c r="C74" s="53" t="str">
        <x:v>Cult of Rakdos</x:v>
      </x:c>
      <x:c r="D74" s="53" t="n">
        <x:v>0</x:v>
      </x:c>
      <x:c r="E74" s="54" t="b">
        <x:v>0</x:v>
      </x:c>
      <x:c r="F74" s="53" t="str"/>
    </x:row>
    <x:row r="75">
      <x:c r="A75" s="53" t="n">
        <x:v>36</x:v>
      </x:c>
      <x:c r="B75" s="53" t="str">
        <x:v>PRISMARI</x:v>
      </x:c>
      <x:c r="C75" s="53" t="str">
        <x:v>Prismari College</x:v>
      </x:c>
      <x:c r="D75" s="53" t="n">
        <x:v>0</x:v>
      </x:c>
      <x:c r="E75" s="54" t="b">
        <x:v>0</x:v>
      </x:c>
      <x:c r="F75" s="53" t="str"/>
    </x:row>
    <x:row r="76">
      <x:c r="A76" s="53" t="n">
        <x:v>37</x:v>
      </x:c>
      <x:c r="B76" s="53" t="str">
        <x:v>WUBRG</x:v>
      </x:c>
      <x:c r="C76" s="53" t="str">
        <x:v>Five-Color / WUBRG</x:v>
      </x:c>
      <x:c r="D76" s="53" t="n">
        <x:v>-0.479167</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"COLORLESS",
  "faction_name": "Colorless",
  "institution_type": "colorless",
  "world": "Cross-plane",
  "identity": {
    "core_color": "C",
    "secondary_colors": [],
    "secondary_color": null,
    "expression_key": "COLORLESS",
    "expression_name": "Colorless",
    "expression_kind": "colorless",
    "purity": null,
    "routing": {
      "color_identity": "C",
      "label": "Colorless",
      "suppress_directory_links": true
    }
  },
  "decree": "Colorless is the clearest current fit from the approved observations.",
  "confidence": 0.043,
  "confidence_gap": 1,
  "mana_scores": {
    "W": 10,
    "U": 9,
    "B": 10,
    "R": 10,
    "G": 9
  },
  "top_matches": [
    {
      "rank": 1,
      "faction": "COLORLESS",
      "faction_name": "Colorless",
      "institution_type": "colorless",
      "world": "Cross-plane",
      "identity": {
        "core_color": "C",
        "secondary_colors": [],
        "secondary_color": null,
        "expression_key": "COLORLESS",
        "expression_name": "Colorless",
        "expression_kind": "colorless",
        "purity": null,
        "routing": {
          "color_identity": "C",
          "label": "Colorless",
          "suppress_directory_links": true
        }
      },
      "score": 0.666667,
      "confidence": 0.043,
      "reason": "Colorless remained plausible through C06, C15; identity mapping remains a hypothesis."
    }
  ],
  "adjacent_matches": [],
  "internal_candidate_order": [
    {
      "identity": "COLORLESS",
      "score": 0.666667,
      "positive_dependencies": 3,
      "qualification_dependencies": 3,
      "naming_dependencies": 1,
      "positive_constructs": [
        "C06",
        "C07",
        "C15"
      ],
      "satisfied_naming_rule_ids": [
        "baseline_40:b1.crucible.colorless-wubrg.v1.constraint:COLORLESS"
      ],
      "naming_qualification": {
        "identity": "COLORLESS",
        "qualified": true,
        "satisfied_naming_rule_ids": [
          "baseline_40:b1.crucible.colorless-wubrg.v1.constraint:COLORLESS"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"C15"
      ]
    },
    {
      "identity": "LOREHOLD",
      "score": 0.458333,
      "positive_dependencies": 1,
      "qualification_dependencies": 1,
      "naming_dependencies": 0,
      "positive_constructs": [
        "C06"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"SILVERQUILL",
      "score": 0.458333,
      "positive_dependencies": 1,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"UR",
      "score": 0.458333,
      "positive_dependencies": 1,
      "qualification_dependencies": 1,
      "naming_dependencies": 0,
      "positive_constructs": [
        "C07"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"YORE",
      "score": 0.458333,
      "positive_dependencies": 1,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"MARDU",
      "score": 0.25,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"C13"
      ]
    },
    {
      "identity": "W",
      "score": 0.166667,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"DUNE",
      "score": 0.166667,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"C13"
      ]
    },
    {
      "identity": "JUND",
      "score": 0.166667,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"RG",
      "score": 0.166667,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"TEMUR",
      "score": 0.166667,
      "positive_dependencies": 0,
      "qualification_dependencies": 0,
      "naming_dependencies": 0,
      "positive_constructs":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"WR",
      "score": 0.166667,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"C07"
      ]
    },
    {
      "identity": "U",
      "score": 0.125,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"C06"
      ]
    },
    {
      "identity": "GRIXIS",
      "score": 0.125,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"C02"
      ]
    },
    {
      "identity": "R",
      "score": 0.083333,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"ABZAN",
      "score": 0.083333,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0.083333,
      "positive_dependencies": 0,
      "qualification_dependencies": 0,
      "naming_dependencies": 0,
      "positive_constructs":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"NAYA",
      "score": 0.083333,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"C07"
      ]
    },
    {
      "identity": "QUANDRIX",
      "score": 0.083333,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"SULTAI",
      "score": 0.083333,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"UG",
      "score": 0.083333,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"WG",
      "score": 0.083333,
      "positive_dependencies": 0,
      "qualification_dependencies": 0,
      "naming_dependencies": 0,
      "positive_constructs": [],
      "satisfied_naming_rule_ids": [],
      "naming_qualification": {
        "identity": "WG",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"WITCH",
      "score": 0.083333,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"WITHERBLOOM",
      "score": 0.083333,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x:v>
      </x:c>
    </x:row>
    <x:row r="80">
      <x:c r="A80" s="53" t="str">
        <x:v>Part 2/3</x:v>
      </x:c>
      <x:c r="B80" s="53" t="str">
        <x:v>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"JESKAI",
      "score": 0.0625,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"C01"
      ]
    },
    {
      "identity": "UB",
      "score": 0.0625,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"C02"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
      "score": 0,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"BANT",
      "score": 0,
      "positive_dependencies": 0,
      "qualification_dependencies": 0,
      "naming_dependencies": 0,
      "positive_constructs":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"BR",
      "score": 0,
      "positive_dependencies": 0,
      "qualification_dependencies": 0,
      "naming_dependencies": 0,
      "positive_constructs": [],
      "satisfied_naming_rule_ids": [],
      "naming_qualification":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"WUBRG",
      "score": -0.479167,
      "positive_dependencies": 0,
      "qualification_dependencies": 0,
      "naming_dependencies": 0,
      "positive_constructs": [],
      "satisfied_naming_rule_ids": [],
      "naming_qualification": {
        "identity": "WUBRG",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1,
      "independent_constructs": [
        "C15"
      ]
    }
  ],
  "candidate_set": [
    "COLORLESS",
    "LOREHOLD",
    "SILVERQUILL",
    "UR",
    "YORE"
  ],
  "alternatives": [],
  "refinement": {
    "kind": "no_approved_discriminator",
    "can_reduce_ambiguity": false,
    "remaining_candidates": [
      "COLORLESS",
      "LOREHOLD",
      "SILVERQUILL",
      "UR",
      "YORE"
    ],
    "unresolved_boundaries": [
      {
        "pair_id": "UR__YORE",
        "identities": [
          "UR",
          "YORE"
        ],
        "distinction": "UR uses Advantage tempo evidence; YORE uses Resource sacrifice evidence. No direct pair claim is made.",
        "question_ids": [
          "b1.gate.tempo.v1",
          "b1.hall.sacrifice.v1",
          "b1.crucible.mono-multi.v1",
          "b1.crucible.ur.v1",
          "b1.crucible.yore-glint.v1",
          "b1.crucible.witch-yore.v1",
          "b1.hall.pressure.v1",
          "b1.hall.engine-shape.v1",
          "b1.hall.interaction-window.v1"
        ],
        "coverage_status": "DIRECT-OR-STRUCTURAL-MAPPING-HYPOTHESIS; bounded player validation required"
      }
    ],
    "missing_constructs": [
      "C03",
      "C04",
      "C09",
      "C11"
    ],
    "question_id": null,
    "purpose": "none_for_clean_primary",
    "target_identities": [
      "COLORLESS",
      "LOREHOLD",
      "SILVERQUILL"
    ],
    "target_pair_ids": [
      "UR__YORE"
    ],
    "distinction": "",
    "revisit": null,
    "limitation": "The named reading is complete; optional questioning is not used merely to add another explanation card."
  },
  "stopping": {
    "stop": true,
    "state": "primary",
    "reason": "clear_separation",
    "can_improve": false,
    "next_question_id": null
  },
  "starter_profile": {
    "format_interest": "commander",
    "budget_band": "mid",
    "experience_level": "returning"
  },
  "evidence_trail":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"answer_title": "Keep options open",
      "prompt": "Your turn begins, no urgent threat needs an answer, and you have enough mana to act. What feels best?",
      "observation": "Prefers reactive optionality on an open turn.",
      "deltas": []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"answer_title": "A board people can see",
      "prompt": "As play comes back around to you, which position usually feels more comfortable?",
      "observation": "Prefers visible battlefield resources.",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"answer_title": "Finish without combat",
      "prompt": "The player ahead uses all their mana and leaves one turn where the table can take control. Which kind of pressure do you want your deck to create?",
      "observation": "Prefers engine-based ending pressure instead of combat pressure.",
      "deltas": [
        {
          "faction": "COLORLESS",
          "delta": 0.5
        },
        {
          "faction": "UR",
          "delta": 0.5
        }
      ]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"answer_title": "Make each job replaceable",
      "prompt": "Opponents have learned how to stop your main engine. When you revise the deck, what structure do you want next?",
      "observation": "Prefers replaceable functional redundancy.",
      "deltas": [
        {
          "faction": "COLORLESS",
          "delta": 0.5
        },
        {
          "faction": "LOREHOLD",
          "delta": 0.5
        },
        {
          "faction": "YORE",
          "delta": 0.5
        }
      ]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"answer_title": "Reopen the agreement",
      "prompt": "The table agrees to stop a repeatable threat. Before your next turn, the board changes and that threat is weaker but still present. What should the agreement require now?",
      "observation": "Prefers revisable present influence over a binding future commitment.",
      "deltas": [
        {
          "faction": "SILVERQUILL",
          "delta": 0.5
        }
      ]
    },
    {
      "question_id": "b1.crucible.colorless-wubrg.v1",
      "answer_id": "b1.crucible.colorless-wubrg.v1.constraint",
      "stage": "crucible",
      "construct": "C15",
      "bounded_observation": "Prefers an imposed card-pool limitation as part of the desired challenge.",
      "signal": "SIG_C15_NARROW",
      "dependency_group": "DG_C15",
      "evidence_class": "BEHAVIORAL_OBSERVATION",
      "affected_identities": [
        "COLORLESS",
        "WUBRG"
      ],
      "positive_support": [
        "COLORLESS"
      ],
      "contradiction": [
        "WUBRG"
      ],
      "neutral": false,
      "mapping_strength": 1,
      "naming_evidence": true,
      "qualification_eligible": true,
      "qualification_support": [
        "COLORLESS"
      ],
      "naming_support": [
        "COLORLESS"
      ],
      "naming_rule_ids_by_identity": {
        "COLORLESS": [
          "baseline_40:b1.crucible.colorless-wubrg.v1.constraint:COLORLESS"
        ]
      },
      "mapping_role": "exact_pair_direction",
      "mapping_status": "MAPPING_HYPOTHESIS",
      "mapping_provenance": "answer-semantic-adjudication.tsv COLORLESS vs WUBRG evidence-required hypothesis",
      "evidence_provenance": "E-CERTIFIED;E-PLAYER-COMMANDER;E-AUDIT;E-CECOS;E-VOICE",
      "limitation": "Boundary evidence only; prior independent behavior and the direct boundary are required, and this answer cannot assign an identity or cause a one-answer flip.",
      "behavioral_vs_lens": "behavioral",
      "answer_title": "Work within the limits",
      "prompt": "When building around an idea you like, which kind of challenge sounds more satisfying?",
      "observation": "Prefers an imposed card-pool limitation as part of the desired challenge.",
      "deltas": [
        {
          "faction": "COLORLESS",
          "delta": 1
        },
        {
          "faction": "WUBRG",
          "delta": -1
        }
      ]
    }
  ],
  "evidence_ledger": [
    {
      "question_id": "b1.gate.initiative.v1",
      "answer_id": "b1.gate.initiative.v1.respond",
      "stage": "gate",
      "construct": "C01",
      "bounded_observation": "Prefers reactive optionality on an open turn.",
      "signal": "SIG_C01_REACTIVE",
      "dependency_group": "DG_C01",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"Initiative posture may vary across calm, behind, and disrupted contexts; every C01 response shares DG_C01 and cannot stack.",
      "behavioral_vs_lens": "behavioral"
    },
    {
      "question_id": "b1.gate.visibility.v1",
      "answer_id": "b1.gate.visibility.v1.board",
      "stage": "gate",
      "construct": "C02",
      "bounded_observation": "Prefers visible battlefield resources.",
      "signal": "SIG_C02_VISIBLE",
      "dependency_group": "DG_C02",
      "evidence_class": "BEHAVIORAL_OBSERVATION",
      "affected_identities": [],
      "positive_support": [],
      "contradiction": [],
      "neutral": false,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"Observation wording and identity association require player validation; no weight is authorized.",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x:v>
      </x:c>
    </x:row>
    <x:row r="81">
      <x:c r="A81" s="53" t="str">
        <x:v>Part 3/3</x:v>
      </x:c>
      <x:c r="B81" s="53" t="str">
        <x:v>m or a close, mixed, contradictory, or insufficient result and must not be averaged into support.",
      "behavioral_vs_lens": "behavioral"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"b1.hall.pressure.v1",
      "answer_id": "b1.hall.pressure.v1.engine",
      "stage": "hall",
      "construct": "C07",
      "bounded_observation": "Prefers engine-based ending pressure instead of combat pressure.",
      "signal": "SIG_C07_NONCOMBAT_ENGINE",
      "dependency_group": "DG_C07",
      "evidence_class": "BEHAVIORAL_OBSERVATION",
      "affected_identities": [
        "COLORLESS",
        "UR"
      ],
      "positive_support": [
        "COLORLESS",
        "UR"
      ],
      "contradiction": [],
      "neutral": false,
      "mapping_strength": 0.5,
      "naming_evidence": false,
      "qualification_eligible": true,
      "qualification_support": [
        "COLORLESS",
        "UR"
      ],
      "naming_support": [],
      "naming_rule_ids_by_identity": {},
      "mapping_role": "completion_corroboration_direction",
      "mapping_status": "REMEDIATION_MAPPING_HYPOTHESIS",
      "mapping_provenance": "docs/plans/vm551-gate-b1-instrument-completion/instrument-change-adjudication.tsv#b1.hall.pressure.v1.engine;docs/audits/vm555-b1-identity-evidence-gap-bridge/identity-evidence-gap-matrix.tsv",
      "evidence_provenance": "E-VM555;E-CERTIFIED;E-CECOS;E-PLAYER-LANGUAGE",
      "limitation": "Many identities can use engines; the observation describes pressure channel only.",
      "behavioral_vs_lens": "behavioral"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
    {
      "question_id": "b1.hall.commitment.v1",
      "answer_id": "b1.hall.commitment.v1.reopen",
      "stage": "hall",
      "construct": "C13",
      "bounded_observation": "Prefers revisable present influence over a binding future commitment.",
      "signal": "SIG_C13_REVISABLE",
      "dependency_group": "DG_C13",
      "evidence_class": "BEHAVIORAL_OBSERVATION",
      "affected_identities": [
        "SILVERQUILL"
      ],
      "positive_support": [
        "SILVERQUILL"
      ],
      "contradiction": [],
      "neutral": false,
      "mapping_strength": 0.5,
      "naming_evidence": false,
      "qualification_eligible": true,
      "qualification_support": [],
      "naming_support": [],
      "naming_rule_ids_by_identity": {},
      "mapping_role": "completion_corroboration_direction",
      "mapping_status": "REMEDIATION_MAPPING_HYPOTHESIS",
      "mapping_provenance": "docs/plans/vm551-gate-b1-instrument-completion/instrument-change-adjudication.tsv#b1.hall.commitment.v1.reopen;docs/audits/vm555-b1-identity-evidence-gap-bridge/identity-evidence-gap-matrix.tsv",
      "evidence_provenance": "E-VM555;E-CERTIFIED;E-CECOS;E-PLAYER-LANGUAGE",
      "limitation": "Players may reopen a deal because it became impossible, not because they prefer revisable influence.",
      "behavioral_vs_lens": "behavioral"
    },
    {
      "question_id": "b1.crucible.colorless-wubrg.v1",
      "answer_id": "b1.crucible.colorless-wubrg.v1.constraint",
      "stage": "crucible",
      "construct": "C15",
      "bounded_observation": "Prefers an imposed card-pool limitation as part of the desired challenge.",
      "signal": "SIG_C15_NARROW",
      "dependency_group": "DG_C15",
      "evidence_class": "BEHAVIORAL_OBSERVATION",
      "affected_identities": [
        "COLORLESS",
        "WUBRG"
      ],
      "positive_support": [
        "COLORLESS"
      ],
      "contradiction": [
        "WUBRG"
      ],
      "neutral": false,
      "mapping_strength": 1,
      "naming_evidence": true,
      "qualification_eligible": true,
      "qualification_support": [
        "COLORLESS"
      ],
      "naming_support": [
        "COLORLESS"
      ],
      "naming_rule_ids_by_identity": {
        "COLORLESS": [
          "baseline_40:b1.crucible.colorless-wubrg.v1.constraint:COLORLESS"
        ]
      },
      "mapping_role": "exact_pair_direction",
      "mapping_status": "MAPPING_HYPOTHESIS",
      "mapping_provenance": "answer-semantic-adjudication.tsv COLORLESS vs WUBRG evidence-required hypothesis",
      "evidence_provenance": "E-CERTIFIED;E-PLAYER-COMMANDER;E-AUDIT;E-CECOS;E-VOICE",
      "limitation": "Boundary evidence only; prior independent behavior and the direct boundary are required, and this answer cannot assign an identity or cause a one-answer flip.",
      "behavioral_vs_lens": "behavioral"
    }
  ],
  "lens_ledger": [],
  "stage_history": [
    {
      "question_id": "b1.gate.initiative.v1",
      "answer_id": "b1.gate.initiative.v1.respond",
      "stage": "gate",
      "evidence_class": "BEHAVIORAL_OBSERVATION"
    },
    {
      "question_id": "b1.gate.visibility.v1",
      "answer_id": "b1.gate.visibility.v1.board",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"b1.hall.pressure.v1",
      "answer_id": "b1.hall.pressure.v1.engine",
      "stage": "hall",
      "evidence_class": "BEHAVIORAL_OBSERVATION"
    },
    {
      "question_id": "b1.hall.engine-shape.v1",
      "answer_id": "b1.hall.engine-shape.v1.replace",
      "stage": "hall",
      "evidence_class": "BEHAVIORAL_OBSERVATION"
    },
    {
      "question_id": "b1.hall.commitment.v1",
      "answer_id": "b1.hall.commitment.v1.reopen",
      "stage": "hall",
      "evidence_class": "BEHAVIORAL_OBSERVATION"
    },
    {
      "question_id": "b1.crucible.colorless-wubrg.v1",
      "answer_id": "b1.crucible.colorless-wubrg.v1.constraint",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"primary"
}</x:v>
      </x:c>
    </x:row>
  </x:sheetData>
  <x:mergeCells>
    <x:mergeCell ref="A1:T1"/>
    <x:mergeCell ref="A2:T2"/>
    <x:mergeCell ref="A27:T27"/>
    <x:mergeCell ref="A38:T38"/>
    <x:mergeCell ref="A78:T78"/>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34" hidden="0" customWidth="1"/>
    <x:col min="5" max="5" width="62" hidden="0" customWidth="1"/>
    <x:col min="6" max="6" width="38" hidden="0" customWidth="1"/>
    <x:col min="7" max="7" width="28" hidden="0" customWidth="1"/>
    <x:col min="8" max="8" width="11" hidden="0" customWidth="1"/>
    <x:col min="9" max="9" width="20" hidden="0" customWidth="1"/>
    <x:col min="10" max="10" width="15" hidden="0" customWidth="1"/>
    <x:col min="11" max="11" width="22" hidden="0" customWidth="1"/>
    <x:col min="12" max="12" width="20" hidden="0" customWidth="1"/>
    <x:col min="13" max="13" width="20" hidden="0" customWidth="1"/>
    <x:col min="14" max="14" width="10" hidden="0" customWidth="1"/>
    <x:col min="15" max="15" width="10" hidden="0" customWidth="1"/>
    <x:col min="16" max="16" width="28" hidden="0" customWidth="1"/>
    <x:col min="17" max="17" width="45" hidden="0" customWidth="1"/>
    <x:col min="18" max="18" width="62" hidden="0" customWidth="1"/>
    <x:col min="19" max="19" width="13" hidden="0" customWidth="1"/>
    <x:col min="20" max="20" width="48" hidden="0" customWidth="1"/>
  </x:cols>
  <x:sheetData>
    <x:row r="1" ht="34" customHeight="1">
      <x:c r="A1" s="3" t="str">
        <x:v>Five-Color / WUBRG — Engine Trace</x:v>
      </x:c>
      <x:c r="B1" s="3"/>
      <x:c r="C1" s="3"/>
      <x:c r="D1" s="3"/>
      <x:c r="E1" s="3"/>
      <x:c r="F1" s="3"/>
      <x:c r="G1" s="3"/>
      <x:c r="H1" s="3"/>
      <x:c r="I1" s="3"/>
      <x:c r="J1" s="3"/>
      <x:c r="K1" s="3"/>
      <x:c r="L1" s="3"/>
      <x:c r="M1" s="3"/>
      <x:c r="N1" s="3"/>
      <x:c r="O1" s="3"/>
      <x:c r="P1" s="3"/>
      <x:c r="Q1" s="3"/>
      <x:c r="R1" s="3"/>
      <x:c r="S1" s="3"/>
      <x:c r="T1" s="3"/>
    </x:row>
    <x:row r="2" ht="30" customHeight="1">
      <x:c r="A2" s="7" t="str">
        <x:v>ENGINE-WUBRG • PASS_MATCH • primary • trace 5fa8b94e6eb923dcb3b5d6151dc24faabf35d03bbb4302bdf4b2259a1682b437</x:v>
      </x:c>
      <x:c r="B2" s="7"/>
      <x:c r="C2" s="7"/>
      <x:c r="D2" s="7"/>
      <x:c r="E2" s="7"/>
      <x:c r="F2" s="7"/>
      <x:c r="G2" s="7"/>
      <x:c r="H2" s="7"/>
      <x:c r="I2" s="7"/>
      <x:c r="J2" s="7"/>
      <x:c r="K2" s="7"/>
      <x:c r="L2" s="7"/>
      <x:c r="M2" s="7"/>
      <x:c r="N2" s="7"/>
      <x:c r="O2" s="7"/>
      <x:c r="P2" s="7"/>
      <x:c r="Q2" s="7"/>
      <x:c r="R2" s="7"/>
      <x:c r="S2" s="7"/>
      <x:c r="T2" s="7"/>
    </x:row>
    <x:row r="4" ht="28" customHeight="1">
      <x:c r="A4" s="45" t="str">
        <x:v>Field</x:v>
      </x:c>
      <x:c r="B4" s="45" t="str">
        <x:v>Value</x:v>
      </x:c>
    </x:row>
    <x:row r="5">
      <x:c r="A5" s="53" t="str">
        <x:v>Expected key</x:v>
      </x:c>
      <x:c r="B5" s="53" t="str">
        <x:v>WUBRG</x:v>
      </x:c>
    </x:row>
    <x:row r="6">
      <x:c r="A6" s="53" t="str">
        <x:v>Expected public contract</x:v>
      </x:c>
      <x:c r="B6" s="53" t="str">
        <x:v>NAMED_DOSSIER</x:v>
      </x:c>
    </x:row>
    <x:row r="7">
      <x:c r="A7" s="53" t="str">
        <x:v>Witness status</x:v>
      </x:c>
      <x:c r="B7" s="53" t="str">
        <x:v>CURRENT_COMPATIBLE</x:v>
      </x:c>
    </x:row>
    <x:row r="8">
      <x:c r="A8" s="53" t="str">
        <x:v>Actual result</x:v>
      </x:c>
      <x:c r="B8" s="53" t="str">
        <x:v>WUBRG</x:v>
      </x:c>
    </x:row>
    <x:row r="9">
      <x:c r="A9" s="53" t="str">
        <x:v>Directional result</x:v>
      </x:c>
      <x:c r="B9" s="53" t="str">
        <x:v>WUBRG</x:v>
      </x:c>
    </x:row>
    <x:row r="10">
      <x:c r="A10" s="53" t="str">
        <x:v>Public state</x:v>
      </x:c>
      <x:c r="B10" s="53" t="str">
        <x:v>current-best-fit</x:v>
      </x:c>
    </x:row>
    <x:row r="11">
      <x:c r="A11" s="53" t="str">
        <x:v>Raw numeric leader</x:v>
      </x:c>
      <x:c r="B11" s="53" t="str">
        <x:v>WUBRG</x:v>
      </x:c>
    </x:row>
    <x:row r="12">
      <x:c r="A12" s="53" t="str">
        <x:v>Raw score</x:v>
      </x:c>
      <x:c r="B12" s="53" t="n">
        <x:v>0.833333</x:v>
      </x:c>
    </x:row>
    <x:row r="13">
      <x:c r="A13" s="53" t="str">
        <x:v>Raw leader qualified</x:v>
      </x:c>
      <x:c r="B13" s="54" t="b">
        <x:v>1</x:v>
      </x:c>
    </x:row>
    <x:row r="14">
      <x:c r="A14" s="53" t="str">
        <x:v>Selected qualified</x:v>
      </x:c>
      <x:c r="B14" s="54" t="b">
        <x:v>1</x:v>
      </x:c>
    </x:row>
    <x:row r="15">
      <x:c r="A15" s="53" t="str">
        <x:v>Frontier</x:v>
      </x:c>
      <x:c r="B15" s="53" t="str">
        <x:v>WUBRG</x:v>
      </x:c>
    </x:row>
    <x:row r="16">
      <x:c r="A16" s="53" t="str">
        <x:v>Stop reason</x:v>
      </x:c>
      <x:c r="B16" s="53" t="str">
        <x:v>single_named_direction_with_unresolved_alternatives</x:v>
      </x:c>
    </x:row>
    <x:row r="17">
      <x:c r="A17" s="53" t="str">
        <x:v>Engine version</x:v>
      </x:c>
      <x:c r="B17" s="53" t="str">
        <x:v>vm551-gate-b1-placement-engine-v1</x:v>
      </x:c>
    </x:row>
    <x:row r="18">
      <x:c r="A18" s="53" t="str">
        <x:v>Result version</x:v>
      </x:c>
      <x:c r="B18" s="53" t="str">
        <x:v>2026-08-09-gate-b1-v1</x:v>
      </x:c>
    </x:row>
    <x:row r="19">
      <x:c r="A19" s="53" t="str">
        <x:v>Instrument version</x:v>
      </x:c>
      <x:c r="B19" s="53" t="str">
        <x:v>vm551-gate-b1-instrument-v2</x:v>
      </x:c>
    </x:row>
    <x:row r="20">
      <x:c r="A20" s="53" t="str">
        <x:v>Mapping version</x:v>
      </x:c>
      <x:c r="B20" s="53" t="str">
        <x:v>vm551-gate-b1-mapping-v2-instrument-completion</x:v>
      </x:c>
    </x:row>
    <x:row r="21">
      <x:c r="A21" s="53" t="str">
        <x:v>Witness source</x:v>
      </x:c>
      <x:c r="B21" s="53" t="str">
        <x:v>docs/audits/vm551-all-37-dossier-closeout/live-placement-witnesses.json</x:v>
      </x:c>
    </x:row>
    <x:row r="22">
      <x:c r="A22" s="53" t="str">
        <x:v>Witness SHA-256</x:v>
      </x:c>
      <x:c r="B22" s="53" t="str">
        <x:v>3eb7607343fa4787c6e8df0f2f7babd7e2115293f13b5e5474961e237de755af</x:v>
      </x:c>
    </x:row>
    <x:row r="23">
      <x:c r="A23" s="53" t="str">
        <x:v>Model source</x:v>
      </x:c>
      <x:c r="B23" s="53" t="str">
        <x:v>data/gate-b1-placement-model.json</x:v>
      </x:c>
    </x:row>
    <x:row r="24">
      <x:c r="A24" s="53" t="str">
        <x:v>Model SHA-256</x:v>
      </x:c>
      <x:c r="B24" s="53" t="str">
        <x:v>1369c33417d92a4496a65694985d7e315d9f334d81f9c559a3f10c8d046583ea</x:v>
      </x:c>
    </x:row>
    <x:row r="25">
      <x:c r="A25" s="53" t="str">
        <x:v>Trace path</x:v>
      </x:c>
      <x:c r="B25" s="53" t="str">
        <x:v>outputs/01a02cd6-bce7-7832-9558-3075c52f146a/archscry-current-state-2026-08-22/evidence/engine/traces/wubrg.json</x:v>
      </x:c>
    </x:row>
    <x:row r="27" ht="28" customHeight="1">
      <x:c r="A27" s="45" t="str">
        <x:v>PER-ANSWER TRACE</x:v>
      </x:c>
      <x:c r="B27" s="45"/>
      <x:c r="C27" s="45"/>
      <x:c r="D27" s="45"/>
      <x:c r="E27" s="45"/>
      <x:c r="F27" s="45"/>
      <x:c r="G27" s="45"/>
      <x:c r="H27" s="45"/>
      <x:c r="I27" s="45"/>
      <x:c r="J27" s="45"/>
      <x:c r="K27" s="45"/>
      <x:c r="L27" s="45"/>
      <x:c r="M27" s="45"/>
      <x:c r="N27" s="45"/>
      <x:c r="O27" s="45"/>
      <x:c r="P27" s="45"/>
      <x:c r="Q27" s="45"/>
      <x:c r="R27" s="45"/>
      <x:c r="S27" s="45"/>
      <x:c r="T27" s="45"/>
    </x:row>
    <x:row r="28" ht="28" customHeight="1">
      <x:c r="A28" s="45" t="str">
        <x:v>Seq</x:v>
      </x:c>
      <x:c r="B28" s="45" t="str">
        <x:v>Mode</x:v>
      </x:c>
      <x:c r="C28" s="45" t="str">
        <x:v>Stage</x:v>
      </x:c>
      <x:c r="D28" s="45" t="str">
        <x:v>Question ID</x:v>
      </x:c>
      <x:c r="E28" s="45" t="str">
        <x:v>Prompt</x:v>
      </x:c>
      <x:c r="F28" s="45" t="str">
        <x:v>Answer ID</x:v>
      </x:c>
      <x:c r="G28" s="45" t="str">
        <x:v>Answer</x:v>
      </x:c>
      <x:c r="H28" s="45" t="str">
        <x:v>Construct</x:v>
      </x:c>
      <x:c r="I28" s="45" t="str">
        <x:v>Signal</x:v>
      </x:c>
      <x:c r="J28" s="45" t="str">
        <x:v>Dependency</x:v>
      </x:c>
      <x:c r="K28" s="45" t="str">
        <x:v>Evidence Class</x:v>
      </x:c>
      <x:c r="L28" s="45" t="str">
        <x:v>Positive</x:v>
      </x:c>
      <x:c r="M28" s="45" t="str">
        <x:v>Contradiction</x:v>
      </x:c>
      <x:c r="N28" s="45" t="str">
        <x:v>Strength</x:v>
      </x:c>
      <x:c r="O28" s="45" t="str">
        <x:v>Naming</x:v>
      </x:c>
      <x:c r="P28" s="45" t="str">
        <x:v>Mapping Status</x:v>
      </x:c>
      <x:c r="Q28" s="45" t="str">
        <x:v>Observation</x:v>
      </x:c>
      <x:c r="R28" s="45" t="str">
        <x:v>Limitation</x:v>
      </x:c>
      <x:c r="S28" s="45" t="str">
        <x:v>Raw Leader</x:v>
      </x:c>
      <x:c r="T28" s="45" t="str">
        <x:v>Stopping / Next</x:v>
      </x:c>
    </x:row>
    <x:row r="29">
      <x:c r="A29" s="53" t="n">
        <x:v>1</x:v>
      </x:c>
      <x:c r="B29" s="53" t="str">
        <x:v>main</x:v>
      </x:c>
      <x:c r="C29" s="53" t="str">
        <x:v>gate</x:v>
      </x:c>
      <x:c r="D29" s="53" t="str">
        <x:v>b1.gate.initiative.v1</x:v>
      </x:c>
      <x:c r="E29" s="53" t="str">
        <x:v>Your turn begins, no urgent threat needs an answer, and you have enough mana to act. What feels best?</x:v>
      </x:c>
      <x:c r="F29" s="53" t="str">
        <x:v>b1.gate.initiative.v1.unsure</x:v>
      </x:c>
      <x:c r="G29" s="53" t="str">
        <x:v>I do not know yet</x:v>
      </x:c>
      <x:c r="H29" s="53" t="str">
        <x:v>C01</x:v>
      </x:c>
      <x:c r="I29" s="53" t="str">
        <x:v>SIG_C01_UNKNOWN</x:v>
      </x:c>
      <x:c r="J29" s="53" t="str">
        <x:v>DG_C01</x:v>
      </x:c>
      <x:c r="K29" s="53" t="str">
        <x:v>BEHAVIORAL_OBSERVATION</x:v>
      </x:c>
      <x:c r="L29" s="53" t="str"/>
      <x:c r="M29" s="53" t="str"/>
      <x:c r="N29" s="53" t="n">
        <x:v>0</x:v>
      </x:c>
      <x:c r="O29" s="54" t="b">
        <x:v>0</x:v>
      </x:c>
      <x:c r="P29" s="53" t="str">
        <x:v>OBSERVATION_ONLY</x:v>
      </x:c>
      <x:c r="Q29" s="53" t="str">
        <x:v>Reports insufficient experience for this construct.</x:v>
      </x:c>
      <x:c r="R29" s="53" t="str">
        <x:v>Evidence-bearing but non-directional; may justify another Hall item or a close, mixed, contradictory, or insufficient result and must not be averaged into support.</x:v>
      </x:c>
      <x:c r="S29" s="53" t="str">
        <x:v>ABZAN</x:v>
      </x:c>
      <x:c r="T29" s="53" t="str">
        <x:v>incomplete / minimum_questions / b1.hall.commitment.v1</x:v>
      </x:c>
    </x:row>
    <x:row r="30">
      <x:c r="A30" s="53" t="n">
        <x:v>2</x:v>
      </x:c>
      <x:c r="B30" s="53" t="str">
        <x:v>main</x:v>
      </x:c>
      <x:c r="C30" s="53" t="str">
        <x:v>gate</x:v>
      </x:c>
      <x:c r="D30" s="53" t="str">
        <x:v>b1.gate.visibility.v1</x:v>
      </x:c>
      <x:c r="E30" s="53" t="str">
        <x:v>As play comes back around to you, which position usually feels more comfortable?</x:v>
      </x:c>
      <x:c r="F30" s="53" t="str">
        <x:v>b1.gate.visibility.v1.depends</x:v>
      </x:c>
      <x:c r="G30" s="53" t="str">
        <x:v>That depends on the deck</x:v>
      </x:c>
      <x:c r="H30" s="53" t="str">
        <x:v>C02</x:v>
      </x:c>
      <x:c r="I30" s="53" t="str">
        <x:v>SIG_C02_CONDITIONAL</x:v>
      </x:c>
      <x:c r="J30" s="53" t="str">
        <x:v>DG_C02</x:v>
      </x:c>
      <x:c r="K30" s="53" t="str">
        <x:v>BEHAVIORAL_OBSERVATION</x:v>
      </x:c>
      <x:c r="L30" s="53" t="str"/>
      <x:c r="M30" s="53" t="str"/>
      <x:c r="N30" s="53" t="n">
        <x:v>0</x:v>
      </x:c>
      <x:c r="O30" s="54" t="b">
        <x:v>0</x:v>
      </x:c>
      <x:c r="P30" s="53" t="str">
        <x:v>OBSERVATION_ONLY</x:v>
      </x:c>
      <x:c r="Q30" s="53" t="str">
        <x:v>Reports genuine deck-conditionality.</x:v>
      </x:c>
      <x:c r="R30" s="53" t="str">
        <x:v>Evidence-bearing but non-directional; may justify another Hall item or a close, mixed, contradictory, or insufficient result and must not be averaged into support.</x:v>
      </x:c>
      <x:c r="S30" s="53" t="str">
        <x:v>ABZAN</x:v>
      </x:c>
      <x:c r="T30" s="53" t="str">
        <x:v>incomplete / minimum_questions / b1.hall.commitment.v1</x:v>
      </x:c>
    </x:row>
    <x:row r="31">
      <x:c r="A31" s="53" t="n">
        <x:v>3</x:v>
      </x:c>
      <x:c r="B31" s="53" t="str">
        <x:v>main</x:v>
      </x:c>
      <x:c r="C31" s="53" t="str">
        <x:v>gate</x:v>
      </x:c>
      <x:c r="D31" s="53" t="str">
        <x:v>b1.gate.disruption.v1</x:v>
      </x:c>
      <x:c r="E31" s="53" t="str">
        <x:v>A board wipe—an effect that removes many cards and tokens from the battlefield—is likely next turn. What would you rather have prepared?</x:v>
      </x:c>
      <x:c r="F31" s="53" t="str">
        <x:v>b1.gate.disruption.v1.depends</x:v>
      </x:c>
      <x:c r="G31" s="53" t="str">
        <x:v>No usual answer</x:v>
      </x:c>
      <x:c r="H31" s="53" t="str">
        <x:v>C03</x:v>
      </x:c>
      <x:c r="I31" s="53" t="str">
        <x:v>SIG_C03_CONDITIONAL</x:v>
      </x:c>
      <x:c r="J31" s="53" t="str">
        <x:v>DG_C03</x:v>
      </x:c>
      <x:c r="K31" s="53" t="str">
        <x:v>BEHAVIORAL_OBSERVATION</x:v>
      </x:c>
      <x:c r="L31" s="53" t="str"/>
      <x:c r="M31" s="53" t="str"/>
      <x:c r="N31" s="53" t="n">
        <x:v>0</x:v>
      </x:c>
      <x:c r="O31" s="54" t="b">
        <x:v>0</x:v>
      </x:c>
      <x:c r="P31" s="53" t="str">
        <x:v>OBSERVATION_ONLY</x:v>
      </x:c>
      <x:c r="Q31" s="53" t="str">
        <x:v>Reports scenario-conditionality.</x:v>
      </x:c>
      <x:c r="R31" s="53" t="str">
        <x:v>Evidence-bearing but non-directional; may justify another Hall item or a close, mixed, contradictory, or insufficient result and must not be averaged into support.</x:v>
      </x:c>
      <x:c r="S31" s="53" t="str">
        <x:v>ABZAN</x:v>
      </x:c>
      <x:c r="T31" s="53" t="str">
        <x:v>incomplete / minimum_questions / b1.hall.commitment.v1</x:v>
      </x:c>
    </x:row>
    <x:row r="32">
      <x:c r="A32" s="53" t="n">
        <x:v>4</x:v>
      </x:c>
      <x:c r="B32" s="53" t="str">
        <x:v>main</x:v>
      </x:c>
      <x:c r="C32" s="53" t="str">
        <x:v>gate</x:v>
      </x:c>
      <x:c r="D32" s="53" t="str">
        <x:v>b1.gate.tempo.v1</x:v>
      </x:c>
      <x:c r="E32" s="53" t="str">
        <x:v>When your Commander deck is doing what you built it to do, how do you want the advantage to arrive?</x:v>
      </x:c>
      <x:c r="F32" s="53" t="str">
        <x:v>b1.gate.tempo.v1.depends</x:v>
      </x:c>
      <x:c r="G32" s="53" t="str">
        <x:v>No stable preference</x:v>
      </x:c>
      <x:c r="H32" s="53" t="str">
        <x:v>C04</x:v>
      </x:c>
      <x:c r="I32" s="53" t="str">
        <x:v>SIG_C04_CONDITIONAL</x:v>
      </x:c>
      <x:c r="J32" s="53" t="str">
        <x:v>DG_C04</x:v>
      </x:c>
      <x:c r="K32" s="53" t="str">
        <x:v>BEHAVIORAL_OBSERVATION</x:v>
      </x:c>
      <x:c r="L32" s="53" t="str"/>
      <x:c r="M32" s="53" t="str"/>
      <x:c r="N32" s="53" t="n">
        <x:v>0</x:v>
      </x:c>
      <x:c r="O32" s="54" t="b">
        <x:v>0</x:v>
      </x:c>
      <x:c r="P32" s="53" t="str">
        <x:v>OBSERVATION_ONLY</x:v>
      </x:c>
      <x:c r="Q32" s="53" t="str">
        <x:v>Reports no stable payoff-rhythm preference.</x:v>
      </x:c>
      <x:c r="R32" s="53" t="str">
        <x:v>Evidence-bearing but non-directional; may justify another Hall item or a close, mixed, contradictory, or insufficient result and must not be averaged into support.</x:v>
      </x:c>
      <x:c r="S32" s="53" t="str">
        <x:v>ABZAN</x:v>
      </x:c>
      <x:c r="T32" s="53" t="str">
        <x:v>incomplete / minimum_questions / b1.hall.commitment.v1</x:v>
      </x:c>
    </x:row>
    <x:row r="33">
      <x:c r="A33" s="53" t="n">
        <x:v>5</x:v>
      </x:c>
      <x:c r="B33" s="53" t="str">
        <x:v>main</x:v>
      </x:c>
      <x:c r="C33" s="53" t="str">
        <x:v>hall</x:v>
      </x:c>
      <x:c r="D33" s="53" t="str">
        <x:v>b1.hall.commitment.v1</x:v>
      </x:c>
      <x:c r="E33" s="53" t="str">
        <x:v>The table agrees to stop a repeatable threat. Before your next turn, the board changes and that threat is weaker but still present. What should the agreement require now?</x:v>
      </x:c>
      <x:c r="F33" s="53" t="str">
        <x:v>b1.hall.commitment.v1.access</x:v>
      </x:c>
      <x:c r="G33" s="53" t="str">
        <x:v>Protect shared access</x:v>
      </x:c>
      <x:c r="H33" s="53" t="str">
        <x:v>C13</x:v>
      </x:c>
      <x:c r="I33" s="53" t="str">
        <x:v>SIG_C13_SHARED_ACCESS</x:v>
      </x:c>
      <x:c r="J33" s="53" t="str">
        <x:v>DG_C13</x:v>
      </x:c>
      <x:c r="K33" s="53" t="str">
        <x:v>BEHAVIORAL_OBSERVATION</x:v>
      </x:c>
      <x:c r="L33" s="53" t="str">
        <x:v>BANT | WG | WUBRG</x:v>
      </x:c>
      <x:c r="M33" s="53" t="str"/>
      <x:c r="N33" s="53" t="n">
        <x:v>1</x:v>
      </x:c>
      <x:c r="O33" s="54" t="b">
        <x:v>1</x:v>
      </x:c>
      <x:c r="P33" s="53" t="str">
        <x:v>REMEDIATION_MAPPING_HYPOTHESIS</x:v>
      </x:c>
      <x:c r="Q33" s="53" t="str">
        <x:v>Prefers protecting a shared resource or opportunity after circumstances change.</x:v>
      </x:c>
      <x:c r="R33" s="53" t="str">
        <x:v>A player may preserve access for tactical benefit, generosity, politics, or theme; independent evidence is required.</x:v>
      </x:c>
      <x:c r="S33" s="53" t="str">
        <x:v>WG</x:v>
      </x:c>
      <x:c r="T33" s="53" t="str">
        <x:v>incomplete / minimum_questions / b1.hall.setup.v1</x:v>
      </x:c>
    </x:row>
    <x:row r="34">
      <x:c r="A34" s="53" t="n">
        <x:v>6</x:v>
      </x:c>
      <x:c r="B34" s="53" t="str">
        <x:v>main</x:v>
      </x:c>
      <x:c r="C34" s="53" t="str">
        <x:v>hall</x:v>
      </x:c>
      <x:c r="D34" s="53" t="str">
        <x:v>b1.hall.setup.v1</x:v>
      </x:c>
      <x:c r="E34" s="53" t="str">
        <x:v>Your deck becomes much stronger after several setup turns, but the table is already developing threats. What must the setup do along the way?</x:v>
      </x:c>
      <x:c r="F34" s="53" t="str">
        <x:v>b1.hall.setup.v1.change</x:v>
      </x:c>
      <x:c r="G34" s="53" t="str">
        <x:v>Change plans for this game</x:v>
      </x:c>
      <x:c r="H34" s="53" t="str">
        <x:v>C14</x:v>
      </x:c>
      <x:c r="I34" s="53" t="str">
        <x:v>SIG_C14_BOARD_RESPONSIVE</x:v>
      </x:c>
      <x:c r="J34" s="53" t="str">
        <x:v>DG_C14</x:v>
      </x:c>
      <x:c r="K34" s="53" t="str">
        <x:v>BEHAVIORAL_OBSERVATION</x:v>
      </x:c>
      <x:c r="L34" s="53" t="str">
        <x:v>GLINT | TEMUR</x:v>
      </x:c>
      <x:c r="M34" s="53" t="str"/>
      <x:c r="N34" s="53" t="n">
        <x:v>0.5</x:v>
      </x:c>
      <x:c r="O34" s="54" t="b">
        <x:v>0</x:v>
      </x:c>
      <x:c r="P34" s="53" t="str">
        <x:v>REMEDIATION_MAPPING_HYPOTHESIS</x:v>
      </x:c>
      <x:c r="Q34" s="53" t="str">
        <x:v>Prefers board-responsive development over preserving a stalled long plan.</x:v>
      </x:c>
      <x:c r="R34" s="53" t="str">
        <x:v>A clearly lost setup can make changing plans tactically mandatory.</x:v>
      </x:c>
      <x:c r="S34" s="53" t="str">
        <x:v>WG</x:v>
      </x:c>
      <x:c r="T34" s="53" t="str">
        <x:v>incomplete / useful_evidence_remains / b1.hall.engine-shape.v1</x:v>
      </x:c>
    </x:row>
    <x:row r="35">
      <x:c r="A35" s="53" t="n">
        <x:v>7</x:v>
      </x:c>
      <x:c r="B35" s="53" t="str">
        <x:v>main</x:v>
      </x:c>
      <x:c r="C35" s="53" t="str">
        <x:v>hall</x:v>
      </x:c>
      <x:c r="D35" s="53" t="str">
        <x:v>b1.hall.engine-shape.v1</x:v>
      </x:c>
      <x:c r="E35" s="53" t="str">
        <x:v>Opponents have learned how to stop your main engine. When you revise the deck, what structure do you want next?</x:v>
      </x:c>
      <x:c r="F35" s="53" t="str">
        <x:v>b1.hall.engine-shape.v1.replace</x:v>
      </x:c>
      <x:c r="G35" s="53" t="str">
        <x:v>Make each job replaceable</x:v>
      </x:c>
      <x:c r="H35" s="53" t="str">
        <x:v>C06</x:v>
      </x:c>
      <x:c r="I35" s="53" t="str">
        <x:v>SIG_C06_REDUNDANT</x:v>
      </x:c>
      <x:c r="J35" s="53" t="str">
        <x:v>DG_C06</x:v>
      </x:c>
      <x:c r="K35" s="53" t="str">
        <x:v>BEHAVIORAL_OBSERVATION</x:v>
      </x:c>
      <x:c r="L35" s="53" t="str">
        <x:v>COLORLESS | LOREHOLD | YORE</x:v>
      </x:c>
      <x:c r="M35" s="53" t="str"/>
      <x:c r="N35" s="53" t="n">
        <x:v>0.5</x:v>
      </x:c>
      <x:c r="O35" s="54" t="b">
        <x:v>0</x:v>
      </x:c>
      <x:c r="P35" s="53" t="str">
        <x:v>REMEDIATION_MAPPING_HYPOTHESIS</x:v>
      </x:c>
      <x:c r="Q35" s="53" t="str">
        <x:v>Prefers replaceable functional redundancy.</x:v>
      </x:c>
      <x:c r="R35" s="53" t="str">
        <x:v>Consistency can be a generic deckbuilding goal rather than identity evidence.</x:v>
      </x:c>
      <x:c r="S35" s="53" t="str">
        <x:v>WG</x:v>
      </x:c>
      <x:c r="T35" s="53" t="str">
        <x:v>incomplete / useful_evidence_remains / b1.crucible.colorless-wubrg.v1</x:v>
      </x:c>
    </x:row>
    <x:row r="36">
      <x:c r="A36" s="53" t="n">
        <x:v>8</x:v>
      </x:c>
      <x:c r="B36" s="53" t="str">
        <x:v>main</x:v>
      </x:c>
      <x:c r="C36" s="53" t="str">
        <x:v>crucible</x:v>
      </x:c>
      <x:c r="D36" s="53" t="str">
        <x:v>b1.crucible.colorless-wubrg.v1</x:v>
      </x:c>
      <x:c r="E36" s="53" t="str">
        <x:v>When building around an idea you like, which kind of challenge sounds more satisfying?</x:v>
      </x:c>
      <x:c r="F36" s="53" t="str">
        <x:v>b1.crucible.colorless-wubrg.v1.breadth</x:v>
      </x:c>
      <x:c r="G36" s="53" t="str">
        <x:v>Choose the limits myself</x:v>
      </x:c>
      <x:c r="H36" s="53" t="str">
        <x:v>C15</x:v>
      </x:c>
      <x:c r="I36" s="53" t="str">
        <x:v>SIG_C15_BROAD</x:v>
      </x:c>
      <x:c r="J36" s="53" t="str">
        <x:v>DG_C15</x:v>
      </x:c>
      <x:c r="K36" s="53" t="str">
        <x:v>BEHAVIORAL_OBSERVATION</x:v>
      </x:c>
      <x:c r="L36" s="53" t="str">
        <x:v>WUBRG</x:v>
      </x:c>
      <x:c r="M36" s="53" t="str">
        <x:v>COLORLESS</x:v>
      </x:c>
      <x:c r="N36" s="53" t="n">
        <x:v>1</x:v>
      </x:c>
      <x:c r="O36" s="54" t="b">
        <x:v>1</x:v>
      </x:c>
      <x:c r="P36" s="53" t="str">
        <x:v>MAPPING_HYPOTHESIS</x:v>
      </x:c>
      <x:c r="Q36" s="53" t="str">
        <x:v>Prefers broad access followed by self-chosen deckbuilding boundaries.</x:v>
      </x:c>
      <x:c r="R36" s="53" t="str">
        <x:v>Boundary evidence only; prior independent behavior and the direct boundary are required, and this answer cannot assign an identity or cause a one-answer flip.</x:v>
      </x:c>
      <x:c r="S36" s="53" t="str">
        <x:v>WUBRG</x:v>
      </x:c>
      <x:c r="T36" s="53" t="str">
        <x:v>close / single_named_direction_with_unresolved_alternatives / </x:v>
      </x:c>
    </x:row>
    <x:row r="38" ht="28" customHeight="1">
      <x:c r="A38" s="45" t="str">
        <x:v>FINAL CANDIDATE INVENTORY</x:v>
      </x:c>
      <x:c r="B38" s="45"/>
      <x:c r="C38" s="45"/>
      <x:c r="D38" s="45"/>
      <x:c r="E38" s="45"/>
      <x:c r="F38" s="45"/>
      <x:c r="G38" s="45"/>
      <x:c r="H38" s="45"/>
      <x:c r="I38" s="45"/>
      <x:c r="J38" s="45"/>
      <x:c r="K38" s="45"/>
      <x:c r="L38" s="45"/>
      <x:c r="M38" s="45"/>
      <x:c r="N38" s="45"/>
      <x:c r="O38" s="45"/>
      <x:c r="P38" s="45"/>
      <x:c r="Q38" s="45"/>
      <x:c r="R38" s="45"/>
      <x:c r="S38" s="45"/>
      <x:c r="T38" s="45"/>
    </x:row>
    <x:row r="39" ht="28" customHeight="1">
      <x:c r="A39" s="45" t="str">
        <x:v>Rank</x:v>
      </x:c>
      <x:c r="B39" s="45" t="str">
        <x:v>Identity</x:v>
      </x:c>
      <x:c r="C39" s="45" t="str">
        <x:v>Name</x:v>
      </x:c>
      <x:c r="D39" s="45" t="str">
        <x:v>Score</x:v>
      </x:c>
      <x:c r="E39" s="45" t="str">
        <x:v>Qualified</x:v>
      </x:c>
      <x:c r="F39" s="45" t="str">
        <x:v>Positive Constructs</x:v>
      </x:c>
    </x:row>
    <x:row r="40">
      <x:c r="A40" s="53" t="n">
        <x:v>1</x:v>
      </x:c>
      <x:c r="B40" s="53" t="str">
        <x:v>WUBRG</x:v>
      </x:c>
      <x:c r="C40" s="53" t="str">
        <x:v>Five-Color / WUBRG</x:v>
      </x:c>
      <x:c r="D40" s="53" t="n">
        <x:v>0.833333</x:v>
      </x:c>
      <x:c r="E40" s="54" t="b">
        <x:v>1</x:v>
      </x:c>
      <x:c r="F40" s="53" t="str">
        <x:v>C13 | C15</x:v>
      </x:c>
    </x:row>
    <x:row r="41">
      <x:c r="A41" s="53" t="n">
        <x:v>2</x:v>
      </x:c>
      <x:c r="B41" s="53" t="str">
        <x:v>WG</x:v>
      </x:c>
      <x:c r="C41" s="53" t="str">
        <x:v>Selesnya Conclave</x:v>
      </x:c>
      <x:c r="D41" s="53" t="n">
        <x:v>0.833333</x:v>
      </x:c>
      <x:c r="E41" s="54" t="b">
        <x:v>0</x:v>
      </x:c>
      <x:c r="F41" s="53" t="str">
        <x:v>C13</x:v>
      </x:c>
    </x:row>
    <x:row r="42">
      <x:c r="A42" s="53" t="n">
        <x:v>3</x:v>
      </x:c>
      <x:c r="B42" s="53" t="str">
        <x:v>BANT</x:v>
      </x:c>
      <x:c r="C42" s="53" t="str">
        <x:v>Bant</x:v>
      </x:c>
      <x:c r="D42" s="53" t="n">
        <x:v>0.75</x:v>
      </x:c>
      <x:c r="E42" s="54" t="b">
        <x:v>0</x:v>
      </x:c>
      <x:c r="F42" s="53" t="str">
        <x:v>C13</x:v>
      </x:c>
    </x:row>
    <x:row r="43">
      <x:c r="A43" s="53" t="n">
        <x:v>4</x:v>
      </x:c>
      <x:c r="B43" s="53" t="str">
        <x:v>LOREHOLD</x:v>
      </x:c>
      <x:c r="C43" s="53" t="str">
        <x:v>Lorehold College</x:v>
      </x:c>
      <x:c r="D43" s="53" t="n">
        <x:v>0.458333</x:v>
      </x:c>
      <x:c r="E43" s="54" t="b">
        <x:v>0</x:v>
      </x:c>
      <x:c r="F43" s="53" t="str">
        <x:v>C06</x:v>
      </x:c>
    </x:row>
    <x:row r="44">
      <x:c r="A44" s="53" t="n">
        <x:v>5</x:v>
      </x:c>
      <x:c r="B44" s="53" t="str">
        <x:v>TEMUR</x:v>
      </x:c>
      <x:c r="C44" s="53" t="str">
        <x:v>Temur Frontier</x:v>
      </x:c>
      <x:c r="D44" s="53" t="n">
        <x:v>0.458333</x:v>
      </x:c>
      <x:c r="E44" s="54" t="b">
        <x:v>0</x:v>
      </x:c>
      <x:c r="F44" s="53" t="str">
        <x:v>C14</x:v>
      </x:c>
    </x:row>
    <x:row r="45">
      <x:c r="A45" s="53" t="n">
        <x:v>6</x:v>
      </x:c>
      <x:c r="B45" s="53" t="str">
        <x:v>YORE</x:v>
      </x:c>
      <x:c r="C45" s="53" t="str">
        <x:v>Yore / Artifice</x:v>
      </x:c>
      <x:c r="D45" s="53" t="n">
        <x:v>0.458333</x:v>
      </x:c>
      <x:c r="E45" s="54" t="b">
        <x:v>0</x:v>
      </x:c>
      <x:c r="F45" s="53" t="str"/>
    </x:row>
    <x:row r="46">
      <x:c r="A46" s="53" t="n">
        <x:v>7</x:v>
      </x:c>
      <x:c r="B46" s="53" t="str">
        <x:v>GLINT</x:v>
      </x:c>
      <x:c r="C46" s="53" t="str">
        <x:v>Glint / Chaos</x:v>
      </x:c>
      <x:c r="D46" s="53" t="n">
        <x:v>0.375</x:v>
      </x:c>
      <x:c r="E46" s="54" t="b">
        <x:v>0</x:v>
      </x:c>
      <x:c r="F46" s="53" t="str">
        <x:v>C14</x:v>
      </x:c>
    </x:row>
    <x:row r="47">
      <x:c r="A47" s="53" t="n">
        <x:v>8</x:v>
      </x:c>
      <x:c r="B47" s="53" t="str">
        <x:v>ABZAN</x:v>
      </x:c>
      <x:c r="C47" s="53" t="str">
        <x:v>Abzan Houses</x:v>
      </x:c>
      <x:c r="D47" s="53" t="n">
        <x:v>0.166667</x:v>
      </x:c>
      <x:c r="E47" s="54" t="b">
        <x:v>0</x:v>
      </x:c>
      <x:c r="F47" s="53" t="str"/>
    </x:row>
    <x:row r="48">
      <x:c r="A48" s="53" t="n">
        <x:v>9</x:v>
      </x:c>
      <x:c r="B48" s="53" t="str">
        <x:v>QUANDRIX</x:v>
      </x:c>
      <x:c r="C48" s="53" t="str">
        <x:v>Quandrix College</x:v>
      </x:c>
      <x:c r="D48" s="53" t="n">
        <x:v>0.166667</x:v>
      </x:c>
      <x:c r="E48" s="54" t="b">
        <x:v>0</x:v>
      </x:c>
      <x:c r="F48" s="53" t="str"/>
    </x:row>
    <x:row r="49">
      <x:c r="A49" s="53" t="n">
        <x:v>10</x:v>
      </x:c>
      <x:c r="B49" s="53" t="str">
        <x:v>SULTAI</x:v>
      </x:c>
      <x:c r="C49" s="53" t="str">
        <x:v>Sultai Brood</x:v>
      </x:c>
      <x:c r="D49" s="53" t="n">
        <x:v>0.166667</x:v>
      </x:c>
      <x:c r="E49" s="54" t="b">
        <x:v>0</x:v>
      </x:c>
      <x:c r="F49" s="53" t="str"/>
    </x:row>
    <x:row r="50">
      <x:c r="A50" s="53" t="n">
        <x:v>11</x:v>
      </x:c>
      <x:c r="B50" s="53" t="str">
        <x:v>UG</x:v>
      </x:c>
      <x:c r="C50" s="53" t="str">
        <x:v>Simic Combine</x:v>
      </x:c>
      <x:c r="D50" s="53" t="n">
        <x:v>0.166667</x:v>
      </x:c>
      <x:c r="E50" s="54" t="b">
        <x:v>0</x:v>
      </x:c>
      <x:c r="F50" s="53" t="str"/>
    </x:row>
    <x:row r="51">
      <x:c r="A51" s="53" t="n">
        <x:v>12</x:v>
      </x:c>
      <x:c r="B51" s="53" t="str">
        <x:v>WITCH</x:v>
      </x:c>
      <x:c r="C51" s="53" t="str">
        <x:v>Witch / Growth</x:v>
      </x:c>
      <x:c r="D51" s="53" t="n">
        <x:v>0.166667</x:v>
      </x:c>
      <x:c r="E51" s="54" t="b">
        <x:v>0</x:v>
      </x:c>
      <x:c r="F51" s="53" t="str"/>
    </x:row>
    <x:row r="52">
      <x:c r="A52" s="53" t="n">
        <x:v>13</x:v>
      </x:c>
      <x:c r="B52" s="53" t="str">
        <x:v>WITHERBLOOM</x:v>
      </x:c>
      <x:c r="C52" s="53" t="str">
        <x:v>Witherbloom College</x:v>
      </x:c>
      <x:c r="D52" s="53" t="n">
        <x:v>0.166667</x:v>
      </x:c>
      <x:c r="E52" s="54" t="b">
        <x:v>0</x:v>
      </x:c>
      <x:c r="F52" s="53" t="str"/>
    </x:row>
    <x:row r="53">
      <x:c r="A53" s="53" t="n">
        <x:v>14</x:v>
      </x:c>
      <x:c r="B53" s="53" t="str">
        <x:v>BG</x:v>
      </x:c>
      <x:c r="C53" s="53" t="str">
        <x:v>Golgari Swarm</x:v>
      </x:c>
      <x:c r="D53" s="53" t="n">
        <x:v>0.083333</x:v>
      </x:c>
      <x:c r="E53" s="54" t="b">
        <x:v>0</x:v>
      </x:c>
      <x:c r="F53" s="53" t="str"/>
    </x:row>
    <x:row r="54">
      <x:c r="A54" s="53" t="n">
        <x:v>15</x:v>
      </x:c>
      <x:c r="B54" s="53" t="str">
        <x:v>DUNE</x:v>
      </x:c>
      <x:c r="C54" s="53" t="str">
        <x:v>Dune / Aggression</x:v>
      </x:c>
      <x:c r="D54" s="53" t="n">
        <x:v>0.083333</x:v>
      </x:c>
      <x:c r="E54" s="54" t="b">
        <x:v>0</x:v>
      </x:c>
      <x:c r="F54" s="53" t="str"/>
    </x:row>
    <x:row r="55">
      <x:c r="A55" s="53" t="n">
        <x:v>16</x:v>
      </x:c>
      <x:c r="B55" s="53" t="str">
        <x:v>INK</x:v>
      </x:c>
      <x:c r="C55" s="53" t="str">
        <x:v>Ink / Altruism</x:v>
      </x:c>
      <x:c r="D55" s="53" t="n">
        <x:v>0.083333</x:v>
      </x:c>
      <x:c r="E55" s="54" t="b">
        <x:v>0</x:v>
      </x:c>
      <x:c r="F55" s="53" t="str"/>
    </x:row>
    <x:row r="56">
      <x:c r="A56" s="53" t="n">
        <x:v>17</x:v>
      </x:c>
      <x:c r="B56" s="53" t="str">
        <x:v>MARDU</x:v>
      </x:c>
      <x:c r="C56" s="53" t="str">
        <x:v>Mardu Horde</x:v>
      </x:c>
      <x:c r="D56" s="53" t="n">
        <x:v>0.083333</x:v>
      </x:c>
      <x:c r="E56" s="54" t="b">
        <x:v>0</x:v>
      </x:c>
      <x:c r="F56" s="53" t="str"/>
    </x:row>
    <x:row r="57">
      <x:c r="A57" s="53" t="n">
        <x:v>18</x:v>
      </x:c>
      <x:c r="B57" s="53" t="str">
        <x:v>SILVERQUILL</x:v>
      </x:c>
      <x:c r="C57" s="53" t="str">
        <x:v>Silverquill College</x:v>
      </x:c>
      <x:c r="D57" s="53" t="n">
        <x:v>0.083333</x:v>
      </x:c>
      <x:c r="E57" s="54" t="b">
        <x:v>0</x:v>
      </x:c>
      <x:c r="F57" s="53" t="str"/>
    </x:row>
    <x:row r="58">
      <x:c r="A58" s="53" t="n">
        <x:v>19</x:v>
      </x:c>
      <x:c r="B58" s="53" t="str">
        <x:v>UR</x:v>
      </x:c>
      <x:c r="C58" s="53" t="str">
        <x:v>Izzet League</x:v>
      </x:c>
      <x:c r="D58" s="53" t="n">
        <x:v>0.083333</x:v>
      </x:c>
      <x:c r="E58" s="54" t="b">
        <x:v>0</x:v>
      </x:c>
      <x:c r="F58" s="53" t="str"/>
    </x:row>
    <x:row r="59">
      <x:c r="A59" s="53" t="n">
        <x:v>20</x:v>
      </x:c>
      <x:c r="B59" s="53" t="str">
        <x:v>WB</x:v>
      </x:c>
      <x:c r="C59" s="53" t="str">
        <x:v>Orzhov Syndicate</x:v>
      </x:c>
      <x:c r="D59" s="53" t="n">
        <x:v>0.083333</x:v>
      </x:c>
      <x:c r="E59" s="54" t="b">
        <x:v>0</x:v>
      </x:c>
      <x:c r="F59" s="53" t="str"/>
    </x:row>
    <x:row r="60">
      <x:c r="A60" s="53" t="n">
        <x:v>21</x:v>
      </x:c>
      <x:c r="B60" s="53" t="str">
        <x:v>G</x:v>
      </x:c>
      <x:c r="C60" s="53" t="str">
        <x:v>Green</x:v>
      </x:c>
      <x:c r="D60" s="53" t="n">
        <x:v>0.083333</x:v>
      </x:c>
      <x:c r="E60" s="54" t="b">
        <x:v>0</x:v>
      </x:c>
      <x:c r="F60" s="53" t="str"/>
    </x:row>
    <x:row r="61">
      <x:c r="A61" s="53" t="n">
        <x:v>22</x:v>
      </x:c>
      <x:c r="B61" s="53" t="str">
        <x:v>W</x:v>
      </x:c>
      <x:c r="C61" s="53" t="str">
        <x:v>White</x:v>
      </x:c>
      <x:c r="D61" s="53" t="n">
        <x:v>0.083333</x:v>
      </x:c>
      <x:c r="E61" s="54" t="b">
        <x:v>0</x:v>
      </x:c>
      <x:c r="F61" s="53" t="str"/>
    </x:row>
    <x:row r="62">
      <x:c r="A62" s="53" t="n">
        <x:v>23</x:v>
      </x:c>
      <x:c r="B62" s="53" t="str">
        <x:v>COLORLESS</x:v>
      </x:c>
      <x:c r="C62" s="53" t="str">
        <x:v>Colorless</x:v>
      </x:c>
      <x:c r="D62" s="53" t="n">
        <x:v>0.072917</x:v>
      </x:c>
      <x:c r="E62" s="54" t="b">
        <x:v>0</x:v>
      </x:c>
      <x:c r="F62" s="53" t="str">
        <x:v>C06</x:v>
      </x:c>
    </x:row>
    <x:row r="63">
      <x:c r="A63" s="53" t="n">
        <x:v>24</x:v>
      </x:c>
      <x:c r="B63" s="53" t="str">
        <x:v>ESPER</x:v>
      </x:c>
      <x:c r="C63" s="53" t="str">
        <x:v>Esper</x:v>
      </x:c>
      <x:c r="D63" s="53" t="n">
        <x:v>0.0625</x:v>
      </x:c>
      <x:c r="E63" s="54" t="b">
        <x:v>0</x:v>
      </x:c>
      <x:c r="F63" s="53" t="str"/>
    </x:row>
    <x:row r="64">
      <x:c r="A64" s="53" t="n">
        <x:v>25</x:v>
      </x:c>
      <x:c r="B64" s="53" t="str">
        <x:v>WU</x:v>
      </x:c>
      <x:c r="C64" s="53" t="str">
        <x:v>Azorius Senate</x:v>
      </x:c>
      <x:c r="D64" s="53" t="n">
        <x:v>0.0625</x:v>
      </x:c>
      <x:c r="E64" s="54" t="b">
        <x:v>0</x:v>
      </x:c>
      <x:c r="F64" s="53" t="str"/>
    </x:row>
    <x:row r="65">
      <x:c r="A65" s="53" t="n">
        <x:v>26</x:v>
      </x:c>
      <x:c r="B65" s="53" t="str">
        <x:v>U</x:v>
      </x:c>
      <x:c r="C65" s="53" t="str">
        <x:v>Blue</x:v>
      </x:c>
      <x:c r="D65" s="53" t="n">
        <x:v>0.0625</x:v>
      </x:c>
      <x:c r="E65" s="54" t="b">
        <x:v>0</x:v>
      </x:c>
      <x:c r="F65" s="53" t="str"/>
    </x:row>
    <x:row r="66">
      <x:c r="A66" s="53" t="n">
        <x:v>27</x:v>
      </x:c>
      <x:c r="B66" s="53" t="str">
        <x:v>BR</x:v>
      </x:c>
      <x:c r="C66" s="53" t="str">
        <x:v>Cult of Rakdos</x:v>
      </x:c>
      <x:c r="D66" s="53" t="n">
        <x:v>0</x:v>
      </x:c>
      <x:c r="E66" s="54" t="b">
        <x:v>0</x:v>
      </x:c>
      <x:c r="F66" s="53" t="str"/>
    </x:row>
    <x:row r="67">
      <x:c r="A67" s="53" t="n">
        <x:v>28</x:v>
      </x:c>
      <x:c r="B67" s="53" t="str">
        <x:v>GRIXIS</x:v>
      </x:c>
      <x:c r="C67" s="53" t="str">
        <x:v>Grixis</x:v>
      </x:c>
      <x:c r="D67" s="53" t="n">
        <x:v>0</x:v>
      </x:c>
      <x:c r="E67" s="54" t="b">
        <x:v>0</x:v>
      </x:c>
      <x:c r="F67" s="53" t="str"/>
    </x:row>
    <x:row r="68">
      <x:c r="A68" s="53" t="n">
        <x:v>29</x:v>
      </x:c>
      <x:c r="B68" s="53" t="str">
        <x:v>JESKAI</x:v>
      </x:c>
      <x:c r="C68" s="53" t="str">
        <x:v>Jeskai Way</x:v>
      </x:c>
      <x:c r="D68" s="53" t="n">
        <x:v>0</x:v>
      </x:c>
      <x:c r="E68" s="54" t="b">
        <x:v>0</x:v>
      </x:c>
      <x:c r="F68" s="53" t="str"/>
    </x:row>
    <x:row r="69">
      <x:c r="A69" s="53" t="n">
        <x:v>30</x:v>
      </x:c>
      <x:c r="B69" s="53" t="str">
        <x:v>JUND</x:v>
      </x:c>
      <x:c r="C69" s="53" t="str">
        <x:v>Jund</x:v>
      </x:c>
      <x:c r="D69" s="53" t="n">
        <x:v>0</x:v>
      </x:c>
      <x:c r="E69" s="54" t="b">
        <x:v>0</x:v>
      </x:c>
      <x:c r="F69" s="53" t="str"/>
    </x:row>
    <x:row r="70">
      <x:c r="A70" s="53" t="n">
        <x:v>31</x:v>
      </x:c>
      <x:c r="B70" s="53" t="str">
        <x:v>NAYA</x:v>
      </x:c>
      <x:c r="C70" s="53" t="str">
        <x:v>Naya</x:v>
      </x:c>
      <x:c r="D70" s="53" t="n">
        <x:v>0</x:v>
      </x:c>
      <x:c r="E70" s="54" t="b">
        <x:v>0</x:v>
      </x:c>
      <x:c r="F70" s="53" t="str"/>
    </x:row>
    <x:row r="71">
      <x:c r="A71" s="53" t="n">
        <x:v>32</x:v>
      </x:c>
      <x:c r="B71" s="53" t="str">
        <x:v>PRISMARI</x:v>
      </x:c>
      <x:c r="C71" s="53" t="str">
        <x:v>Prismari College</x:v>
      </x:c>
      <x:c r="D71" s="53" t="n">
        <x:v>0</x:v>
      </x:c>
      <x:c r="E71" s="54" t="b">
        <x:v>0</x:v>
      </x:c>
      <x:c r="F71" s="53" t="str"/>
    </x:row>
    <x:row r="72">
      <x:c r="A72" s="53" t="n">
        <x:v>33</x:v>
      </x:c>
      <x:c r="B72" s="53" t="str">
        <x:v>RG</x:v>
      </x:c>
      <x:c r="C72" s="53" t="str">
        <x:v>Gruul Clans</x:v>
      </x:c>
      <x:c r="D72" s="53" t="n">
        <x:v>0</x:v>
      </x:c>
      <x:c r="E72" s="54" t="b">
        <x:v>0</x:v>
      </x:c>
      <x:c r="F72" s="53" t="str"/>
    </x:row>
    <x:row r="73">
      <x:c r="A73" s="53" t="n">
        <x:v>34</x:v>
      </x:c>
      <x:c r="B73" s="53" t="str">
        <x:v>UB</x:v>
      </x:c>
      <x:c r="C73" s="53" t="str">
        <x:v>House Dimir</x:v>
      </x:c>
      <x:c r="D73" s="53" t="n">
        <x:v>0</x:v>
      </x:c>
      <x:c r="E73" s="54" t="b">
        <x:v>0</x:v>
      </x:c>
      <x:c r="F73" s="53" t="str"/>
    </x:row>
    <x:row r="74">
      <x:c r="A74" s="53" t="n">
        <x:v>35</x:v>
      </x:c>
      <x:c r="B74" s="53" t="str">
        <x:v>WR</x:v>
      </x:c>
      <x:c r="C74" s="53" t="str">
        <x:v>Boros Legion</x:v>
      </x:c>
      <x:c r="D74" s="53" t="n">
        <x:v>0</x:v>
      </x:c>
      <x:c r="E74" s="54" t="b">
        <x:v>0</x:v>
      </x:c>
      <x:c r="F74" s="53" t="str"/>
    </x:row>
    <x:row r="75">
      <x:c r="A75" s="53" t="n">
        <x:v>36</x:v>
      </x:c>
      <x:c r="B75" s="53" t="str">
        <x:v>B</x:v>
      </x:c>
      <x:c r="C75" s="53" t="str">
        <x:v>Black</x:v>
      </x:c>
      <x:c r="D75" s="53" t="n">
        <x:v>0</x:v>
      </x:c>
      <x:c r="E75" s="54" t="b">
        <x:v>0</x:v>
      </x:c>
      <x:c r="F75" s="53" t="str"/>
    </x:row>
    <x:row r="76">
      <x:c r="A76" s="53" t="n">
        <x:v>37</x:v>
      </x:c>
      <x:c r="B76" s="53" t="str">
        <x:v>R</x:v>
      </x:c>
      <x:c r="C76" s="53" t="str">
        <x:v>Red</x:v>
      </x:c>
      <x:c r="D76" s="53" t="n">
        <x:v>0</x:v>
      </x:c>
      <x:c r="E76" s="54" t="b">
        <x:v>0</x:v>
      </x:c>
      <x:c r="F76" s="53" t="str"/>
    </x:row>
    <x:row r="78" ht="28" customHeight="1">
      <x:c r="A78" s="45" t="str">
        <x:v>FINAL RESULT JSON — CHUNKED ONLY FOR XLSX CELL LIMIT</x:v>
      </x:c>
      <x:c r="B78" s="45"/>
      <x:c r="C78" s="45"/>
      <x:c r="D78" s="45"/>
      <x:c r="E78" s="45"/>
      <x:c r="F78" s="45"/>
      <x:c r="G78" s="45"/>
      <x:c r="H78" s="45"/>
      <x:c r="I78" s="45"/>
      <x:c r="J78" s="45"/>
      <x:c r="K78" s="45"/>
      <x:c r="L78" s="45"/>
      <x:c r="M78" s="45"/>
      <x:c r="N78" s="45"/>
      <x:c r="O78" s="45"/>
      <x:c r="P78" s="45"/>
      <x:c r="Q78" s="45"/>
      <x:c r="R78" s="45"/>
      <x:c r="S78" s="45"/>
      <x:c r="T78" s="45"/>
    </x:row>
    <x:row r="79">
      <x:c r="A79" s="53" t="str">
        <x:v>Part 1/3</x:v>
      </x:c>
      <x:c r="B79" s="53" t="str">
        <x:v>{
  "version": "2026-08-09-gate-b1-v1",
  "model_version": "vm551-gate-b1-placement-engine-v1",
  "instrument_version": "vm551-gate-b1-instrument-v2",
  "mapping_version": "vm551-gate-b1-mapping-v2-instrument-completion",
  "source_mode": "quick",
  "faction": "WUBRG",
  "faction_name": "Five-Color / WUBRG",
  "institution_type": "five_color",
  "world": "Cross-setting",
  "identity": {
    "core_color": "WUBRG",
    "secondary_colors": [
      "W",
      "U",
      "B",
      "R",
      "G"
    ],
    "secondary_color": null,
    "expression_key": "WUBRG",
    "expression_name": "Five-Color / WUBRG",
    "expression_kind": "five_color",
    "purity": null,
    "routing": {
      "color_identity": "WUBRG",
      "label": "Five-Color",
      "suppress_directory_links": true
    }
  },
  "decree": "This is the identity your recorded answers favored most in this reading.",
  "confidence": 0.047,
  "confidence_gap": 1,
  "mana_scores": {
    "W": 10,
    "U": 10,
    "B": 9,
    "R": 9,
    "G": 10
  },
  "top_matches": [
    {
      "rank": 1,
      "faction": "WUBRG",
      "faction_name": "Five-Color / WUBRG",
      "institution_type": "five_color",
      "world": "Cross-setting",
      "identity": {
        "core_color": "WUBRG",
        "secondary_colors": [
          "W",
          "U",
          "B",
          "R",
          "G"
        ],
        "secondary_color": null,
        "expression_key": "WUBRG",
        "expression_name": "Five-Color / WUBRG",
        "expression_kind": "five_color",
        "purity": null,
        "routing": {
          "color_identity": "WUBRG",
          "label": "Five-Color",
          "suppress_directory_links": true
        }
      },
      "score": 0.833333,
      "confidence": 0.047,
      "reason": "Five-Color / WUBRG remained plausible through C15; identity mapping remains a hypothesis."
    }
  ],
  "adjacent_matches": [],
  "internal_candidate_order": [
    {
      "identity": "WUBRG",
      "score": 0.833333,
      "positive_dependencies": 2,
      "qualification_dependencies": 2,
      "naming_dependencies": 1,
      "positive_constructs": [
        "C13",
        "C15"
      ],
      "satisfied_naming_rule_ids": [
        "baseline_40:b1.crucible.colorless-wubrg.v1.breadth:WUBRG"
      ],
      "naming_qualification": {
        "identity": "WUBRG",
        "qualified": true,
        "satisfied_naming_rule_ids": [
          "baseline_40:b1.crucible.colorless-wubrg.v1.breadth:WUBRG"
        ],
        "requirements": {
          "behaviorally_observable": true,
          "approved_naming_rule": true,
          "independent_positive_dependencies": true,
          "independent_positive_constructs": true,
          "no_disqualifying_contradiction": true
        },
        "minimum_positive_dependencies": 2,
        "minimum_positive_constructs": 2,
        "limitation": "Qualification authorizes responsible naming but does not add score or satisfy the primary separation threshold."
      },
      "contradiction_dependencies": 0,
      "independent_constructs": [
        "C15"
      ]
    },
    {
      "identity": "WG",
      "score": 0.833333,
      "positive_dependencies": 1,
      "qualification_dependencies": 1,
      "naming_dependencies": 1,
      "positive_constructs": [
        "C13"
      ],
      "satisfied_naming_rule_ids": [
        "instrument_completion_overlay:b1.hall.commitment.v1.access:WG"
      ],
      "naming_qualification": {
        "identity": "WG",
        "qualified": false,
        "satisfied_naming_rule_ids": [
          "instrument_completion_overlay:b1.hall.commitment.v1.access:WG"
        ],
        "requirements": {
          "behaviorally_observable": true,
          "approved_naming_rule": true,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"BANT",
      "score": 0.75,
      "positive_dependencies": 1,
      "qualification_dependencies": 1,
      "naming_dependencies": 0,
      "positive_constructs": [
        "C13"
      ],
      "satisfied_naming_rule_ids": [],
      "naming_qualification": {
        "identity": "BANT",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"LOREHOLD",
      "score": 0.458333,
      "positive_dependencies": 1,
      "qualification_dependencies": 1,
      "naming_dependencies": 0,
      "positive_constructs": [
        "C06"
      ],
      "satisfied_naming_rule_ids": [],
      "naming_qualification": {
        "identity": "LOREHOLD",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"TEMUR",
      "score": 0.458333,
      "positive_dependencies": 1,
      "qualification_dependencies": 1,
      "naming_dependencies": 0,
      "positive_constructs": [
        "C14"
      ],
      "satisfied_naming_rule_ids": [],
      "naming_qualification": {
        "identity": "TEMUR",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"YORE",
      "score": 0.458333,
      "positive_dependencies": 1,
      "qualification_dependencies": 0,
      "naming_dependencies": 0,
      "positive_constructs": [],
      "satisfied_naming_rule_ids": [],
      "naming_qualification": {
        "identity": "YORE",
        "qualified": false,
        "satisfied_naming_rule_ids": [],
        "requirements": {
          "behaviorally_observable": false,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"GLINT",
      "score": 0.375,
      "positive_dependencies": 1,
      "qualification_dependencies": 1,
      "naming_dependencies": 0,
      "positive_constructs": [
        "C14"
      ],
      "satisfied_naming_rule_ids": [],
      "naming_qualification": {
        "identity": "GLINT",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"ABZAN",
      "score": 0.166667,
      "positive_dependencies": 0,
      "qualification_dependencies": 0,
      "naming_dependencies": 0,
      "positive_constructs": [],
      "satisfied_naming_rule_ids": [],
      "naming_qualification": {
        "identity": "ABZAN",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"C14"
      ]
    },
    {
      "identity": "QUANDRIX",
      "score": 0.166667,
      "positive_dependencies": 0,
      "qualification_dependencies": 0,
      "naming_dependencies": 0,
      "positive_constructs": [],
      "satisfied_naming_rule_ids": [],
      "naming_qualification": {
        "identity": "QUANDRIX",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"SULTAI",
      "score": 0.166667,
      "positive_dependencies": 0,
      "qualification_dependencies": 0,
      "naming_dependencies": 0,
      "positive_constructs": [],
      "satisfied_naming_rule_ids": [],
      "naming_qualification": {
        "identity": "SULTAI",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"UG",
      "score": 0.166667,
      "positive_dependencies": 0,
      "qualification_dependencies": 0,
      "naming_dependencies": 0,
      "positive_constructs": [],
      "satisfied_naming_rule_ids": [],
      "naming_qualification": {
        "identity": "UG",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"WITCH",
      "score": 0.166667,
      "positive_dependencies": 0,
      "qualification_dependencies": 0,
      "naming_dependencies": 0,
      "positive_constructs": [],
      "satisfied_naming_rule_ids": [],
      "naming_qualification": {
        "identity": "WITCH",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"WITHERBLOOM",
      "score": 0.166667,
      "positive_dependencies": 0,
      "qualification_dependencies": 0,
      "naming_dependencies": 0,
      "positive_constructs": [],
      "satisfied_naming_rule_ids": [],
      "naming_qualification": {
        "identity": "WITHERBLOOM",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"C14"
      ]
    },
    {
      "identity": "BG",
      "score": 0.083333,
      "positive_dependencies": 0,
      "qualification_dependencies": 0,
      "naming_dependencies": 0,
      "positive_constructs": [],
      "satisfied_naming_rule_ids": [],
      "naming_qualification": {
        "identity": "BG",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"DUNE",
      "score": 0.083333,
      "positive_dependencies": 0,
      "qualification_dependencies": 0,
      "naming_dependencies": 0,
      "positive_constructs": [],
      "satisfied_naming_rule_ids": [],
      "naming_qualification": {
        "identity": "DUNE",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"INK",
      "score": 0.083333,
      "positive_dependencies": 0,
      "qualification_dependencies": 0,
      "naming_dependencies": 0,
      "positive_constructs": [],
      "satisfied_naming_rule_ids": [],
      "naming_qualification": {
        "identity": "INK",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"MARDU",
      "score": 0.083333,
      "positive_dependencies": 0,
      "qualification_dependencies": 0,
      "naming_dependencies": 0,
      "positive_constructs": [],
      "satisfied_naming_rule_ids": [],
      "naming_qualification": {
        "identity": "MARDU",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"SILVERQUILL",
      "score": 0.083333,
      "positive_dependencies": 0,
      "qualification_dependencies": 0,
      "naming_dependencies": 0,
      "positive_constructs": [],
      "satisfied_naming_rule_ids": [],
      "naming_qualification": {
        "identity": "SILVERQUILL",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"UR",
      "score": 0.083333,
      "positive_dependencies": 0,
      "qualification_dependencies": 0,
      "naming_dependencies": 0,
      "positive_constructs": [],
      "satisfied_naming_rule_ids": [],
      "naming_qualification": {
        "identity": "UR",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"WB",
      "score": 0.083333,
      "positive_dependencies": 0,
      "qualification_dependencies": 0,
      "naming_dependencies": 0,
      "positive_constructs": [],
      "satisfied_naming_rule_ids": [],
      "naming_qualification": {
        "identity": "WB",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"G",
      "score": 0.083333,
      "positive_dependencies": 0,
      "qualification_dependencies": 0,
      "naming_dependencies": 0,
      "positive_constructs": [],
      "satisfied_naming_rule_ids": [],
      "naming_qualification": {
        "identity": "G",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"C14"
      ]
    },
    {
      "identity": "W",
      "score": 0.083333,
      "positive_dependencies": 0,
      "qualification_dependencies": 0,
      "naming_dependencies": 0,
      "positive_constructs": [],
      "satisfied_naming_rule_ids": [],
      "naming_qualification": {
        "identity": "W",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"COLORLESS",
      "score": 0.072917,
      "positive_dependencies": 1,
      "qualification_dependencies": 1,
      "naming_dependencies": 0,
      "positive_constructs": [
        "C06"
      ],
      "satisfied_naming_rule_ids": [],
      "naming_qualification": {
        "identity": "COLORLESS",
        "qualified": false,
        "satisfied_naming_rule_ids": [],
        "requirements": {
          "behaviorally_observable": true,
          "approved_naming_rule": false,
          "independent_positive_dependencies": false,
          "independent_positive_constructs": false,
          "no_disqualifying_contradiction": false
        },
        "minimum_positive_dependencies": 2,
        "minimum_positive_constructs": 2,
        "limitation": "Qualification authorizes responsible naming but does not add score or satisfy the primary separation threshold."
      },
      "contradiction_dependencies": 1,
      "independent_constructs": [
        "C06",
        "C15"
      ]
    },
    {
      "identity": "ESPER",
      "score": 0.0625,
      "positive_dependencies": 0,
      "qualification_dependencies": 0,
      "naming_dependencies": 0,
      "positive_constructs": [],
      "satisfied_naming_rule_ids": [],
      "naming_qualification": {
        "identity": "ESPER",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"WU",
      "score": 0.0625,
      "positive_dependencies": 0,
      "qualification_dependencies": 0,
      "naming_dependencies": 0,
      "positive_constructs": [],
      "satisfied_naming_rule_ids": [],
      "naming_qualification": {
        "identity": "WU",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"C13"
      ]
    },
    {
      "identity": "U",
      "score": 0.0625,
      "positive_dependencies": 0,
      "qualification_dependencies": 0,
      "naming_dependencies": 0,
      "positive_constructs": [],
      "satisfied_naming_rule_ids": [],
      "naming_qualification": {
        "identity": "U",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"C06"
      ]
    },
    {
      "identity": "BR",
      "score": 0,
      "positive_dependencies": 0,
      "qualification_dependencies": 0,
      "naming_dependencies": 0,
      "positive_constructs": [],
      "satisfied_naming_rule_ids": [],
      "naming_qualifica</x:v>
      </x:c>
    </x:row>
    <x:row r="80">
      <x:c r="A80" s="53" t="str">
        <x:v>Part 2/3</x:v>
      </x:c>
      <x:c r="B80" s="53" t="str">
        <x:v>tion": {
        "identity": "BR",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"GRIXIS",
      "score": 0,
      "positive_dependencies": 0,
      "qualification_dependencies": 0,
      "naming_dependencies": 0,
      "positive_constructs": [],
      "satisfied_naming_rule_ids": [],
      "naming_qualification": {
        "identity": "GRIXIS",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"JESKAI",
      "score": 0,
      "positive_dependencies": 0,
      "qualification_dependencies": 0,
      "naming_dependencies": 0,
      "positive_constructs": [],
      "satisfied_naming_rule_ids": [],
      "naming_qualification": {
        "identity": "JESKAI",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"JUND",
      "score": 0,
      "positive_dependencies": 0,
      "qualification_dependencies": 0,
      "naming_dependencies": 0,
      "positive_constructs": [],
      "satisfied_naming_rule_ids": [],
      "naming_qualification": {
        "identity": "JUND",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"NAYA",
      "score": 0,
      "positive_dependencies": 0,
      "qualification_dependencies": 0,
      "naming_dependencies": 0,
      "positive_constructs": [],
      "satisfied_naming_rule_ids": [],
      "naming_qualification": {
        "identity": "NAYA",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"PRISMARI",
      "score": 0,
      "positive_dependencies": 0,
      "qualification_dependencies": 0,
      "naming_dependencies": 0,
      "positive_constructs": [],
      "satisfied_naming_rule_ids": [],
      "naming_qualification": {
        "identity": "PRISMARI",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"RG",
      "score": 0,
      "positive_dependencies": 0,
      "qualification_dependencies": 0,
      "naming_dependencies": 0,
      "positive_constructs": [],
      "satisfied_naming_rule_ids": [],
      "naming_qualification": {
        "identity": "RG",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"UB",
      "score": 0,
      "positive_dependencies": 0,
      "qualification_dependencies": 0,
      "naming_dependencies": 0,
      "positive_constructs": [],
      "satisfied_naming_rule_ids": [],
      "naming_qualification": {
        "identity": "UB",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"WR",
      "score": 0,
      "positive_dependencies": 0,
      "qualification_dependencies": 0,
      "naming_dependencies": 0,
      "positive_constructs": [],
      "satisfied_naming_rule_ids": [],
      "naming_qualification": {
        "identity": "WR",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"B",
      "score": 0,
      "positive_dependencies": 0,
      "qualification_dependencies": 0,
      "naming_dependencies": 0,
      "positive_constructs": [],
      "satisfied_naming_rule_ids": [],
      "naming_qualification": {
        "identity": "B",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"identity": "R",
      "score": 0,
      "positive_dependencies": 0,
      "qualification_dependencies": 0,
      "naming_dependencies": 0,
      "positive_constructs": [],
      "satisfied_naming_rule_ids": [],
      "naming_qualification": {
        "identity": "R",
        "qualified": false,
        "satisfied_naming_rule_ids": [],
        "requirements": {
          "behaviorally_observable": true,
          "approved_naming_rule": false,
          "independent_positive_dependencies": false,
          "independent_positive_constructs": false,
          "no_disqualifying_contradiction": true
        },
        "minimum_positive_dependencies": 2,
        "minimum_positive_constructs": 2,
        "limitation": "Qualification authorizes responsible naming but does not add score or satisfy the primary separation threshold."
      },
      "contradiction_dependencies": 0,
      "independent_constructs": []
    }
  ],
  "candidate_set": [
    "WUBRG",
    "WG",
    "BANT"
  ],
  "alternatives": [],
  "refinement": {
    "kind": "no_approved_discriminator",
    "can_reduce_ambiguity": false,
    "remaining_candidates": [
      "WUBRG"
    ],
    "unresolved_boundaries": [],
    "missing_constructs": [
      "C09"
    ],
    "question_id": null,
    "purpose": "no_approved_discriminator",
    "target_identities": [
      "WUBRG"
    ],
    "target_pair_ids": [],
    "distinction": "",
    "revisit": null,
    "limitation": "The approved instrument cannot responsibly distinguish the remaining candidates with another available observation."
  },
  "stopping": {
    "stop": true,
    "state": "close",
    "reason": "single_named_direction_with_unresolved_alternatives",
    "can_improve": false,
    "next_question_id": null
  },
  "starter_profile": {
    "format_interest": "commander",
    "budget_band": "mid",
    "experience_level": "returning"
  },
  "evidence_trail":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"I do not know yet",
      "prompt": "Your turn begins, no urgent threat needs an answer, and you have enough mana to act. What feels best?",
      "observation": "Reports insufficient experience for this construct.",
      "deltas": []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"answer_title": "That depends on the deck",
      "prompt": "As play comes back around to you, which position usually feels more comfortable?",
      "observation": "Reports genuine deck-conditionality.",
      "deltas": []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"answer_title": "No usual answer",
      "prompt": "A board wipe—an effect that removes many cards and tokens from the battlefield—is likely next turn. What would you rather have prepared?",
      "observation": "Reports scenario-conditionality.",
      "deltas": []
    },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"answer_title": "No stable preference",
      "prompt": "When your Commander deck is doing what you built it to do, how do you want the advantage to arrive?",
      "observation": "Reports no stable payoff-rhythm preference.",
      "deltas": []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"answer_title": "Protect shared access",
      "prompt": "The table agrees to stop a repeatable threat. Before your next turn, the board changes and that threat is weaker but still present. What should the agreement require now?",
      "observation": "Prefers protecting a shared resource or opportunity after circumstances change.",
      "deltas": [
        {
          "faction": "BANT",
          "delta": 1
        },
        {
          "faction": "WG",
          "delta": 1
        },
        {
          "faction": "WUBRG",
          "delta": 1
        }
      ]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"answer_title": "Change plans for this game",
      "prompt": "Your deck becomes much stronger after several setup turns, but the table is already developing threats. What must the setup do along the way?",
      "observation": "Prefers board-responsive development over preserving a stalled long plan.",
      "deltas": [
        {
          "faction": "GLINT",
          "delta": 0.5
        },
        {
          "faction": "TEMUR",
          "delta": 0.5
        }
      ]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"answer_title": "Make each job replaceable",
      "prompt": "Opponents have learned how to stop your main engine. When you revise the deck, what structure do you want next?",
      "observation": "Prefers replaceable functional redundancy.",
      "deltas": [
        {
          "faction": "COLORLESS",
          "delta": 0.5
        },
        {
          "faction": "LOREHOLD",
          "delta": 0.5
        },
        {
          "faction": "YORE",
          "delta": 0.5
        }
      ]
    },
    {
      "question_id": "b1.crucible.colorless-wubrg.v1",
      "answer_id": "b1.crucible.colorless-wubrg.v1.breadth",
      "stage": "crucible",
      "construct": "C15",
      "bounded_observation": "Prefers broad access followed by self-chosen deckbuilding boundaries.",
      "signal": "SIG_C15_BROAD",
      "dependency_group": "DG_C15",
      "evidence_class": "BEHAVIORAL_OBSERVATION",
      "affected_identities": [
        "COLORLESS",
        "WUBRG"
      ],
      "positive_support": [
        "WUBRG"
      ],
      "contradiction": [
        "COLORLESS"
      ],
      "neutral": false,
      "mapping_strength": 1,
      "naming_evidence": true,
      "qualification_eligible": true,
      "qualification_support": [
        "WUBRG"
      ],
      "naming_support": [
        "WUBRG"
      ],
      "naming_rule_ids_by_identity": {
        "WUBRG": [
          "baseline_40:b1.crucible.colorless-wubrg.v1.breadth:WUBRG"
        ]
      },
      "mapping_role": "exact_pair_direction",
      "mapping_status": "MAPPING_HYPOTHESIS",
      "mapping_provenance": "answer-semantic-adjudication.tsv COLORLESS vs WUBRG evidence-required hypothesis",
      "evidence_provenance": "E-CERTIFIED;E-PLAYER-COMMANDER;E-AUDIT;E-CECOS;E-VOICE",
      "limitation": "Boundary evidence only; prior independent behavior and the direct boundary are required, and this answer cannot assign an identity or cause a one-answer flip.",
      "behavioral_vs_lens": "behavioral",
      "answer_title": "Choose the limits myself",
      "prompt": "When building around an idea you like, which kind of challenge sounds more satisfying?",
      "observation": "Prefers broad access followed by self-chosen deckbuilding boundaries.",
      "deltas": [
        {
          "faction": "WUBRG",
          "delta": 1
        },
        {
          "faction": "COLORLESS",
          "delta": -1
        }
      ]
    }
  ],
  "evidence_ledger": [
    {
      "question_id": "b1.gate.initiative.v1",
      "answer_id": "b1.gate.initiative.v1.unsure",
      "stage": "gate",
      "construct": "C01",
      "bounded_observation": "Reports insufficient experience for this construct.",
      "signal": "SIG_C01_UNKNOWN",
      "dependency_group": "DG_C01",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"b1.gate.visibility.v1",
      "answer_id": "b1.gate.visibility.v1.depends",
      "stage": "gate",
      "construct": "C02",
      "bounded_observation": "Reports genuine deck-conditionality.",
      "signal": "SIG_C02_CONDITIONAL",
      "dependency_group": "DG_C02",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"E-PLAYER-THREAT;E-PLAYER-PACE;E-CECOS;E-VOICE",
      "evidence_provenance": "E-PLAYER-THREAT;E-PLAYER-PACE;E-CECOS;E-VOICE",
      "limitation": "Evidence-bearing but non-directional; may justify another Hall item or a close, mixed, contradictory, or insufficient result and must not be averaged into support.",
      "behavioral_vs_lens": "behavioral"
    },
    {
      "question_id": "b1.gate.disruption.v1",
      "answer_id": "b1.gate.disruption.v1.depends",
      "stage": "gate",
      "construct": "C03",
      "bounded_observation": "Reports scenario-conditionality.",
      "signal": "SIG_C03_CONDITIONAL",
      "dependency_group": "DG_C03",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"E-PLAYER-PACE;E-PLAYER-COMMANDER;E-CECOS;E-VOICE",
      "evidence_provenance": "E-PLAYER-PACE;E-PLAYER-COMMANDER;E-CECOS;E-VOICE",
      "limitation": "Evidence-bearing but non-directional; may justify another Hall item or a close, mixed, contradictory, or insufficient result and must not be averaged into support.",
      "behavioral_vs_lens": "behavioral"
    },</x:v>
      </x:c>
    </x:row>
    <x:row r="81">
      <x:c r="A81" s="53" t="str">
        <x:v>Part 3/3</x:v>
      </x:c>
      <x:c r="B81" s="53" t="str">
        <x:v>
    {
      "question_id": "b1.gate.tempo.v1",
      "answer_id": "b1.gate.tempo.v1.depends",
      "stage": "gate",
      "construct": "C04",
      "bounded_observation": "Reports no stable payoff-rhythm preference.",
      "signal": "SIG_C04_CONDITIONAL",
      "dependency_group": "DG_C04",
      "evidence_class": "BEHAVIORAL_OBSERVATION",
      "affected_identities": [],
      "positive_support": [],
      "contradiction": [],
      "neutral": true,
      "mapping_strength": 0,
      "naming_evidence": false,
      "qualification_eligible": false,
      "qualification_support": [],
      "naming_support": [],
      "naming_rule_ids_by_identity": {},
      "mapping_role": "observation_only",
      "mapping_status": "OBSERVATION_ONLY",
      "mapping_provenance": "E-PLAYER-PACE;E-PLAYER-THREAT;E-CECOS;E-VOICE",
      "evidence_provenance": "E-PLAYER-PACE;E-PLAYER-THREAT;E-CECOS;E-VOICE",
      "limitation": "Evidence-bearing but non-directional; may justify another Hall item or a close, mixed, contradictory, or insufficient result and must not be averaged into support.",
      "behavioral_vs_lens": "behavioral"
    },
    {
      "question_id": "b1.hall.commitment.v1",
      "answer_id": "b1.hall.commitment.v1.access",
      "stage": "hall",
      "construct": "C13",
      "bounded_observation": "Prefers protecting a shared resource or opportunity after circumstances change.",
      "signal": "SIG_C13_SHARED_ACCESS",
      "dependency_group": "DG_C13",
      "evidence_class": "BEHAVIORAL_OBSERVATION",
      "affected_identities": [
        "BANT",
        "WG",
        "WUBRG"
      ],
      "positive_support": [
        "BANT",
        "WG",
        "WUBRG"
      ],
      "contradiction": [],
      "neutral": false,
      "mapping_strength": 1,
      "naming_evidence": true,
      "qualification_eligible": true,
      "qualification_support": [
        "BANT",
        "WG",
        "WUBRG"
      ],
      "naming_support": [
        "WG"
      ],
      "naming_rule_ids_by_identity": {
        "WG": [
          "instrument_completion_overlay:b1.hall.commitment.v1.access:WG"
        ]
      },
      "mapping_role": "completion_boundary_direction",
      "mapping_status": "REMEDIATION_MAPPING_HYPOTHESIS",
      "mapping_provenance": "docs/plans/vm551-gate-b1-instrument-completion/instrument-change-adjudication.tsv#b1.hall.commitment.v1.access;docs/audits/vm555-b1-identity-evidence-gap-bridge/identity-evidence-gap-matrix.tsv",
      "evidence_provenance": "E-VM555;E-CERTIFIED;E-CECOS;E-PLAYER-LANGUAGE",
      "limitation": "A player may preserve access for tactical benefit, generosity, politics, or theme; independent evidence is required.",
      "behavioral_vs_lens": "behavioral"
    },
    {
      "question_id": "b1.hall.setup.v1",
      "answer_id": "b1.hall.setup.v1.change",
      "stage": "hall",
      "construct": "C14",
      "bounded_observation": "Prefers board-responsive development over preserving a stalled long plan.",
      "signal": "SIG_C14_BOARD_RESPONSIVE",
      "dependency_group": "DG_C14",
      "evidence_class": "BEHAVIORAL_OBSERVATION",
      "affected_identities": [
        "GLINT",
        "TEMUR"
      ],
      "positive_support": [
        "GLINT",
        "TEMUR"
      ],
      "contradiction": [],
      "neutral": false,
      "mapping_strength": 0.5,
      "naming_evidence": false,
      "qualification_eligible": true,
      "qualification_support": [
        "GLINT",
        "TEMUR"
      ],
      "naming_support": [],
      "naming_rule_ids_by_identity": {},
      "mapping_role": "completion_corroboration_direction",
      "mapping_status": "REMEDIATION_MAPPING_HYPOTHESIS",
      "mapping_provenance": "docs/plans/vm551-gate-b1-instrument-completion/instrument-change-adjudication.tsv#b1.hall.setup.v1.change;docs/audits/vm555-b1-identity-evidence-gap-bridge/identity-evidence-gap-matrix.tsv",
      "evidence_provenance": "E-VM555;E-CERTIFIED;E-CECOS;E-PLAYER-LANGUAGE",
      "limitation": "A clearly lost setup can make changing plans tactically mandatory.",
      "behavioral_vs_lens": "behavioral"
    },
    {
      "question_id": "b1.hall.engine-shape.v1",
      "answer_id": "b1.hall.engine-shape.v1.replace",
      "stage": "hall",
      "construct": "C06",
      "bounded_observation": "Prefers replaceable functional redundancy.",
      "signal": "SIG_C06_REDUNDANT",
      "dependency_group": "DG_C06",
      "evidence_class": "BEHAVIORAL_OBSERVATION",
      "affected_identities": [
        "COLORLESS",
        "LOREHOLD",
        "YORE"
      ],
      "positive_support": [
        "COLORLESS",
        "LOREHOLD",
        "YORE"
      ],
      "contradiction": [],
      "neutral": false,
      "mapping_strength": 0.5,
      "naming_evidence": false,
      "qualification_eligible": true,
      "qualification_support": [
        "COLORLESS",
        "LOREHOLD"
      ],
      "naming_support": [],
      "naming_rule_ids_by_identity": {},
      "mapping_role": "completion_corroboration_direction",
      "mapping_status": "REMEDIATION_MAPPING_HYPOTHESIS",
      "mapping_provenance": "docs/plans/vm551-gate-b1-instrument-completion/instrument-change-adjudication.tsv#b1.hall.engine-shape.v1.replace;docs/audits/vm555-b1-identity-evidence-gap-bridge/identity-evidence-gap-matrix.tsv",
      "evidence_provenance": "E-VM555;E-CERTIFIED;E-CECOS;E-PLAYER-LANGUAGE",
      "limitation": "Consistency can be a generic deckbuilding goal rather than identity evidence.",
      "behavioral_vs_lens": "behavioral"
    },
    {
      "question_id": "b1.crucible.colorless-wubrg.v1",
      "answer_id": "b1.crucible.colorless-wubrg.v1.breadth",
      "stage": "crucible",
      "construct": "C15",
      "bounded_observation": "Prefers broad access followed by self-chosen deckbuilding boundaries.",
      "signal": "SIG_C15_BROAD",
      "dependency_group": "DG_C15",
      "evidence_class": "BEHAVIORAL_OBSERVATION",
      "affected_identities": [
        "COLORLESS",
        "WUBRG"
      ],
      "positive_support": [
        "WUBRG"
      ],
      "contradiction": [
        "COLORLESS"
      ],
      "neutral": false,
      "mapping_strength": 1,
      "naming_evidence": true,
      "qualification_eligible": true,
      "qualification_support": [
        "WUBRG"
      ],
      "naming_support": [
        "WUBRG"
      ],
      "naming_rule_ids_by_identity": {
        "WUBRG": [
          "baseline_40:b1.crucible.colorless-wubrg.v1.breadth:WUBRG"
        ]
      },
      "mapping_role": "exact_pair_direction",
      "mapping_status": "MAPPING_HYPOTHESIS",
      "mapping_provenance": "answer-semantic-adjudication.tsv COLORLESS vs WUBRG evidence-required hypothesis",
      "evidence_provenance": "E-CERTIFIED;E-PLAYER-COMMANDER;E-AUDIT;E-CECOS;E-VOICE",
      "limitation": "Boundary evidence only; prior independent behavior and the direct boundary are required, and this answer cannot assign an identity or cause a one-answer flip.",
      "behavioral_vs_lens": "behavioral"
    }
  ],
  "lens_ledger": [],
  "stage_history": [
    {
      "question_id": "b1.gate.initiative.v1",
      "answer_id": "b1.gate.initiative.v1.unsure",
      "stage": "gate",
      "evidence_class": "BEHAVIORAL_OBSERVATION"
    },
    {
      "question_id": "b1.gate.visibility.v1",
      "answer_id": "b1.gate.visibility.v1.depends",
      "stage": "gate",
      "evidence_class": "BEHAVIORAL_OBSERVATION"
    },
    {
      "question_id": "b1.gate.disruption.v1",
      "answer_id": "b1.gate.disruption.v1.depends",
      "stage": "gate",
      "evidence_class": "BEHAVIORAL_OBSERVATION"
    },
    {
      "question_id": "b1.gate.tempo.v1",
      "answer_id": "b1.gate.tempo.v1.depends",
      "stage": "gate",
      "evidence_class": "BEHAVIORAL_OBSERVATION"
    },
    {
      "question_id": "b1.hall.commitment.v1",
      "answer_id": "b1.hall.commitment.v1.access",
      "stage": "hall",
      "evidence_class": "BEHAVIORAL_OBSERVATION"
    },
    {
      "question_id": "b1.hall.setup.v1",
      "answer_id": "b1.hall.setup.v1.change",
      "stage": "hall",
      "evidence_class": "BEHAVIORAL_OBSERVATION"
    },
    {
      "question_id": "b1.hall.engine-shape.v1",
      "answer_id": "b1.hall.engine-shape.v1.replace",
      "stage": "hall",
      "evidence_class": "BEHAVIORAL_OBSERVATION"
    },
    {
      "question_id": "b1.crucible.colorless-wubrg.v1",
      "answer_id": "b1.crucible.colorless-wubrg.v1.breadth",
      "stage": "crucible",
      "evidence_class": "BEHAVIORAL_OBSERVATION"
    }
  ],
  "result_state": "primary",
  "public_confidence_state": "current-best-fit",
  "alternative_state": "none",
  "confidence_display_mode": "bounded-state",
  "model_kind": "gate-b1-evidence-ranking-v1",
  "legacy_result": false,
  "limitations": [
    "Identity mappings are in-model hypotheses, not empirical player accuracy.",
    "Internal scores are ranking aids and are not public confidence percentages."
  ],
  "compatibility_version": "gate-a-v1",
  "engine_result_state": "close"
}</x:v>
      </x:c>
    </x:row>
  </x:sheetData>
  <x:mergeCells>
    <x:mergeCell ref="A1:T1"/>
    <x:mergeCell ref="A2:T2"/>
    <x:mergeCell ref="A27:T27"/>
    <x:mergeCell ref="A38:T38"/>
    <x:mergeCell ref="A78:T78"/>
  </x:mergeCells>
  <x:pageMargins left="0.7" right="0.7" top="0.75" bottom="0.75" header="0.3" footer="0.3"/>
</x:worksheet>
</file>