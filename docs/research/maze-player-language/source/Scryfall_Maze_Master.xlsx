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4.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eb3ebfcdd940ca" /></Relationships>
</file>

<file path=xl/workbook.xml><?xml version="1.0" encoding="utf-8"?>
<x:workbook xmlns:x="http://schemas.openxmlformats.org/spreadsheetml/2006/main">
  <x:sheets>
    <x:sheet xmlns:r="http://schemas.openxmlformats.org/officeDocument/2006/relationships" name="scryall_data_accumulation" sheetId="1" r:id="Rdfed0529f36941b4"/>
    <x:sheet xmlns:r="http://schemas.openxmlformats.org/officeDocument/2006/relationships" name="README" sheetId="2" r:id="Rea68af5bdee94aca"/>
    <x:sheet xmlns:r="http://schemas.openxmlformats.org/officeDocument/2006/relationships" name="Master_Lexicon" sheetId="3" r:id="Rba3f8bb2d0a94648"/>
    <x:sheet xmlns:r="http://schemas.openxmlformats.org/officeDocument/2006/relationships" name="Operator_Catalog" sheetId="4" r:id="R0f0300b9ca4d4a62"/>
    <x:sheet xmlns:r="http://schemas.openxmlformats.org/officeDocument/2006/relationships" name="Plain_Language" sheetId="5" r:id="Rb16e3acf6d4446ae"/>
    <x:sheet xmlns:r="http://schemas.openxmlformats.org/officeDocument/2006/relationships" name="Archetype_Map" sheetId="6" r:id="R0559db28d0d8466d"/>
    <x:sheet xmlns:r="http://schemas.openxmlformats.org/officeDocument/2006/relationships" name="Query_Recipes" sheetId="7" r:id="Rc7cdbd92bbdc43c1"/>
    <x:sheet xmlns:r="http://schemas.openxmlformats.org/officeDocument/2006/relationships" name="Regex_Library" sheetId="8" r:id="R547aa2582b094749"/>
    <x:sheet xmlns:r="http://schemas.openxmlformats.org/officeDocument/2006/relationships" name="Parser_Schema" sheetId="9" r:id="Rfc1f725ccfce459d"/>
    <x:sheet xmlns:r="http://schemas.openxmlformats.org/officeDocument/2006/relationships" name="QA_Evals" sheetId="10" r:id="Rb0d556c4362144e4"/>
    <x:sheet xmlns:r="http://schemas.openxmlformats.org/officeDocument/2006/relationships" name="Reconciliation" sheetId="11" r:id="Rb79006118fa243d5"/>
    <x:sheet xmlns:r="http://schemas.openxmlformats.org/officeDocument/2006/relationships" name="Sources_Governance" sheetId="12" r:id="R6a49b5938daa440e"/>
    <x:sheet xmlns:r="http://schemas.openxmlformats.org/officeDocument/2006/relationships" name="Dashboard" sheetId="13" r:id="Read2fe181f6049be"/>
    <x:sheet xmlns:r="http://schemas.openxmlformats.org/officeDocument/2006/relationships" name="Tagger_Allowlist" sheetId="14" r:id="Rd34ef787677d4905"/>
  </x:sheets>
</x:workbook>
</file>

<file path=xl/sharedStrings.xml><?xml version="1.0" encoding="utf-8"?>
<x:sst xmlns:x="http://schemas.openxmlformats.org/spreadsheetml/2006/main">
  <x:si>
    <x:t xml:space="preserve">SCRYFALL DATA ACCUMULATION</x:t>
  </x:si>
  <x:si>
    <x:t xml:space="preserve">Combined reference from creature types, keywords, ability words, keyword actions, evasion abilities, card types, planeswalker types, Color Pie, and the DeckArchetypes Archetype column.</x:t>
  </x:si>
  <x:si>
    <x:t xml:space="preserve">Source Location</x:t>
  </x:si>
  <x:si>
    <x:t xml:space="preserve">Source Category</x:t>
  </x:si>
  <x:si>
    <x:t xml:space="preserve">Term / Archetype</x:t>
  </x:si>
  <x:si>
    <x:t xml:space="preserve">Source Attributes</x:t>
  </x:si>
  <x:si>
    <x:t xml:space="preserve">Description / Notes</x:t>
  </x:si>
  <x:si>
    <x:t xml:space="preserve">Suggested Scryfall Search</x:t>
  </x:si>
  <x:si>
    <x:t xml:space="preserve">Search Reliability</x:t>
  </x:si>
  <x:si>
    <x:t xml:space="preserve">CreatureTypes!A1</x:t>
  </x:si>
  <x:si>
    <x:t xml:space="preserve">Creature Type</x:t>
  </x:si>
  <x:si>
    <x:t xml:space="preserve">Advisor</x:t>
  </x:si>
  <x:si>
    <x:t xml:space="preserve">Type/subtype</x:t>
  </x:si>
  <x:si>
    <x:t xml:space="preserve">t:"Advisor"</x:t>
  </x:si>
  <x:si>
    <x:t xml:space="preserve">High</x:t>
  </x:si>
  <x:si>
    <x:t xml:space="preserve">CreatureTypes!A2</x:t>
  </x:si>
  <x:si>
    <x:t xml:space="preserve">Aetherborn</x:t>
  </x:si>
  <x:si>
    <x:t xml:space="preserve">t:"Aetherborn"</x:t>
  </x:si>
  <x:si>
    <x:t xml:space="preserve">CreatureTypes!A3</x:t>
  </x:si>
  <x:si>
    <x:t xml:space="preserve">Alien</x:t>
  </x:si>
  <x:si>
    <x:t xml:space="preserve">t:"Alien"</x:t>
  </x:si>
  <x:si>
    <x:t xml:space="preserve">CreatureTypes!A4</x:t>
  </x:si>
  <x:si>
    <x:t xml:space="preserve">Ally</x:t>
  </x:si>
  <x:si>
    <x:t xml:space="preserve">t:"Ally"</x:t>
  </x:si>
  <x:si>
    <x:t xml:space="preserve">CreatureTypes!A5</x:t>
  </x:si>
  <x:si>
    <x:t xml:space="preserve">Angel</x:t>
  </x:si>
  <x:si>
    <x:t xml:space="preserve">t:"Angel"</x:t>
  </x:si>
  <x:si>
    <x:t xml:space="preserve">CreatureTypes!A6</x:t>
  </x:si>
  <x:si>
    <x:t xml:space="preserve">Antelope</x:t>
  </x:si>
  <x:si>
    <x:t xml:space="preserve">t:"Antelope"</x:t>
  </x:si>
  <x:si>
    <x:t xml:space="preserve">CreatureTypes!A7</x:t>
  </x:si>
  <x:si>
    <x:t xml:space="preserve">Ape</x:t>
  </x:si>
  <x:si>
    <x:t xml:space="preserve">t:"Ape"</x:t>
  </x:si>
  <x:si>
    <x:t xml:space="preserve">CreatureTypes!A8</x:t>
  </x:si>
  <x:si>
    <x:t xml:space="preserve">Archer</x:t>
  </x:si>
  <x:si>
    <x:t xml:space="preserve">t:"Archer"</x:t>
  </x:si>
  <x:si>
    <x:t xml:space="preserve">CreatureTypes!A9</x:t>
  </x:si>
  <x:si>
    <x:t xml:space="preserve">Archon</x:t>
  </x:si>
  <x:si>
    <x:t xml:space="preserve">t:"Archon"</x:t>
  </x:si>
  <x:si>
    <x:t xml:space="preserve">CreatureTypes!A10</x:t>
  </x:si>
  <x:si>
    <x:t xml:space="preserve">Armadillo</x:t>
  </x:si>
  <x:si>
    <x:t xml:space="preserve">t:"Armadillo"</x:t>
  </x:si>
  <x:si>
    <x:t xml:space="preserve">CreatureTypes!A11</x:t>
  </x:si>
  <x:si>
    <x:t xml:space="preserve">Army</x:t>
  </x:si>
  <x:si>
    <x:t xml:space="preserve">t:"Army"</x:t>
  </x:si>
  <x:si>
    <x:t xml:space="preserve">CreatureTypes!A12</x:t>
  </x:si>
  <x:si>
    <x:t xml:space="preserve">Artificer</x:t>
  </x:si>
  <x:si>
    <x:t xml:space="preserve">t:"Artificer"</x:t>
  </x:si>
  <x:si>
    <x:t xml:space="preserve">CreatureTypes!A13</x:t>
  </x:si>
  <x:si>
    <x:t xml:space="preserve">Assassin</x:t>
  </x:si>
  <x:si>
    <x:t xml:space="preserve">t:"Assassin"</x:t>
  </x:si>
  <x:si>
    <x:t xml:space="preserve">CreatureTypes!A14</x:t>
  </x:si>
  <x:si>
    <x:t xml:space="preserve">Assembly-Worker</x:t>
  </x:si>
  <x:si>
    <x:t xml:space="preserve">t:"Assembly-Worker"</x:t>
  </x:si>
  <x:si>
    <x:t xml:space="preserve">CreatureTypes!A15</x:t>
  </x:si>
  <x:si>
    <x:t xml:space="preserve">Astartes</x:t>
  </x:si>
  <x:si>
    <x:t xml:space="preserve">t:"Astartes"</x:t>
  </x:si>
  <x:si>
    <x:t xml:space="preserve">CreatureTypes!A16</x:t>
  </x:si>
  <x:si>
    <x:t xml:space="preserve">Atog</x:t>
  </x:si>
  <x:si>
    <x:t xml:space="preserve">t:"Atog"</x:t>
  </x:si>
  <x:si>
    <x:t xml:space="preserve">CreatureTypes!A17</x:t>
  </x:si>
  <x:si>
    <x:t xml:space="preserve">Aurochs</x:t>
  </x:si>
  <x:si>
    <x:t xml:space="preserve">t:"Aurochs"</x:t>
  </x:si>
  <x:si>
    <x:t xml:space="preserve">CreatureTypes!A18</x:t>
  </x:si>
  <x:si>
    <x:t xml:space="preserve">Automaton</x:t>
  </x:si>
  <x:si>
    <x:t xml:space="preserve">t:"Automaton"</x:t>
  </x:si>
  <x:si>
    <x:t xml:space="preserve">CreatureTypes!A19</x:t>
  </x:si>
  <x:si>
    <x:t xml:space="preserve">Avatar</x:t>
  </x:si>
  <x:si>
    <x:t xml:space="preserve">t:"Avatar"</x:t>
  </x:si>
  <x:si>
    <x:t xml:space="preserve">CreatureTypes!A20</x:t>
  </x:si>
  <x:si>
    <x:t xml:space="preserve">Azra</x:t>
  </x:si>
  <x:si>
    <x:t xml:space="preserve">t:"Azra"</x:t>
  </x:si>
  <x:si>
    <x:t xml:space="preserve">CreatureTypes!A21</x:t>
  </x:si>
  <x:si>
    <x:t xml:space="preserve">Badger</x:t>
  </x:si>
  <x:si>
    <x:t xml:space="preserve">t:"Badger"</x:t>
  </x:si>
  <x:si>
    <x:t xml:space="preserve">CreatureTypes!A22</x:t>
  </x:si>
  <x:si>
    <x:t xml:space="preserve">Balloon</x:t>
  </x:si>
  <x:si>
    <x:t xml:space="preserve">t:"Balloon"</x:t>
  </x:si>
  <x:si>
    <x:t xml:space="preserve">CreatureTypes!A23</x:t>
  </x:si>
  <x:si>
    <x:t xml:space="preserve">Barbarian</x:t>
  </x:si>
  <x:si>
    <x:t xml:space="preserve">t:"Barbarian"</x:t>
  </x:si>
  <x:si>
    <x:t xml:space="preserve">CreatureTypes!A24</x:t>
  </x:si>
  <x:si>
    <x:t xml:space="preserve">Bard</x:t>
  </x:si>
  <x:si>
    <x:t xml:space="preserve">t:"Bard"</x:t>
  </x:si>
  <x:si>
    <x:t xml:space="preserve">CreatureTypes!A25</x:t>
  </x:si>
  <x:si>
    <x:t xml:space="preserve">Basilisk</x:t>
  </x:si>
  <x:si>
    <x:t xml:space="preserve">t:"Basilisk"</x:t>
  </x:si>
  <x:si>
    <x:t xml:space="preserve">CreatureTypes!A26</x:t>
  </x:si>
  <x:si>
    <x:t xml:space="preserve">Bat</x:t>
  </x:si>
  <x:si>
    <x:t xml:space="preserve">t:"Bat"</x:t>
  </x:si>
  <x:si>
    <x:t xml:space="preserve">CreatureTypes!A27</x:t>
  </x:si>
  <x:si>
    <x:t xml:space="preserve">Bear</x:t>
  </x:si>
  <x:si>
    <x:t xml:space="preserve">t:"Bear"</x:t>
  </x:si>
  <x:si>
    <x:t xml:space="preserve">CreatureTypes!A28</x:t>
  </x:si>
  <x:si>
    <x:t xml:space="preserve">Beast</x:t>
  </x:si>
  <x:si>
    <x:t xml:space="preserve">t:"Beast"</x:t>
  </x:si>
  <x:si>
    <x:t xml:space="preserve">CreatureTypes!A29</x:t>
  </x:si>
  <x:si>
    <x:t xml:space="preserve">Beaver</x:t>
  </x:si>
  <x:si>
    <x:t xml:space="preserve">t:"Beaver"</x:t>
  </x:si>
  <x:si>
    <x:t xml:space="preserve">CreatureTypes!A30</x:t>
  </x:si>
  <x:si>
    <x:t xml:space="preserve">Beeble</x:t>
  </x:si>
  <x:si>
    <x:t xml:space="preserve">t:"Beeble"</x:t>
  </x:si>
  <x:si>
    <x:t xml:space="preserve">CreatureTypes!A31</x:t>
  </x:si>
  <x:si>
    <x:t xml:space="preserve">Beholder</x:t>
  </x:si>
  <x:si>
    <x:t xml:space="preserve">t:"Beholder"</x:t>
  </x:si>
  <x:si>
    <x:t xml:space="preserve">CreatureTypes!A32</x:t>
  </x:si>
  <x:si>
    <x:t xml:space="preserve">Berserker</x:t>
  </x:si>
  <x:si>
    <x:t xml:space="preserve">t:"Berserker"</x:t>
  </x:si>
  <x:si>
    <x:t xml:space="preserve">CreatureTypes!A33</x:t>
  </x:si>
  <x:si>
    <x:t xml:space="preserve">Bird</x:t>
  </x:si>
  <x:si>
    <x:t xml:space="preserve">t:"Bird"</x:t>
  </x:si>
  <x:si>
    <x:t xml:space="preserve">CreatureTypes!A34</x:t>
  </x:si>
  <x:si>
    <x:t xml:space="preserve">Bison</x:t>
  </x:si>
  <x:si>
    <x:t xml:space="preserve">t:"Bison"</x:t>
  </x:si>
  <x:si>
    <x:t xml:space="preserve">CreatureTypes!A35</x:t>
  </x:si>
  <x:si>
    <x:t xml:space="preserve">Blinkmoth</x:t>
  </x:si>
  <x:si>
    <x:t xml:space="preserve">t:"Blinkmoth"</x:t>
  </x:si>
  <x:si>
    <x:t xml:space="preserve">CreatureTypes!A36</x:t>
  </x:si>
  <x:si>
    <x:t xml:space="preserve">Boar</x:t>
  </x:si>
  <x:si>
    <x:t xml:space="preserve">t:"Boar"</x:t>
  </x:si>
  <x:si>
    <x:t xml:space="preserve">CreatureTypes!A37</x:t>
  </x:si>
  <x:si>
    <x:t xml:space="preserve">Brainiac</x:t>
  </x:si>
  <x:si>
    <x:t xml:space="preserve">t:"Brainiac"</x:t>
  </x:si>
  <x:si>
    <x:t xml:space="preserve">CreatureTypes!A38</x:t>
  </x:si>
  <x:si>
    <x:t xml:space="preserve">Bringer</x:t>
  </x:si>
  <x:si>
    <x:t xml:space="preserve">t:"Bringer"</x:t>
  </x:si>
  <x:si>
    <x:t xml:space="preserve">CreatureTypes!A39</x:t>
  </x:si>
  <x:si>
    <x:t xml:space="preserve">Brushwagg</x:t>
  </x:si>
  <x:si>
    <x:t xml:space="preserve">t:"Brushwagg"</x:t>
  </x:si>
  <x:si>
    <x:t xml:space="preserve">CreatureTypes!A40</x:t>
  </x:si>
  <x:si>
    <x:t xml:space="preserve">C’tan</x:t>
  </x:si>
  <x:si>
    <x:t xml:space="preserve">t:"C’tan"</x:t>
  </x:si>
  <x:si>
    <x:t xml:space="preserve">CreatureTypes!A41</x:t>
  </x:si>
  <x:si>
    <x:t xml:space="preserve">Camarid</x:t>
  </x:si>
  <x:si>
    <x:t xml:space="preserve">t:"Camarid"</x:t>
  </x:si>
  <x:si>
    <x:t xml:space="preserve">CreatureTypes!A42</x:t>
  </x:si>
  <x:si>
    <x:t xml:space="preserve">Camel</x:t>
  </x:si>
  <x:si>
    <x:t xml:space="preserve">t:"Camel"</x:t>
  </x:si>
  <x:si>
    <x:t xml:space="preserve">CreatureTypes!A43</x:t>
  </x:si>
  <x:si>
    <x:t xml:space="preserve">Capybara</x:t>
  </x:si>
  <x:si>
    <x:t xml:space="preserve">t:"Capybara"</x:t>
  </x:si>
  <x:si>
    <x:t xml:space="preserve">CreatureTypes!A44</x:t>
  </x:si>
  <x:si>
    <x:t xml:space="preserve">Caribou</x:t>
  </x:si>
  <x:si>
    <x:t xml:space="preserve">t:"Caribou"</x:t>
  </x:si>
  <x:si>
    <x:t xml:space="preserve">CreatureTypes!A45</x:t>
  </x:si>
  <x:si>
    <x:t xml:space="preserve">Carrier</x:t>
  </x:si>
  <x:si>
    <x:t xml:space="preserve">t:"Carrier"</x:t>
  </x:si>
  <x:si>
    <x:t xml:space="preserve">CreatureTypes!A46</x:t>
  </x:si>
  <x:si>
    <x:t xml:space="preserve">Cat</x:t>
  </x:si>
  <x:si>
    <x:t xml:space="preserve">t:"Cat"</x:t>
  </x:si>
  <x:si>
    <x:t xml:space="preserve">CreatureTypes!A47</x:t>
  </x:si>
  <x:si>
    <x:t xml:space="preserve">Centaur</x:t>
  </x:si>
  <x:si>
    <x:t xml:space="preserve">t:"Centaur"</x:t>
  </x:si>
  <x:si>
    <x:t xml:space="preserve">CreatureTypes!A48</x:t>
  </x:si>
  <x:si>
    <x:t xml:space="preserve">Chicken</x:t>
  </x:si>
  <x:si>
    <x:t xml:space="preserve">t:"Chicken"</x:t>
  </x:si>
  <x:si>
    <x:t xml:space="preserve">CreatureTypes!A49</x:t>
  </x:si>
  <x:si>
    <x:t xml:space="preserve">Child</x:t>
  </x:si>
  <x:si>
    <x:t xml:space="preserve">t:"Child"</x:t>
  </x:si>
  <x:si>
    <x:t xml:space="preserve">CreatureTypes!A50</x:t>
  </x:si>
  <x:si>
    <x:t xml:space="preserve">Chimera</x:t>
  </x:si>
  <x:si>
    <x:t xml:space="preserve">t:"Chimera"</x:t>
  </x:si>
  <x:si>
    <x:t xml:space="preserve">CreatureTypes!A51</x:t>
  </x:si>
  <x:si>
    <x:t xml:space="preserve">Citizen</x:t>
  </x:si>
  <x:si>
    <x:t xml:space="preserve">t:"Citizen"</x:t>
  </x:si>
  <x:si>
    <x:t xml:space="preserve">CreatureTypes!A52</x:t>
  </x:si>
  <x:si>
    <x:t xml:space="preserve">Cleric</x:t>
  </x:si>
  <x:si>
    <x:t xml:space="preserve">t:"Cleric"</x:t>
  </x:si>
  <x:si>
    <x:t xml:space="preserve">CreatureTypes!A53</x:t>
  </x:si>
  <x:si>
    <x:t xml:space="preserve">Clown</x:t>
  </x:si>
  <x:si>
    <x:t xml:space="preserve">t:"Clown"</x:t>
  </x:si>
  <x:si>
    <x:t xml:space="preserve">CreatureTypes!A54</x:t>
  </x:si>
  <x:si>
    <x:t xml:space="preserve">Cockatrice</x:t>
  </x:si>
  <x:si>
    <x:t xml:space="preserve">t:"Cockatrice"</x:t>
  </x:si>
  <x:si>
    <x:t xml:space="preserve">CreatureTypes!A55</x:t>
  </x:si>
  <x:si>
    <x:t xml:space="preserve">Construct</x:t>
  </x:si>
  <x:si>
    <x:t xml:space="preserve">t:"Construct"</x:t>
  </x:si>
  <x:si>
    <x:t xml:space="preserve">CreatureTypes!A56</x:t>
  </x:si>
  <x:si>
    <x:t xml:space="preserve">Coward</x:t>
  </x:si>
  <x:si>
    <x:t xml:space="preserve">t:"Coward"</x:t>
  </x:si>
  <x:si>
    <x:t xml:space="preserve">CreatureTypes!A57</x:t>
  </x:si>
  <x:si>
    <x:t xml:space="preserve">Coyote</x:t>
  </x:si>
  <x:si>
    <x:t xml:space="preserve">t:"Coyote"</x:t>
  </x:si>
  <x:si>
    <x:t xml:space="preserve">CreatureTypes!A58</x:t>
  </x:si>
  <x:si>
    <x:t xml:space="preserve">Crab</x:t>
  </x:si>
  <x:si>
    <x:t xml:space="preserve">t:"Crab"</x:t>
  </x:si>
  <x:si>
    <x:t xml:space="preserve">CreatureTypes!A59</x:t>
  </x:si>
  <x:si>
    <x:t xml:space="preserve">Crocodile</x:t>
  </x:si>
  <x:si>
    <x:t xml:space="preserve">t:"Crocodile"</x:t>
  </x:si>
  <x:si>
    <x:t xml:space="preserve">CreatureTypes!A60</x:t>
  </x:si>
  <x:si>
    <x:t xml:space="preserve">Custodes</x:t>
  </x:si>
  <x:si>
    <x:t xml:space="preserve">t:"Custodes"</x:t>
  </x:si>
  <x:si>
    <x:t xml:space="preserve">CreatureTypes!A61</x:t>
  </x:si>
  <x:si>
    <x:t xml:space="preserve">Cyberman</x:t>
  </x:si>
  <x:si>
    <x:t xml:space="preserve">t:"Cyberman"</x:t>
  </x:si>
  <x:si>
    <x:t xml:space="preserve">CreatureTypes!A62</x:t>
  </x:si>
  <x:si>
    <x:t xml:space="preserve">Cyclops</x:t>
  </x:si>
  <x:si>
    <x:t xml:space="preserve">t:"Cyclops"</x:t>
  </x:si>
  <x:si>
    <x:t xml:space="preserve">CreatureTypes!A63</x:t>
  </x:si>
  <x:si>
    <x:t xml:space="preserve">Dalek</x:t>
  </x:si>
  <x:si>
    <x:t xml:space="preserve">t:"Dalek"</x:t>
  </x:si>
  <x:si>
    <x:t xml:space="preserve">CreatureTypes!A64</x:t>
  </x:si>
  <x:si>
    <x:t xml:space="preserve">Dauthi</x:t>
  </x:si>
  <x:si>
    <x:t xml:space="preserve">t:"Dauthi"</x:t>
  </x:si>
  <x:si>
    <x:t xml:space="preserve">CreatureTypes!A65</x:t>
  </x:si>
  <x:si>
    <x:t xml:space="preserve">Demigod</x:t>
  </x:si>
  <x:si>
    <x:t xml:space="preserve">t:"Demigod"</x:t>
  </x:si>
  <x:si>
    <x:t xml:space="preserve">CreatureTypes!A66</x:t>
  </x:si>
  <x:si>
    <x:t xml:space="preserve">Demon</x:t>
  </x:si>
  <x:si>
    <x:t xml:space="preserve">t:"Demon"</x:t>
  </x:si>
  <x:si>
    <x:t xml:space="preserve">CreatureTypes!A67</x:t>
  </x:si>
  <x:si>
    <x:t xml:space="preserve">Deserter</x:t>
  </x:si>
  <x:si>
    <x:t xml:space="preserve">t:"Deserter"</x:t>
  </x:si>
  <x:si>
    <x:t xml:space="preserve">CreatureTypes!A68</x:t>
  </x:si>
  <x:si>
    <x:t xml:space="preserve">Detective</x:t>
  </x:si>
  <x:si>
    <x:t xml:space="preserve">t:"Detective"</x:t>
  </x:si>
  <x:si>
    <x:t xml:space="preserve">CreatureTypes!A69</x:t>
  </x:si>
  <x:si>
    <x:t xml:space="preserve">Devil</x:t>
  </x:si>
  <x:si>
    <x:t xml:space="preserve">t:"Devil"</x:t>
  </x:si>
  <x:si>
    <x:t xml:space="preserve">CreatureTypes!A70</x:t>
  </x:si>
  <x:si>
    <x:t xml:space="preserve">Dinosaur</x:t>
  </x:si>
  <x:si>
    <x:t xml:space="preserve">t:"Dinosaur"</x:t>
  </x:si>
  <x:si>
    <x:t xml:space="preserve">CreatureTypes!A71</x:t>
  </x:si>
  <x:si>
    <x:t xml:space="preserve">Djinn</x:t>
  </x:si>
  <x:si>
    <x:t xml:space="preserve">t:"Djinn"</x:t>
  </x:si>
  <x:si>
    <x:t xml:space="preserve">CreatureTypes!A72</x:t>
  </x:si>
  <x:si>
    <x:t xml:space="preserve">Doctor</x:t>
  </x:si>
  <x:si>
    <x:t xml:space="preserve">t:"Doctor"</x:t>
  </x:si>
  <x:si>
    <x:t xml:space="preserve">CreatureTypes!A73</x:t>
  </x:si>
  <x:si>
    <x:t xml:space="preserve">Dog</x:t>
  </x:si>
  <x:si>
    <x:t xml:space="preserve">t:"Dog"</x:t>
  </x:si>
  <x:si>
    <x:t xml:space="preserve">CreatureTypes!A74</x:t>
  </x:si>
  <x:si>
    <x:t xml:space="preserve">Dragon</x:t>
  </x:si>
  <x:si>
    <x:t xml:space="preserve">t:"Dragon"</x:t>
  </x:si>
  <x:si>
    <x:t xml:space="preserve">CreatureTypes!A75</x:t>
  </x:si>
  <x:si>
    <x:t xml:space="preserve">Drake</x:t>
  </x:si>
  <x:si>
    <x:t xml:space="preserve">t:"Drake"</x:t>
  </x:si>
  <x:si>
    <x:t xml:space="preserve">CreatureTypes!A76</x:t>
  </x:si>
  <x:si>
    <x:t xml:space="preserve">Dreadnought</x:t>
  </x:si>
  <x:si>
    <x:t xml:space="preserve">t:"Dreadnought"</x:t>
  </x:si>
  <x:si>
    <x:t xml:space="preserve">CreatureTypes!A77</x:t>
  </x:si>
  <x:si>
    <x:t xml:space="preserve">Drix</x:t>
  </x:si>
  <x:si>
    <x:t xml:space="preserve">t:"Drix"</x:t>
  </x:si>
  <x:si>
    <x:t xml:space="preserve">CreatureTypes!A78</x:t>
  </x:si>
  <x:si>
    <x:t xml:space="preserve">Drone</x:t>
  </x:si>
  <x:si>
    <x:t xml:space="preserve">t:"Drone"</x:t>
  </x:si>
  <x:si>
    <x:t xml:space="preserve">CreatureTypes!A79</x:t>
  </x:si>
  <x:si>
    <x:t xml:space="preserve">Druid</x:t>
  </x:si>
  <x:si>
    <x:t xml:space="preserve">t:"Druid"</x:t>
  </x:si>
  <x:si>
    <x:t xml:space="preserve">CreatureTypes!A80</x:t>
  </x:si>
  <x:si>
    <x:t xml:space="preserve">Dryad</x:t>
  </x:si>
  <x:si>
    <x:t xml:space="preserve">t:"Dryad"</x:t>
  </x:si>
  <x:si>
    <x:t xml:space="preserve">CreatureTypes!A81</x:t>
  </x:si>
  <x:si>
    <x:t xml:space="preserve">Dwarf</x:t>
  </x:si>
  <x:si>
    <x:t xml:space="preserve">t:"Dwarf"</x:t>
  </x:si>
  <x:si>
    <x:t xml:space="preserve">CreatureTypes!A82</x:t>
  </x:si>
  <x:si>
    <x:t xml:space="preserve">Echidna</x:t>
  </x:si>
  <x:si>
    <x:t xml:space="preserve">t:"Echidna"</x:t>
  </x:si>
  <x:si>
    <x:t xml:space="preserve">CreatureTypes!A83</x:t>
  </x:si>
  <x:si>
    <x:t xml:space="preserve">Efreet</x:t>
  </x:si>
  <x:si>
    <x:t xml:space="preserve">t:"Efreet"</x:t>
  </x:si>
  <x:si>
    <x:t xml:space="preserve">CreatureTypes!A84</x:t>
  </x:si>
  <x:si>
    <x:t xml:space="preserve">Egg</x:t>
  </x:si>
  <x:si>
    <x:t xml:space="preserve">t:"Egg"</x:t>
  </x:si>
  <x:si>
    <x:t xml:space="preserve">CreatureTypes!A85</x:t>
  </x:si>
  <x:si>
    <x:t xml:space="preserve">Elder</x:t>
  </x:si>
  <x:si>
    <x:t xml:space="preserve">t:"Elder"</x:t>
  </x:si>
  <x:si>
    <x:t xml:space="preserve">CreatureTypes!A86</x:t>
  </x:si>
  <x:si>
    <x:t xml:space="preserve">Eldrazi</x:t>
  </x:si>
  <x:si>
    <x:t xml:space="preserve">t:"Eldrazi"</x:t>
  </x:si>
  <x:si>
    <x:t xml:space="preserve">CreatureTypes!A87</x:t>
  </x:si>
  <x:si>
    <x:t xml:space="preserve">Elemental</x:t>
  </x:si>
  <x:si>
    <x:t xml:space="preserve">t:"Elemental"</x:t>
  </x:si>
  <x:si>
    <x:t xml:space="preserve">CreatureTypes!A88</x:t>
  </x:si>
  <x:si>
    <x:t xml:space="preserve">Elephant</x:t>
  </x:si>
  <x:si>
    <x:t xml:space="preserve">t:"Elephant"</x:t>
  </x:si>
  <x:si>
    <x:t xml:space="preserve">CreatureTypes!A89</x:t>
  </x:si>
  <x:si>
    <x:t xml:space="preserve">Elf</x:t>
  </x:si>
  <x:si>
    <x:t xml:space="preserve">t:"Elf"</x:t>
  </x:si>
  <x:si>
    <x:t xml:space="preserve">CreatureTypes!A90</x:t>
  </x:si>
  <x:si>
    <x:t xml:space="preserve">Elk</x:t>
  </x:si>
  <x:si>
    <x:t xml:space="preserve">t:"Elk"</x:t>
  </x:si>
  <x:si>
    <x:t xml:space="preserve">CreatureTypes!A91</x:t>
  </x:si>
  <x:si>
    <x:t xml:space="preserve">Employee</x:t>
  </x:si>
  <x:si>
    <x:t xml:space="preserve">t:"Employee"</x:t>
  </x:si>
  <x:si>
    <x:t xml:space="preserve">CreatureTypes!A92</x:t>
  </x:si>
  <x:si>
    <x:t xml:space="preserve">Eternal</x:t>
  </x:si>
  <x:si>
    <x:t xml:space="preserve">t:"Eternal"</x:t>
  </x:si>
  <x:si>
    <x:t xml:space="preserve">CreatureTypes!A93</x:t>
  </x:si>
  <x:si>
    <x:t xml:space="preserve">Eye</x:t>
  </x:si>
  <x:si>
    <x:t xml:space="preserve">t:"Eye"</x:t>
  </x:si>
  <x:si>
    <x:t xml:space="preserve">CreatureTypes!A94</x:t>
  </x:si>
  <x:si>
    <x:t xml:space="preserve">Faerie</x:t>
  </x:si>
  <x:si>
    <x:t xml:space="preserve">t:"Faerie"</x:t>
  </x:si>
  <x:si>
    <x:t xml:space="preserve">CreatureTypes!A95</x:t>
  </x:si>
  <x:si>
    <x:t xml:space="preserve">Ferret</x:t>
  </x:si>
  <x:si>
    <x:t xml:space="preserve">t:"Ferret"</x:t>
  </x:si>
  <x:si>
    <x:t xml:space="preserve">CreatureTypes!A96</x:t>
  </x:si>
  <x:si>
    <x:t xml:space="preserve">Fish</x:t>
  </x:si>
  <x:si>
    <x:t xml:space="preserve">t:"Fish"</x:t>
  </x:si>
  <x:si>
    <x:t xml:space="preserve">CreatureTypes!A97</x:t>
  </x:si>
  <x:si>
    <x:t xml:space="preserve">Flagbearer</x:t>
  </x:si>
  <x:si>
    <x:t xml:space="preserve">t:"Flagbearer"</x:t>
  </x:si>
  <x:si>
    <x:t xml:space="preserve">CreatureTypes!A98</x:t>
  </x:si>
  <x:si>
    <x:t xml:space="preserve">Fox</x:t>
  </x:si>
  <x:si>
    <x:t xml:space="preserve">t:"Fox"</x:t>
  </x:si>
  <x:si>
    <x:t xml:space="preserve">CreatureTypes!A99</x:t>
  </x:si>
  <x:si>
    <x:t xml:space="preserve">Fractal</x:t>
  </x:si>
  <x:si>
    <x:t xml:space="preserve">t:"Fractal"</x:t>
  </x:si>
  <x:si>
    <x:t xml:space="preserve">CreatureTypes!A100</x:t>
  </x:si>
  <x:si>
    <x:t xml:space="preserve">Frog</x:t>
  </x:si>
  <x:si>
    <x:t xml:space="preserve">t:"Frog"</x:t>
  </x:si>
  <x:si>
    <x:t xml:space="preserve">CreatureTypes!A101</x:t>
  </x:si>
  <x:si>
    <x:t xml:space="preserve">Fungus</x:t>
  </x:si>
  <x:si>
    <x:t xml:space="preserve">t:"Fungus"</x:t>
  </x:si>
  <x:si>
    <x:t xml:space="preserve">CreatureTypes!A102</x:t>
  </x:si>
  <x:si>
    <x:t xml:space="preserve">Gamer</x:t>
  </x:si>
  <x:si>
    <x:t xml:space="preserve">t:"Gamer"</x:t>
  </x:si>
  <x:si>
    <x:t xml:space="preserve">CreatureTypes!A103</x:t>
  </x:si>
  <x:si>
    <x:t xml:space="preserve">Gamma</x:t>
  </x:si>
  <x:si>
    <x:t xml:space="preserve">t:"Gamma"</x:t>
  </x:si>
  <x:si>
    <x:t xml:space="preserve">CreatureTypes!A104</x:t>
  </x:si>
  <x:si>
    <x:t xml:space="preserve">Gargoyle</x:t>
  </x:si>
  <x:si>
    <x:t xml:space="preserve">t:"Gargoyle"</x:t>
  </x:si>
  <x:si>
    <x:t xml:space="preserve">CreatureTypes!A105</x:t>
  </x:si>
  <x:si>
    <x:t xml:space="preserve">Germ</x:t>
  </x:si>
  <x:si>
    <x:t xml:space="preserve">t:"Germ"</x:t>
  </x:si>
  <x:si>
    <x:t xml:space="preserve">CreatureTypes!A106</x:t>
  </x:si>
  <x:si>
    <x:t xml:space="preserve">Giant</x:t>
  </x:si>
  <x:si>
    <x:t xml:space="preserve">t:"Giant"</x:t>
  </x:si>
  <x:si>
    <x:t xml:space="preserve">CreatureTypes!A107</x:t>
  </x:si>
  <x:si>
    <x:t xml:space="preserve">Giraffe</x:t>
  </x:si>
  <x:si>
    <x:t xml:space="preserve">t:"Giraffe"</x:t>
  </x:si>
  <x:si>
    <x:t xml:space="preserve">CreatureTypes!A108</x:t>
  </x:si>
  <x:si>
    <x:t xml:space="preserve">Gith</x:t>
  </x:si>
  <x:si>
    <x:t xml:space="preserve">t:"Gith"</x:t>
  </x:si>
  <x:si>
    <x:t xml:space="preserve">CreatureTypes!A109</x:t>
  </x:si>
  <x:si>
    <x:t xml:space="preserve">Glimmer</x:t>
  </x:si>
  <x:si>
    <x:t xml:space="preserve">t:"Glimmer"</x:t>
  </x:si>
  <x:si>
    <x:t xml:space="preserve">CreatureTypes!A110</x:t>
  </x:si>
  <x:si>
    <x:t xml:space="preserve">Gnoll</x:t>
  </x:si>
  <x:si>
    <x:t xml:space="preserve">t:"Gnoll"</x:t>
  </x:si>
  <x:si>
    <x:t xml:space="preserve">CreatureTypes!A111</x:t>
  </x:si>
  <x:si>
    <x:t xml:space="preserve">Gnome</x:t>
  </x:si>
  <x:si>
    <x:t xml:space="preserve">t:"Gnome"</x:t>
  </x:si>
  <x:si>
    <x:t xml:space="preserve">CreatureTypes!A112</x:t>
  </x:si>
  <x:si>
    <x:t xml:space="preserve">Goat</x:t>
  </x:si>
  <x:si>
    <x:t xml:space="preserve">t:"Goat"</x:t>
  </x:si>
  <x:si>
    <x:t xml:space="preserve">CreatureTypes!A113</x:t>
  </x:si>
  <x:si>
    <x:t xml:space="preserve">Goblin</x:t>
  </x:si>
  <x:si>
    <x:t xml:space="preserve">t:"Goblin"</x:t>
  </x:si>
  <x:si>
    <x:t xml:space="preserve">CreatureTypes!A114</x:t>
  </x:si>
  <x:si>
    <x:t xml:space="preserve">God</x:t>
  </x:si>
  <x:si>
    <x:t xml:space="preserve">t:"God"</x:t>
  </x:si>
  <x:si>
    <x:t xml:space="preserve">CreatureTypes!A115</x:t>
  </x:si>
  <x:si>
    <x:t xml:space="preserve">Golem</x:t>
  </x:si>
  <x:si>
    <x:t xml:space="preserve">t:"Golem"</x:t>
  </x:si>
  <x:si>
    <x:t xml:space="preserve">CreatureTypes!A116</x:t>
  </x:si>
  <x:si>
    <x:t xml:space="preserve">Gorgon</x:t>
  </x:si>
  <x:si>
    <x:t xml:space="preserve">t:"Gorgon"</x:t>
  </x:si>
  <x:si>
    <x:t xml:space="preserve">CreatureTypes!A117</x:t>
  </x:si>
  <x:si>
    <x:t xml:space="preserve">Graveborn</x:t>
  </x:si>
  <x:si>
    <x:t xml:space="preserve">t:"Graveborn"</x:t>
  </x:si>
  <x:si>
    <x:t xml:space="preserve">CreatureTypes!A118</x:t>
  </x:si>
  <x:si>
    <x:t xml:space="preserve">Gremlin</x:t>
  </x:si>
  <x:si>
    <x:t xml:space="preserve">t:"Gremlin"</x:t>
  </x:si>
  <x:si>
    <x:t xml:space="preserve">CreatureTypes!A119</x:t>
  </x:si>
  <x:si>
    <x:t xml:space="preserve">Griffin</x:t>
  </x:si>
  <x:si>
    <x:t xml:space="preserve">t:"Griffin"</x:t>
  </x:si>
  <x:si>
    <x:t xml:space="preserve">CreatureTypes!A120</x:t>
  </x:si>
  <x:si>
    <x:t xml:space="preserve">Guest</x:t>
  </x:si>
  <x:si>
    <x:t xml:space="preserve">t:"Guest"</x:t>
  </x:si>
  <x:si>
    <x:t xml:space="preserve">CreatureTypes!A121</x:t>
  </x:si>
  <x:si>
    <x:t xml:space="preserve">Hag</x:t>
  </x:si>
  <x:si>
    <x:t xml:space="preserve">t:"Hag"</x:t>
  </x:si>
  <x:si>
    <x:t xml:space="preserve">CreatureTypes!A122</x:t>
  </x:si>
  <x:si>
    <x:t xml:space="preserve">Halfling</x:t>
  </x:si>
  <x:si>
    <x:t xml:space="preserve">t:"Halfling"</x:t>
  </x:si>
  <x:si>
    <x:t xml:space="preserve">CreatureTypes!A123</x:t>
  </x:si>
  <x:si>
    <x:t xml:space="preserve">Hamster</x:t>
  </x:si>
  <x:si>
    <x:t xml:space="preserve">t:"Hamster"</x:t>
  </x:si>
  <x:si>
    <x:t xml:space="preserve">CreatureTypes!A124</x:t>
  </x:si>
  <x:si>
    <x:t xml:space="preserve">Harpy</x:t>
  </x:si>
  <x:si>
    <x:t xml:space="preserve">t:"Harpy"</x:t>
  </x:si>
  <x:si>
    <x:t xml:space="preserve">CreatureTypes!A125</x:t>
  </x:si>
  <x:si>
    <x:t xml:space="preserve">Head</x:t>
  </x:si>
  <x:si>
    <x:t xml:space="preserve">t:"Head"</x:t>
  </x:si>
  <x:si>
    <x:t xml:space="preserve">CreatureTypes!A126</x:t>
  </x:si>
  <x:si>
    <x:t xml:space="preserve">Hedgehog</x:t>
  </x:si>
  <x:si>
    <x:t xml:space="preserve">t:"Hedgehog"</x:t>
  </x:si>
  <x:si>
    <x:t xml:space="preserve">CreatureTypes!A127</x:t>
  </x:si>
  <x:si>
    <x:t xml:space="preserve">Hellion</x:t>
  </x:si>
  <x:si>
    <x:t xml:space="preserve">t:"Hellion"</x:t>
  </x:si>
  <x:si>
    <x:t xml:space="preserve">CreatureTypes!A128</x:t>
  </x:si>
  <x:si>
    <x:t xml:space="preserve">Hero</x:t>
  </x:si>
  <x:si>
    <x:t xml:space="preserve">t:"Hero"</x:t>
  </x:si>
  <x:si>
    <x:t xml:space="preserve">CreatureTypes!A129</x:t>
  </x:si>
  <x:si>
    <x:t xml:space="preserve">Hippo</x:t>
  </x:si>
  <x:si>
    <x:t xml:space="preserve">t:"Hippo"</x:t>
  </x:si>
  <x:si>
    <x:t xml:space="preserve">CreatureTypes!A130</x:t>
  </x:si>
  <x:si>
    <x:t xml:space="preserve">Hippogriff</x:t>
  </x:si>
  <x:si>
    <x:t xml:space="preserve">t:"Hippogriff"</x:t>
  </x:si>
  <x:si>
    <x:t xml:space="preserve">CreatureTypes!A131</x:t>
  </x:si>
  <x:si>
    <x:t xml:space="preserve">Homarid</x:t>
  </x:si>
  <x:si>
    <x:t xml:space="preserve">t:"Homarid"</x:t>
  </x:si>
  <x:si>
    <x:t xml:space="preserve">CreatureTypes!A132</x:t>
  </x:si>
  <x:si>
    <x:t xml:space="preserve">Homunculus</x:t>
  </x:si>
  <x:si>
    <x:t xml:space="preserve">t:"Homunculus"</x:t>
  </x:si>
  <x:si>
    <x:t xml:space="preserve">CreatureTypes!A133</x:t>
  </x:si>
  <x:si>
    <x:t xml:space="preserve">Horror</x:t>
  </x:si>
  <x:si>
    <x:t xml:space="preserve">t:"Horror"</x:t>
  </x:si>
  <x:si>
    <x:t xml:space="preserve">CreatureTypes!A134</x:t>
  </x:si>
  <x:si>
    <x:t xml:space="preserve">Horse</x:t>
  </x:si>
  <x:si>
    <x:t xml:space="preserve">t:"Horse"</x:t>
  </x:si>
  <x:si>
    <x:t xml:space="preserve">CreatureTypes!A135</x:t>
  </x:si>
  <x:si>
    <x:t xml:space="preserve">Human</x:t>
  </x:si>
  <x:si>
    <x:t xml:space="preserve">t:"Human"</x:t>
  </x:si>
  <x:si>
    <x:t xml:space="preserve">CreatureTypes!A136</x:t>
  </x:si>
  <x:si>
    <x:t xml:space="preserve">Hydra</x:t>
  </x:si>
  <x:si>
    <x:t xml:space="preserve">t:"Hydra"</x:t>
  </x:si>
  <x:si>
    <x:t xml:space="preserve">CreatureTypes!A137</x:t>
  </x:si>
  <x:si>
    <x:t xml:space="preserve">Hyena</x:t>
  </x:si>
  <x:si>
    <x:t xml:space="preserve">t:"Hyena"</x:t>
  </x:si>
  <x:si>
    <x:t xml:space="preserve">CreatureTypes!A138</x:t>
  </x:si>
  <x:si>
    <x:t xml:space="preserve">Illusion</x:t>
  </x:si>
  <x:si>
    <x:t xml:space="preserve">t:"Illusion"</x:t>
  </x:si>
  <x:si>
    <x:t xml:space="preserve">CreatureTypes!A139</x:t>
  </x:si>
  <x:si>
    <x:t xml:space="preserve">Imp</x:t>
  </x:si>
  <x:si>
    <x:t xml:space="preserve">t:"Imp"</x:t>
  </x:si>
  <x:si>
    <x:t xml:space="preserve">CreatureTypes!A140</x:t>
  </x:si>
  <x:si>
    <x:t xml:space="preserve">Incarnation</x:t>
  </x:si>
  <x:si>
    <x:t xml:space="preserve">t:"Incarnation"</x:t>
  </x:si>
  <x:si>
    <x:t xml:space="preserve">CreatureTypes!A141</x:t>
  </x:si>
  <x:si>
    <x:t xml:space="preserve">Inhuman</x:t>
  </x:si>
  <x:si>
    <x:t xml:space="preserve">t:"Inhuman"</x:t>
  </x:si>
  <x:si>
    <x:t xml:space="preserve">CreatureTypes!A142</x:t>
  </x:si>
  <x:si>
    <x:t xml:space="preserve">Inkling</x:t>
  </x:si>
  <x:si>
    <x:t xml:space="preserve">t:"Inkling"</x:t>
  </x:si>
  <x:si>
    <x:t xml:space="preserve">CreatureTypes!A143</x:t>
  </x:si>
  <x:si>
    <x:t xml:space="preserve">Inquisitor</x:t>
  </x:si>
  <x:si>
    <x:t xml:space="preserve">t:"Inquisitor"</x:t>
  </x:si>
  <x:si>
    <x:t xml:space="preserve">CreatureTypes!A144</x:t>
  </x:si>
  <x:si>
    <x:t xml:space="preserve">Insect</x:t>
  </x:si>
  <x:si>
    <x:t xml:space="preserve">t:"Insect"</x:t>
  </x:si>
  <x:si>
    <x:t xml:space="preserve">CreatureTypes!A145</x:t>
  </x:si>
  <x:si>
    <x:t xml:space="preserve">Jackal</x:t>
  </x:si>
  <x:si>
    <x:t xml:space="preserve">t:"Jackal"</x:t>
  </x:si>
  <x:si>
    <x:t xml:space="preserve">CreatureTypes!A146</x:t>
  </x:si>
  <x:si>
    <x:t xml:space="preserve">Jellyfish</x:t>
  </x:si>
  <x:si>
    <x:t xml:space="preserve">t:"Jellyfish"</x:t>
  </x:si>
  <x:si>
    <x:t xml:space="preserve">CreatureTypes!A147</x:t>
  </x:si>
  <x:si>
    <x:t xml:space="preserve">Juggernaut</x:t>
  </x:si>
  <x:si>
    <x:t xml:space="preserve">t:"Juggernaut"</x:t>
  </x:si>
  <x:si>
    <x:t xml:space="preserve">CreatureTypes!A148</x:t>
  </x:si>
  <x:si>
    <x:t xml:space="preserve">Kangaroo</x:t>
  </x:si>
  <x:si>
    <x:t xml:space="preserve">t:"Kangaroo"</x:t>
  </x:si>
  <x:si>
    <x:t xml:space="preserve">CreatureTypes!A149</x:t>
  </x:si>
  <x:si>
    <x:t xml:space="preserve">Kavu</x:t>
  </x:si>
  <x:si>
    <x:t xml:space="preserve">t:"Kavu"</x:t>
  </x:si>
  <x:si>
    <x:t xml:space="preserve">CreatureTypes!A150</x:t>
  </x:si>
  <x:si>
    <x:t xml:space="preserve">Kirin</x:t>
  </x:si>
  <x:si>
    <x:t xml:space="preserve">t:"Kirin"</x:t>
  </x:si>
  <x:si>
    <x:t xml:space="preserve">CreatureTypes!A151</x:t>
  </x:si>
  <x:si>
    <x:t xml:space="preserve">Kithkin</x:t>
  </x:si>
  <x:si>
    <x:t xml:space="preserve">t:"Kithkin"</x:t>
  </x:si>
  <x:si>
    <x:t xml:space="preserve">CreatureTypes!A152</x:t>
  </x:si>
  <x:si>
    <x:t xml:space="preserve">Knight</x:t>
  </x:si>
  <x:si>
    <x:t xml:space="preserve">t:"Knight"</x:t>
  </x:si>
  <x:si>
    <x:t xml:space="preserve">CreatureTypes!A153</x:t>
  </x:si>
  <x:si>
    <x:t xml:space="preserve">Kobold</x:t>
  </x:si>
  <x:si>
    <x:t xml:space="preserve">t:"Kobold"</x:t>
  </x:si>
  <x:si>
    <x:t xml:space="preserve">CreatureTypes!A154</x:t>
  </x:si>
  <x:si>
    <x:t xml:space="preserve">Kor</x:t>
  </x:si>
  <x:si>
    <x:t xml:space="preserve">t:"Kor"</x:t>
  </x:si>
  <x:si>
    <x:t xml:space="preserve">CreatureTypes!A155</x:t>
  </x:si>
  <x:si>
    <x:t xml:space="preserve">Kraken</x:t>
  </x:si>
  <x:si>
    <x:t xml:space="preserve">t:"Kraken"</x:t>
  </x:si>
  <x:si>
    <x:t xml:space="preserve">CreatureTypes!A156</x:t>
  </x:si>
  <x:si>
    <x:t xml:space="preserve">Kree</x:t>
  </x:si>
  <x:si>
    <x:t xml:space="preserve">t:"Kree"</x:t>
  </x:si>
  <x:si>
    <x:t xml:space="preserve">CreatureTypes!A157</x:t>
  </x:si>
  <x:si>
    <x:t xml:space="preserve">Lamia</x:t>
  </x:si>
  <x:si>
    <x:t xml:space="preserve">t:"Lamia"</x:t>
  </x:si>
  <x:si>
    <x:t xml:space="preserve">CreatureTypes!A158</x:t>
  </x:si>
  <x:si>
    <x:t xml:space="preserve">Lammasu</x:t>
  </x:si>
  <x:si>
    <x:t xml:space="preserve">t:"Lammasu"</x:t>
  </x:si>
  <x:si>
    <x:t xml:space="preserve">CreatureTypes!A159</x:t>
  </x:si>
  <x:si>
    <x:t xml:space="preserve">Leech</x:t>
  </x:si>
  <x:si>
    <x:t xml:space="preserve">t:"Leech"</x:t>
  </x:si>
  <x:si>
    <x:t xml:space="preserve">CreatureTypes!A160</x:t>
  </x:si>
  <x:si>
    <x:t xml:space="preserve">Lemur</x:t>
  </x:si>
  <x:si>
    <x:t xml:space="preserve">t:"Lemur"</x:t>
  </x:si>
  <x:si>
    <x:t xml:space="preserve">CreatureTypes!A161</x:t>
  </x:si>
  <x:si>
    <x:t xml:space="preserve">Leviathan</x:t>
  </x:si>
  <x:si>
    <x:t xml:space="preserve">t:"Leviathan"</x:t>
  </x:si>
  <x:si>
    <x:t xml:space="preserve">CreatureTypes!A162</x:t>
  </x:si>
  <x:si>
    <x:t xml:space="preserve">Lhurgoyf</x:t>
  </x:si>
  <x:si>
    <x:t xml:space="preserve">t:"Lhurgoyf"</x:t>
  </x:si>
  <x:si>
    <x:t xml:space="preserve">CreatureTypes!A163</x:t>
  </x:si>
  <x:si>
    <x:t xml:space="preserve">Licid</x:t>
  </x:si>
  <x:si>
    <x:t xml:space="preserve">t:"Licid"</x:t>
  </x:si>
  <x:si>
    <x:t xml:space="preserve">CreatureTypes!A164</x:t>
  </x:si>
  <x:si>
    <x:t xml:space="preserve">Lizard</x:t>
  </x:si>
  <x:si>
    <x:t xml:space="preserve">t:"Lizard"</x:t>
  </x:si>
  <x:si>
    <x:t xml:space="preserve">CreatureTypes!A165</x:t>
  </x:si>
  <x:si>
    <x:t xml:space="preserve">Llama</x:t>
  </x:si>
  <x:si>
    <x:t xml:space="preserve">t:"Llama"</x:t>
  </x:si>
  <x:si>
    <x:t xml:space="preserve">CreatureTypes!A166</x:t>
  </x:si>
  <x:si>
    <x:t xml:space="preserve">Lobster</x:t>
  </x:si>
  <x:si>
    <x:t xml:space="preserve">t:"Lobster"</x:t>
  </x:si>
  <x:si>
    <x:t xml:space="preserve">CreatureTypes!A167</x:t>
  </x:si>
  <x:si>
    <x:t xml:space="preserve">Manticore</x:t>
  </x:si>
  <x:si>
    <x:t xml:space="preserve">t:"Manticore"</x:t>
  </x:si>
  <x:si>
    <x:t xml:space="preserve">CreatureTypes!A168</x:t>
  </x:si>
  <x:si>
    <x:t xml:space="preserve">Masticore</x:t>
  </x:si>
  <x:si>
    <x:t xml:space="preserve">t:"Masticore"</x:t>
  </x:si>
  <x:si>
    <x:t xml:space="preserve">CreatureTypes!A169</x:t>
  </x:si>
  <x:si>
    <x:t xml:space="preserve">Mercenary</x:t>
  </x:si>
  <x:si>
    <x:t xml:space="preserve">t:"Mercenary"</x:t>
  </x:si>
  <x:si>
    <x:t xml:space="preserve">CreatureTypes!A170</x:t>
  </x:si>
  <x:si>
    <x:t xml:space="preserve">Merfolk</x:t>
  </x:si>
  <x:si>
    <x:t xml:space="preserve">t:"Merfolk"</x:t>
  </x:si>
  <x:si>
    <x:t xml:space="preserve">CreatureTypes!A171</x:t>
  </x:si>
  <x:si>
    <x:t xml:space="preserve">Metathran</x:t>
  </x:si>
  <x:si>
    <x:t xml:space="preserve">t:"Metathran"</x:t>
  </x:si>
  <x:si>
    <x:t xml:space="preserve">CreatureTypes!A172</x:t>
  </x:si>
  <x:si>
    <x:t xml:space="preserve">Minion</x:t>
  </x:si>
  <x:si>
    <x:t xml:space="preserve">t:"Minion"</x:t>
  </x:si>
  <x:si>
    <x:t xml:space="preserve">CreatureTypes!A173</x:t>
  </x:si>
  <x:si>
    <x:t xml:space="preserve">Minotaur</x:t>
  </x:si>
  <x:si>
    <x:t xml:space="preserve">t:"Minotaur"</x:t>
  </x:si>
  <x:si>
    <x:t xml:space="preserve">CreatureTypes!A174</x:t>
  </x:si>
  <x:si>
    <x:t xml:space="preserve">Mite</x:t>
  </x:si>
  <x:si>
    <x:t xml:space="preserve">t:"Mite"</x:t>
  </x:si>
  <x:si>
    <x:t xml:space="preserve">CreatureTypes!A175</x:t>
  </x:si>
  <x:si>
    <x:t xml:space="preserve">Mole</x:t>
  </x:si>
  <x:si>
    <x:t xml:space="preserve">t:"Mole"</x:t>
  </x:si>
  <x:si>
    <x:t xml:space="preserve">CreatureTypes!A176</x:t>
  </x:si>
  <x:si>
    <x:t xml:space="preserve">Monger</x:t>
  </x:si>
  <x:si>
    <x:t xml:space="preserve">t:"Monger"</x:t>
  </x:si>
  <x:si>
    <x:t xml:space="preserve">CreatureTypes!A177</x:t>
  </x:si>
  <x:si>
    <x:t xml:space="preserve">Mongoose</x:t>
  </x:si>
  <x:si>
    <x:t xml:space="preserve">t:"Mongoose"</x:t>
  </x:si>
  <x:si>
    <x:t xml:space="preserve">CreatureTypes!A178</x:t>
  </x:si>
  <x:si>
    <x:t xml:space="preserve">Monk</x:t>
  </x:si>
  <x:si>
    <x:t xml:space="preserve">t:"Monk"</x:t>
  </x:si>
  <x:si>
    <x:t xml:space="preserve">CreatureTypes!A179</x:t>
  </x:si>
  <x:si>
    <x:t xml:space="preserve">Monkey</x:t>
  </x:si>
  <x:si>
    <x:t xml:space="preserve">t:"Monkey"</x:t>
  </x:si>
  <x:si>
    <x:t xml:space="preserve">CreatureTypes!A180</x:t>
  </x:si>
  <x:si>
    <x:t xml:space="preserve">Moogle</x:t>
  </x:si>
  <x:si>
    <x:t xml:space="preserve">t:"Moogle"</x:t>
  </x:si>
  <x:si>
    <x:t xml:space="preserve">CreatureTypes!A181</x:t>
  </x:si>
  <x:si>
    <x:t xml:space="preserve">Moonfolk</x:t>
  </x:si>
  <x:si>
    <x:t xml:space="preserve">t:"Moonfolk"</x:t>
  </x:si>
  <x:si>
    <x:t xml:space="preserve">CreatureTypes!A182</x:t>
  </x:si>
  <x:si>
    <x:t xml:space="preserve">Mount</x:t>
  </x:si>
  <x:si>
    <x:t xml:space="preserve">t:"Mount"</x:t>
  </x:si>
  <x:si>
    <x:t xml:space="preserve">CreatureTypes!A183</x:t>
  </x:si>
  <x:si>
    <x:t xml:space="preserve">Mouse</x:t>
  </x:si>
  <x:si>
    <x:t xml:space="preserve">t:"Mouse"</x:t>
  </x:si>
  <x:si>
    <x:t xml:space="preserve">CreatureTypes!A184</x:t>
  </x:si>
  <x:si>
    <x:t xml:space="preserve">Mutant</x:t>
  </x:si>
  <x:si>
    <x:t xml:space="preserve">t:"Mutant"</x:t>
  </x:si>
  <x:si>
    <x:t xml:space="preserve">CreatureTypes!A185</x:t>
  </x:si>
  <x:si>
    <x:t xml:space="preserve">Myr</x:t>
  </x:si>
  <x:si>
    <x:t xml:space="preserve">t:"Myr"</x:t>
  </x:si>
  <x:si>
    <x:t xml:space="preserve">CreatureTypes!A186</x:t>
  </x:si>
  <x:si>
    <x:t xml:space="preserve">Mystic</x:t>
  </x:si>
  <x:si>
    <x:t xml:space="preserve">t:"Mystic"</x:t>
  </x:si>
  <x:si>
    <x:t xml:space="preserve">CreatureTypes!A187</x:t>
  </x:si>
  <x:si>
    <x:t xml:space="preserve">Naga</x:t>
  </x:si>
  <x:si>
    <x:t xml:space="preserve">t:"Naga"</x:t>
  </x:si>
  <x:si>
    <x:t xml:space="preserve">CreatureTypes!A188</x:t>
  </x:si>
  <x:si>
    <x:t xml:space="preserve">Nautilus</x:t>
  </x:si>
  <x:si>
    <x:t xml:space="preserve">t:"Nautilus"</x:t>
  </x:si>
  <x:si>
    <x:t xml:space="preserve">CreatureTypes!A189</x:t>
  </x:si>
  <x:si>
    <x:t xml:space="preserve">Necron</x:t>
  </x:si>
  <x:si>
    <x:t xml:space="preserve">t:"Necron"</x:t>
  </x:si>
  <x:si>
    <x:t xml:space="preserve">CreatureTypes!A190</x:t>
  </x:si>
  <x:si>
    <x:t xml:space="preserve">Nephilim</x:t>
  </x:si>
  <x:si>
    <x:t xml:space="preserve">t:"Nephilim"</x:t>
  </x:si>
  <x:si>
    <x:t xml:space="preserve">CreatureTypes!A191</x:t>
  </x:si>
  <x:si>
    <x:t xml:space="preserve">Nightmare</x:t>
  </x:si>
  <x:si>
    <x:t xml:space="preserve">t:"Nightmare"</x:t>
  </x:si>
  <x:si>
    <x:t xml:space="preserve">CreatureTypes!A192</x:t>
  </x:si>
  <x:si>
    <x:t xml:space="preserve">Nightstalker</x:t>
  </x:si>
  <x:si>
    <x:t xml:space="preserve">t:"Nightstalker"</x:t>
  </x:si>
  <x:si>
    <x:t xml:space="preserve">CreatureTypes!A193</x:t>
  </x:si>
  <x:si>
    <x:t xml:space="preserve">Ninja</x:t>
  </x:si>
  <x:si>
    <x:t xml:space="preserve">t:"Ninja"</x:t>
  </x:si>
  <x:si>
    <x:t xml:space="preserve">CreatureTypes!A194</x:t>
  </x:si>
  <x:si>
    <x:t xml:space="preserve">Noble</x:t>
  </x:si>
  <x:si>
    <x:t xml:space="preserve">t:"Noble"</x:t>
  </x:si>
  <x:si>
    <x:t xml:space="preserve">CreatureTypes!A195</x:t>
  </x:si>
  <x:si>
    <x:t xml:space="preserve">Noggle</x:t>
  </x:si>
  <x:si>
    <x:t xml:space="preserve">t:"Noggle"</x:t>
  </x:si>
  <x:si>
    <x:t xml:space="preserve">CreatureTypes!A196</x:t>
  </x:si>
  <x:si>
    <x:t xml:space="preserve">Nomad</x:t>
  </x:si>
  <x:si>
    <x:t xml:space="preserve">t:"Nomad"</x:t>
  </x:si>
  <x:si>
    <x:t xml:space="preserve">CreatureTypes!A197</x:t>
  </x:si>
  <x:si>
    <x:t xml:space="preserve">Nymph</x:t>
  </x:si>
  <x:si>
    <x:t xml:space="preserve">t:"Nymph"</x:t>
  </x:si>
  <x:si>
    <x:t xml:space="preserve">CreatureTypes!A198</x:t>
  </x:si>
  <x:si>
    <x:t xml:space="preserve">Octopus</x:t>
  </x:si>
  <x:si>
    <x:t xml:space="preserve">t:"Octopus"</x:t>
  </x:si>
  <x:si>
    <x:t xml:space="preserve">CreatureTypes!A199</x:t>
  </x:si>
  <x:si>
    <x:t xml:space="preserve">Officer</x:t>
  </x:si>
  <x:si>
    <x:t xml:space="preserve">t:"Officer"</x:t>
  </x:si>
  <x:si>
    <x:t xml:space="preserve">CreatureTypes!A200</x:t>
  </x:si>
  <x:si>
    <x:t xml:space="preserve">Ogre</x:t>
  </x:si>
  <x:si>
    <x:t xml:space="preserve">t:"Ogre"</x:t>
  </x:si>
  <x:si>
    <x:t xml:space="preserve">CreatureTypes!A201</x:t>
  </x:si>
  <x:si>
    <x:t xml:space="preserve">Ooze</x:t>
  </x:si>
  <x:si>
    <x:t xml:space="preserve">t:"Ooze"</x:t>
  </x:si>
  <x:si>
    <x:t xml:space="preserve">CreatureTypes!A202</x:t>
  </x:si>
  <x:si>
    <x:t xml:space="preserve">Orb</x:t>
  </x:si>
  <x:si>
    <x:t xml:space="preserve">t:"Orb"</x:t>
  </x:si>
  <x:si>
    <x:t xml:space="preserve">CreatureTypes!A203</x:t>
  </x:si>
  <x:si>
    <x:t xml:space="preserve">Orc</x:t>
  </x:si>
  <x:si>
    <x:t xml:space="preserve">t:"Orc"</x:t>
  </x:si>
  <x:si>
    <x:t xml:space="preserve">CreatureTypes!A204</x:t>
  </x:si>
  <x:si>
    <x:t xml:space="preserve">Orgg</x:t>
  </x:si>
  <x:si>
    <x:t xml:space="preserve">t:"Orgg"</x:t>
  </x:si>
  <x:si>
    <x:t xml:space="preserve">CreatureTypes!A205</x:t>
  </x:si>
  <x:si>
    <x:t xml:space="preserve">Otter</x:t>
  </x:si>
  <x:si>
    <x:t xml:space="preserve">t:"Otter"</x:t>
  </x:si>
  <x:si>
    <x:t xml:space="preserve">CreatureTypes!A206</x:t>
  </x:si>
  <x:si>
    <x:t xml:space="preserve">Ouphe</x:t>
  </x:si>
  <x:si>
    <x:t xml:space="preserve">t:"Ouphe"</x:t>
  </x:si>
  <x:si>
    <x:t xml:space="preserve">CreatureTypes!A207</x:t>
  </x:si>
  <x:si>
    <x:t xml:space="preserve">Ox</x:t>
  </x:si>
  <x:si>
    <x:t xml:space="preserve">t:"Ox"</x:t>
  </x:si>
  <x:si>
    <x:t xml:space="preserve">CreatureTypes!A208</x:t>
  </x:si>
  <x:si>
    <x:t xml:space="preserve">Oyster</x:t>
  </x:si>
  <x:si>
    <x:t xml:space="preserve">t:"Oyster"</x:t>
  </x:si>
  <x:si>
    <x:t xml:space="preserve">CreatureTypes!A209</x:t>
  </x:si>
  <x:si>
    <x:t xml:space="preserve">Pangolin</x:t>
  </x:si>
  <x:si>
    <x:t xml:space="preserve">t:"Pangolin"</x:t>
  </x:si>
  <x:si>
    <x:t xml:space="preserve">CreatureTypes!A210</x:t>
  </x:si>
  <x:si>
    <x:t xml:space="preserve">Peasant</x:t>
  </x:si>
  <x:si>
    <x:t xml:space="preserve">t:"Peasant"</x:t>
  </x:si>
  <x:si>
    <x:t xml:space="preserve">CreatureTypes!A211</x:t>
  </x:si>
  <x:si>
    <x:t xml:space="preserve">Pegasus</x:t>
  </x:si>
  <x:si>
    <x:t xml:space="preserve">t:"Pegasus"</x:t>
  </x:si>
  <x:si>
    <x:t xml:space="preserve">CreatureTypes!A212</x:t>
  </x:si>
  <x:si>
    <x:t xml:space="preserve">Pentavite</x:t>
  </x:si>
  <x:si>
    <x:t xml:space="preserve">t:"Pentavite"</x:t>
  </x:si>
  <x:si>
    <x:t xml:space="preserve">CreatureTypes!A213</x:t>
  </x:si>
  <x:si>
    <x:t xml:space="preserve">Performer</x:t>
  </x:si>
  <x:si>
    <x:t xml:space="preserve">t:"Performer"</x:t>
  </x:si>
  <x:si>
    <x:t xml:space="preserve">CreatureTypes!A214</x:t>
  </x:si>
  <x:si>
    <x:t xml:space="preserve">Pest</x:t>
  </x:si>
  <x:si>
    <x:t xml:space="preserve">t:"Pest"</x:t>
  </x:si>
  <x:si>
    <x:t xml:space="preserve">CreatureTypes!A215</x:t>
  </x:si>
  <x:si>
    <x:t xml:space="preserve">Phelddagrif</x:t>
  </x:si>
  <x:si>
    <x:t xml:space="preserve">t:"Phelddagrif"</x:t>
  </x:si>
  <x:si>
    <x:t xml:space="preserve">CreatureTypes!A216</x:t>
  </x:si>
  <x:si>
    <x:t xml:space="preserve">Phoenix</x:t>
  </x:si>
  <x:si>
    <x:t xml:space="preserve">t:"Phoenix"</x:t>
  </x:si>
  <x:si>
    <x:t xml:space="preserve">CreatureTypes!A217</x:t>
  </x:si>
  <x:si>
    <x:t xml:space="preserve">Phyrexian</x:t>
  </x:si>
  <x:si>
    <x:t xml:space="preserve">t:"Phyrexian"</x:t>
  </x:si>
  <x:si>
    <x:t xml:space="preserve">CreatureTypes!A218</x:t>
  </x:si>
  <x:si>
    <x:t xml:space="preserve">Pilot</x:t>
  </x:si>
  <x:si>
    <x:t xml:space="preserve">t:"Pilot"</x:t>
  </x:si>
  <x:si>
    <x:t xml:space="preserve">CreatureTypes!A219</x:t>
  </x:si>
  <x:si>
    <x:t xml:space="preserve">Pincher</x:t>
  </x:si>
  <x:si>
    <x:t xml:space="preserve">t:"Pincher"</x:t>
  </x:si>
  <x:si>
    <x:t xml:space="preserve">CreatureTypes!A220</x:t>
  </x:si>
  <x:si>
    <x:t xml:space="preserve">Pirate</x:t>
  </x:si>
  <x:si>
    <x:t xml:space="preserve">t:"Pirate"</x:t>
  </x:si>
  <x:si>
    <x:t xml:space="preserve">CreatureTypes!A221</x:t>
  </x:si>
  <x:si>
    <x:t xml:space="preserve">Plant</x:t>
  </x:si>
  <x:si>
    <x:t xml:space="preserve">t:"Plant"</x:t>
  </x:si>
  <x:si>
    <x:t xml:space="preserve">CreatureTypes!A222</x:t>
  </x:si>
  <x:si>
    <x:t xml:space="preserve">Platypus</x:t>
  </x:si>
  <x:si>
    <x:t xml:space="preserve">t:"Platypus"</x:t>
  </x:si>
  <x:si>
    <x:t xml:space="preserve">CreatureTypes!A223</x:t>
  </x:si>
  <x:si>
    <x:t xml:space="preserve">Porcupine</x:t>
  </x:si>
  <x:si>
    <x:t xml:space="preserve">t:"Porcupine"</x:t>
  </x:si>
  <x:si>
    <x:t xml:space="preserve">CreatureTypes!A224</x:t>
  </x:si>
  <x:si>
    <x:t xml:space="preserve">Possum</x:t>
  </x:si>
  <x:si>
    <x:t xml:space="preserve">t:"Possum"</x:t>
  </x:si>
  <x:si>
    <x:t xml:space="preserve">CreatureTypes!A225</x:t>
  </x:si>
  <x:si>
    <x:t xml:space="preserve">Praetor</x:t>
  </x:si>
  <x:si>
    <x:t xml:space="preserve">t:"Praetor"</x:t>
  </x:si>
  <x:si>
    <x:t xml:space="preserve">CreatureTypes!A226</x:t>
  </x:si>
  <x:si>
    <x:t xml:space="preserve">Primarch</x:t>
  </x:si>
  <x:si>
    <x:t xml:space="preserve">t:"Primarch"</x:t>
  </x:si>
  <x:si>
    <x:t xml:space="preserve">CreatureTypes!A227</x:t>
  </x:si>
  <x:si>
    <x:t xml:space="preserve">Prism</x:t>
  </x:si>
  <x:si>
    <x:t xml:space="preserve">t:"Prism"</x:t>
  </x:si>
  <x:si>
    <x:t xml:space="preserve">CreatureTypes!A228</x:t>
  </x:si>
  <x:si>
    <x:t xml:space="preserve">Processor</x:t>
  </x:si>
  <x:si>
    <x:t xml:space="preserve">t:"Processor"</x:t>
  </x:si>
  <x:si>
    <x:t xml:space="preserve">CreatureTypes!A229</x:t>
  </x:si>
  <x:si>
    <x:t xml:space="preserve">Qu</x:t>
  </x:si>
  <x:si>
    <x:t xml:space="preserve">t:"Qu"</x:t>
  </x:si>
  <x:si>
    <x:t xml:space="preserve">CreatureTypes!A230</x:t>
  </x:si>
  <x:si>
    <x:t xml:space="preserve">Rabbit</x:t>
  </x:si>
  <x:si>
    <x:t xml:space="preserve">t:"Rabbit"</x:t>
  </x:si>
  <x:si>
    <x:t xml:space="preserve">CreatureTypes!A231</x:t>
  </x:si>
  <x:si>
    <x:t xml:space="preserve">Raccoon</x:t>
  </x:si>
  <x:si>
    <x:t xml:space="preserve">t:"Raccoon"</x:t>
  </x:si>
  <x:si>
    <x:t xml:space="preserve">CreatureTypes!A232</x:t>
  </x:si>
  <x:si>
    <x:t xml:space="preserve">Ranger</x:t>
  </x:si>
  <x:si>
    <x:t xml:space="preserve">t:"Ranger"</x:t>
  </x:si>
  <x:si>
    <x:t xml:space="preserve">CreatureTypes!A233</x:t>
  </x:si>
  <x:si>
    <x:t xml:space="preserve">Rat</x:t>
  </x:si>
  <x:si>
    <x:t xml:space="preserve">t:"Rat"</x:t>
  </x:si>
  <x:si>
    <x:t xml:space="preserve">CreatureTypes!A234</x:t>
  </x:si>
  <x:si>
    <x:t xml:space="preserve">Rebel</x:t>
  </x:si>
  <x:si>
    <x:t xml:space="preserve">t:"Rebel"</x:t>
  </x:si>
  <x:si>
    <x:t xml:space="preserve">CreatureTypes!A235</x:t>
  </x:si>
  <x:si>
    <x:t xml:space="preserve">Reflection</x:t>
  </x:si>
  <x:si>
    <x:t xml:space="preserve">t:"Reflection"</x:t>
  </x:si>
  <x:si>
    <x:t xml:space="preserve">CreatureTypes!A236</x:t>
  </x:si>
  <x:si>
    <x:t xml:space="preserve">Reveler</x:t>
  </x:si>
  <x:si>
    <x:t xml:space="preserve">t:"Reveler"</x:t>
  </x:si>
  <x:si>
    <x:t xml:space="preserve">CreatureTypes!A237</x:t>
  </x:si>
  <x:si>
    <x:t xml:space="preserve">Rhino</x:t>
  </x:si>
  <x:si>
    <x:t xml:space="preserve">t:"Rhino"</x:t>
  </x:si>
  <x:si>
    <x:t xml:space="preserve">CreatureTypes!A238</x:t>
  </x:si>
  <x:si>
    <x:t xml:space="preserve">Rigger</x:t>
  </x:si>
  <x:si>
    <x:t xml:space="preserve">t:"Rigger"</x:t>
  </x:si>
  <x:si>
    <x:t xml:space="preserve">CreatureTypes!A239</x:t>
  </x:si>
  <x:si>
    <x:t xml:space="preserve">Robot</x:t>
  </x:si>
  <x:si>
    <x:t xml:space="preserve">t:"Robot"</x:t>
  </x:si>
  <x:si>
    <x:t xml:space="preserve">CreatureTypes!A240</x:t>
  </x:si>
  <x:si>
    <x:t xml:space="preserve">Rogue</x:t>
  </x:si>
  <x:si>
    <x:t xml:space="preserve">t:"Rogue"</x:t>
  </x:si>
  <x:si>
    <x:t xml:space="preserve">CreatureTypes!A241</x:t>
  </x:si>
  <x:si>
    <x:t xml:space="preserve">Rukh</x:t>
  </x:si>
  <x:si>
    <x:t xml:space="preserve">t:"Rukh"</x:t>
  </x:si>
  <x:si>
    <x:t xml:space="preserve">CreatureTypes!A242</x:t>
  </x:si>
  <x:si>
    <x:t xml:space="preserve">Sable</x:t>
  </x:si>
  <x:si>
    <x:t xml:space="preserve">t:"Sable"</x:t>
  </x:si>
  <x:si>
    <x:t xml:space="preserve">CreatureTypes!A243</x:t>
  </x:si>
  <x:si>
    <x:t xml:space="preserve">Salamander</x:t>
  </x:si>
  <x:si>
    <x:t xml:space="preserve">t:"Salamander"</x:t>
  </x:si>
  <x:si>
    <x:t xml:space="preserve">CreatureTypes!A244</x:t>
  </x:si>
  <x:si>
    <x:t xml:space="preserve">Samurai</x:t>
  </x:si>
  <x:si>
    <x:t xml:space="preserve">t:"Samurai"</x:t>
  </x:si>
  <x:si>
    <x:t xml:space="preserve">CreatureTypes!A245</x:t>
  </x:si>
  <x:si>
    <x:t xml:space="preserve">Sand</x:t>
  </x:si>
  <x:si>
    <x:t xml:space="preserve">t:"Sand"</x:t>
  </x:si>
  <x:si>
    <x:t xml:space="preserve">CreatureTypes!A246</x:t>
  </x:si>
  <x:si>
    <x:t xml:space="preserve">Saproling</x:t>
  </x:si>
  <x:si>
    <x:t xml:space="preserve">t:"Saproling"</x:t>
  </x:si>
  <x:si>
    <x:t xml:space="preserve">CreatureTypes!A247</x:t>
  </x:si>
  <x:si>
    <x:t xml:space="preserve">Satyr</x:t>
  </x:si>
  <x:si>
    <x:t xml:space="preserve">t:"Satyr"</x:t>
  </x:si>
  <x:si>
    <x:t xml:space="preserve">CreatureTypes!A248</x:t>
  </x:si>
  <x:si>
    <x:t xml:space="preserve">Scarecrow</x:t>
  </x:si>
  <x:si>
    <x:t xml:space="preserve">t:"Scarecrow"</x:t>
  </x:si>
  <x:si>
    <x:t xml:space="preserve">CreatureTypes!A249</x:t>
  </x:si>
  <x:si>
    <x:t xml:space="preserve">Scientist</x:t>
  </x:si>
  <x:si>
    <x:t xml:space="preserve">t:"Scientist"</x:t>
  </x:si>
  <x:si>
    <x:t xml:space="preserve">CreatureTypes!A250</x:t>
  </x:si>
  <x:si>
    <x:t xml:space="preserve">Scion</x:t>
  </x:si>
  <x:si>
    <x:t xml:space="preserve">t:"Scion"</x:t>
  </x:si>
  <x:si>
    <x:t xml:space="preserve">CreatureTypes!A251</x:t>
  </x:si>
  <x:si>
    <x:t xml:space="preserve">Scorpion</x:t>
  </x:si>
  <x:si>
    <x:t xml:space="preserve">t:"Scorpion"</x:t>
  </x:si>
  <x:si>
    <x:t xml:space="preserve">CreatureTypes!A252</x:t>
  </x:si>
  <x:si>
    <x:t xml:space="preserve">Scout</x:t>
  </x:si>
  <x:si>
    <x:t xml:space="preserve">t:"Scout"</x:t>
  </x:si>
  <x:si>
    <x:t xml:space="preserve">CreatureTypes!A253</x:t>
  </x:si>
  <x:si>
    <x:t xml:space="preserve">Sculpture</x:t>
  </x:si>
  <x:si>
    <x:t xml:space="preserve">t:"Sculpture"</x:t>
  </x:si>
  <x:si>
    <x:t xml:space="preserve">CreatureTypes!A254</x:t>
  </x:si>
  <x:si>
    <x:t xml:space="preserve">Seal</x:t>
  </x:si>
  <x:si>
    <x:t xml:space="preserve">t:"Seal"</x:t>
  </x:si>
  <x:si>
    <x:t xml:space="preserve">CreatureTypes!A255</x:t>
  </x:si>
  <x:si>
    <x:t xml:space="preserve">Serf</x:t>
  </x:si>
  <x:si>
    <x:t xml:space="preserve">t:"Serf"</x:t>
  </x:si>
  <x:si>
    <x:t xml:space="preserve">CreatureTypes!A256</x:t>
  </x:si>
  <x:si>
    <x:t xml:space="preserve">Serpent</x:t>
  </x:si>
  <x:si>
    <x:t xml:space="preserve">t:"Serpent"</x:t>
  </x:si>
  <x:si>
    <x:t xml:space="preserve">CreatureTypes!A257</x:t>
  </x:si>
  <x:si>
    <x:t xml:space="preserve">Servo</x:t>
  </x:si>
  <x:si>
    <x:t xml:space="preserve">t:"Servo"</x:t>
  </x:si>
  <x:si>
    <x:t xml:space="preserve">CreatureTypes!A258</x:t>
  </x:si>
  <x:si>
    <x:t xml:space="preserve">Shade</x:t>
  </x:si>
  <x:si>
    <x:t xml:space="preserve">t:"Shade"</x:t>
  </x:si>
  <x:si>
    <x:t xml:space="preserve">CreatureTypes!A259</x:t>
  </x:si>
  <x:si>
    <x:t xml:space="preserve">Shaman</x:t>
  </x:si>
  <x:si>
    <x:t xml:space="preserve">t:"Shaman"</x:t>
  </x:si>
  <x:si>
    <x:t xml:space="preserve">CreatureTypes!A260</x:t>
  </x:si>
  <x:si>
    <x:t xml:space="preserve">Shapeshifter</x:t>
  </x:si>
  <x:si>
    <x:t xml:space="preserve">t:"Shapeshifter"</x:t>
  </x:si>
  <x:si>
    <x:t xml:space="preserve">CreatureTypes!A261</x:t>
  </x:si>
  <x:si>
    <x:t xml:space="preserve">Shark</x:t>
  </x:si>
  <x:si>
    <x:t xml:space="preserve">t:"Shark"</x:t>
  </x:si>
  <x:si>
    <x:t xml:space="preserve">CreatureTypes!A262</x:t>
  </x:si>
  <x:si>
    <x:t xml:space="preserve">Sheep</x:t>
  </x:si>
  <x:si>
    <x:t xml:space="preserve">t:"Sheep"</x:t>
  </x:si>
  <x:si>
    <x:t xml:space="preserve">CreatureTypes!A263</x:t>
  </x:si>
  <x:si>
    <x:t xml:space="preserve">Shi'ar</x:t>
  </x:si>
  <x:si>
    <x:t xml:space="preserve">t:"Shi'ar"</x:t>
  </x:si>
  <x:si>
    <x:t xml:space="preserve">CreatureTypes!A264</x:t>
  </x:si>
  <x:si>
    <x:t xml:space="preserve">Siren</x:t>
  </x:si>
  <x:si>
    <x:t xml:space="preserve">t:"Siren"</x:t>
  </x:si>
  <x:si>
    <x:t xml:space="preserve">CreatureTypes!A265</x:t>
  </x:si>
  <x:si>
    <x:t xml:space="preserve">Skeleton</x:t>
  </x:si>
  <x:si>
    <x:t xml:space="preserve">t:"Skeleton"</x:t>
  </x:si>
  <x:si>
    <x:t xml:space="preserve">CreatureTypes!A266</x:t>
  </x:si>
  <x:si>
    <x:t xml:space="preserve">Skrull</x:t>
  </x:si>
  <x:si>
    <x:t xml:space="preserve">t:"Skrull"</x:t>
  </x:si>
  <x:si>
    <x:t xml:space="preserve">CreatureTypes!A267</x:t>
  </x:si>
  <x:si>
    <x:t xml:space="preserve">Skunk</x:t>
  </x:si>
  <x:si>
    <x:t xml:space="preserve">t:"Skunk"</x:t>
  </x:si>
  <x:si>
    <x:t xml:space="preserve">CreatureTypes!A268</x:t>
  </x:si>
  <x:si>
    <x:t xml:space="preserve">Slith</x:t>
  </x:si>
  <x:si>
    <x:t xml:space="preserve">t:"Slith"</x:t>
  </x:si>
  <x:si>
    <x:t xml:space="preserve">CreatureTypes!A269</x:t>
  </x:si>
  <x:si>
    <x:t xml:space="preserve">Sliver</x:t>
  </x:si>
  <x:si>
    <x:t xml:space="preserve">t:"Sliver"</x:t>
  </x:si>
  <x:si>
    <x:t xml:space="preserve">CreatureTypes!A270</x:t>
  </x:si>
  <x:si>
    <x:t xml:space="preserve">Sloth</x:t>
  </x:si>
  <x:si>
    <x:t xml:space="preserve">t:"Sloth"</x:t>
  </x:si>
  <x:si>
    <x:t xml:space="preserve">CreatureTypes!A271</x:t>
  </x:si>
  <x:si>
    <x:t xml:space="preserve">Slug</x:t>
  </x:si>
  <x:si>
    <x:t xml:space="preserve">t:"Slug"</x:t>
  </x:si>
  <x:si>
    <x:t xml:space="preserve">CreatureTypes!A272</x:t>
  </x:si>
  <x:si>
    <x:t xml:space="preserve">Snail</x:t>
  </x:si>
  <x:si>
    <x:t xml:space="preserve">t:"Snail"</x:t>
  </x:si>
  <x:si>
    <x:t xml:space="preserve">CreatureTypes!A273</x:t>
  </x:si>
  <x:si>
    <x:t xml:space="preserve">Snake</x:t>
  </x:si>
  <x:si>
    <x:t xml:space="preserve">t:"Snake"</x:t>
  </x:si>
  <x:si>
    <x:t xml:space="preserve">CreatureTypes!A274</x:t>
  </x:si>
  <x:si>
    <x:t xml:space="preserve">Soldier</x:t>
  </x:si>
  <x:si>
    <x:t xml:space="preserve">t:"Soldier"</x:t>
  </x:si>
  <x:si>
    <x:t xml:space="preserve">CreatureTypes!A275</x:t>
  </x:si>
  <x:si>
    <x:t xml:space="preserve">Soltari</x:t>
  </x:si>
  <x:si>
    <x:t xml:space="preserve">t:"Soltari"</x:t>
  </x:si>
  <x:si>
    <x:t xml:space="preserve">CreatureTypes!A276</x:t>
  </x:si>
  <x:si>
    <x:t xml:space="preserve">Sorcerer</x:t>
  </x:si>
  <x:si>
    <x:t xml:space="preserve">t:"Sorcerer"</x:t>
  </x:si>
  <x:si>
    <x:t xml:space="preserve">CreatureTypes!A277</x:t>
  </x:si>
  <x:si>
    <x:t xml:space="preserve">Spawn</x:t>
  </x:si>
  <x:si>
    <x:t xml:space="preserve">t:"Spawn"</x:t>
  </x:si>
  <x:si>
    <x:t xml:space="preserve">CreatureTypes!A278</x:t>
  </x:si>
  <x:si>
    <x:t xml:space="preserve">Specter</x:t>
  </x:si>
  <x:si>
    <x:t xml:space="preserve">t:"Specter"</x:t>
  </x:si>
  <x:si>
    <x:t xml:space="preserve">CreatureTypes!A279</x:t>
  </x:si>
  <x:si>
    <x:t xml:space="preserve">Spellshaper</x:t>
  </x:si>
  <x:si>
    <x:t xml:space="preserve">t:"Spellshaper"</x:t>
  </x:si>
  <x:si>
    <x:t xml:space="preserve">CreatureTypes!A280</x:t>
  </x:si>
  <x:si>
    <x:t xml:space="preserve">Sphinx</x:t>
  </x:si>
  <x:si>
    <x:t xml:space="preserve">t:"Sphinx"</x:t>
  </x:si>
  <x:si>
    <x:t xml:space="preserve">CreatureTypes!A281</x:t>
  </x:si>
  <x:si>
    <x:t xml:space="preserve">Spider</x:t>
  </x:si>
  <x:si>
    <x:t xml:space="preserve">t:"Spider"</x:t>
  </x:si>
  <x:si>
    <x:t xml:space="preserve">CreatureTypes!A282</x:t>
  </x:si>
  <x:si>
    <x:t xml:space="preserve">Spike</x:t>
  </x:si>
  <x:si>
    <x:t xml:space="preserve">t:"Spike"</x:t>
  </x:si>
  <x:si>
    <x:t xml:space="preserve">CreatureTypes!A283</x:t>
  </x:si>
  <x:si>
    <x:t xml:space="preserve">Spirit</x:t>
  </x:si>
  <x:si>
    <x:t xml:space="preserve">t:"Spirit"</x:t>
  </x:si>
  <x:si>
    <x:t xml:space="preserve">CreatureTypes!A284</x:t>
  </x:si>
  <x:si>
    <x:t xml:space="preserve">Splinter</x:t>
  </x:si>
  <x:si>
    <x:t xml:space="preserve">t:"Splinter"</x:t>
  </x:si>
  <x:si>
    <x:t xml:space="preserve">CreatureTypes!A285</x:t>
  </x:si>
  <x:si>
    <x:t xml:space="preserve">Sponge</x:t>
  </x:si>
  <x:si>
    <x:t xml:space="preserve">t:"Sponge"</x:t>
  </x:si>
  <x:si>
    <x:t xml:space="preserve">CreatureTypes!A286</x:t>
  </x:si>
  <x:si>
    <x:t xml:space="preserve">Spy</x:t>
  </x:si>
  <x:si>
    <x:t xml:space="preserve">t:"Spy"</x:t>
  </x:si>
  <x:si>
    <x:t xml:space="preserve">CreatureTypes!A287</x:t>
  </x:si>
  <x:si>
    <x:t xml:space="preserve">Squid</x:t>
  </x:si>
  <x:si>
    <x:t xml:space="preserve">t:"Squid"</x:t>
  </x:si>
  <x:si>
    <x:t xml:space="preserve">CreatureTypes!A288</x:t>
  </x:si>
  <x:si>
    <x:t xml:space="preserve">Squirrel</x:t>
  </x:si>
  <x:si>
    <x:t xml:space="preserve">t:"Squirrel"</x:t>
  </x:si>
  <x:si>
    <x:t xml:space="preserve">CreatureTypes!A289</x:t>
  </x:si>
  <x:si>
    <x:t xml:space="preserve">Starfish</x:t>
  </x:si>
  <x:si>
    <x:t xml:space="preserve">t:"Starfish"</x:t>
  </x:si>
  <x:si>
    <x:t xml:space="preserve">CreatureTypes!A290</x:t>
  </x:si>
  <x:si>
    <x:t xml:space="preserve">Surrakar</x:t>
  </x:si>
  <x:si>
    <x:t xml:space="preserve">t:"Surrakar"</x:t>
  </x:si>
  <x:si>
    <x:t xml:space="preserve">CreatureTypes!A291</x:t>
  </x:si>
  <x:si>
    <x:t xml:space="preserve">Survivor</x:t>
  </x:si>
  <x:si>
    <x:t xml:space="preserve">t:"Survivor"</x:t>
  </x:si>
  <x:si>
    <x:t xml:space="preserve">CreatureTypes!A292</x:t>
  </x:si>
  <x:si>
    <x:t xml:space="preserve">Symbiote</x:t>
  </x:si>
  <x:si>
    <x:t xml:space="preserve">t:"Symbiote"</x:t>
  </x:si>
  <x:si>
    <x:t xml:space="preserve">CreatureTypes!A293</x:t>
  </x:si>
  <x:si>
    <x:t xml:space="preserve">Synth</x:t>
  </x:si>
  <x:si>
    <x:t xml:space="preserve">t:"Synth"</x:t>
  </x:si>
  <x:si>
    <x:t xml:space="preserve">CreatureTypes!A294</x:t>
  </x:si>
  <x:si>
    <x:t xml:space="preserve">Teddy</x:t>
  </x:si>
  <x:si>
    <x:t xml:space="preserve">t:"Teddy"</x:t>
  </x:si>
  <x:si>
    <x:t xml:space="preserve">CreatureTypes!A295</x:t>
  </x:si>
  <x:si>
    <x:t xml:space="preserve">Tentacle</x:t>
  </x:si>
  <x:si>
    <x:t xml:space="preserve">t:"Tentacle"</x:t>
  </x:si>
  <x:si>
    <x:t xml:space="preserve">CreatureTypes!A296</x:t>
  </x:si>
  <x:si>
    <x:t xml:space="preserve">Tetravite</x:t>
  </x:si>
  <x:si>
    <x:t xml:space="preserve">t:"Tetravite"</x:t>
  </x:si>
  <x:si>
    <x:t xml:space="preserve">CreatureTypes!A297</x:t>
  </x:si>
  <x:si>
    <x:t xml:space="preserve">Thalakos</x:t>
  </x:si>
  <x:si>
    <x:t xml:space="preserve">t:"Thalakos"</x:t>
  </x:si>
  <x:si>
    <x:t xml:space="preserve">CreatureTypes!A298</x:t>
  </x:si>
  <x:si>
    <x:t xml:space="preserve">Thopter</x:t>
  </x:si>
  <x:si>
    <x:t xml:space="preserve">t:"Thopter"</x:t>
  </x:si>
  <x:si>
    <x:t xml:space="preserve">CreatureTypes!A299</x:t>
  </x:si>
  <x:si>
    <x:t xml:space="preserve">Thrull</x:t>
  </x:si>
  <x:si>
    <x:t xml:space="preserve">t:"Thrull"</x:t>
  </x:si>
  <x:si>
    <x:t xml:space="preserve">CreatureTypes!A300</x:t>
  </x:si>
  <x:si>
    <x:t xml:space="preserve">Tiefling</x:t>
  </x:si>
  <x:si>
    <x:t xml:space="preserve">t:"Tiefling"</x:t>
  </x:si>
  <x:si>
    <x:t xml:space="preserve">CreatureTypes!A301</x:t>
  </x:si>
  <x:si>
    <x:t xml:space="preserve">Time Lord</x:t>
  </x:si>
  <x:si>
    <x:t xml:space="preserve">t:"Time Lord"</x:t>
  </x:si>
  <x:si>
    <x:t xml:space="preserve">CreatureTypes!A302</x:t>
  </x:si>
  <x:si>
    <x:t xml:space="preserve">Toy</x:t>
  </x:si>
  <x:si>
    <x:t xml:space="preserve">t:"Toy"</x:t>
  </x:si>
  <x:si>
    <x:t xml:space="preserve">CreatureTypes!A303</x:t>
  </x:si>
  <x:si>
    <x:t xml:space="preserve">Treefolk</x:t>
  </x:si>
  <x:si>
    <x:t xml:space="preserve">t:"Treefolk"</x:t>
  </x:si>
  <x:si>
    <x:t xml:space="preserve">CreatureTypes!A304</x:t>
  </x:si>
  <x:si>
    <x:t xml:space="preserve">Trilobite</x:t>
  </x:si>
  <x:si>
    <x:t xml:space="preserve">t:"Trilobite"</x:t>
  </x:si>
  <x:si>
    <x:t xml:space="preserve">CreatureTypes!A305</x:t>
  </x:si>
  <x:si>
    <x:t xml:space="preserve">Triskelavite</x:t>
  </x:si>
  <x:si>
    <x:t xml:space="preserve">t:"Triskelavite"</x:t>
  </x:si>
  <x:si>
    <x:t xml:space="preserve">CreatureTypes!A306</x:t>
  </x:si>
  <x:si>
    <x:t xml:space="preserve">Troll</x:t>
  </x:si>
  <x:si>
    <x:t xml:space="preserve">t:"Troll"</x:t>
  </x:si>
  <x:si>
    <x:t xml:space="preserve">CreatureTypes!A307</x:t>
  </x:si>
  <x:si>
    <x:t xml:space="preserve">Turtle</x:t>
  </x:si>
  <x:si>
    <x:t xml:space="preserve">t:"Turtle"</x:t>
  </x:si>
  <x:si>
    <x:t xml:space="preserve">CreatureTypes!A308</x:t>
  </x:si>
  <x:si>
    <x:t xml:space="preserve">Tyranid</x:t>
  </x:si>
  <x:si>
    <x:t xml:space="preserve">t:"Tyranid"</x:t>
  </x:si>
  <x:si>
    <x:t xml:space="preserve">CreatureTypes!A309</x:t>
  </x:si>
  <x:si>
    <x:t xml:space="preserve">Unicorn</x:t>
  </x:si>
  <x:si>
    <x:t xml:space="preserve">t:"Unicorn"</x:t>
  </x:si>
  <x:si>
    <x:t xml:space="preserve">CreatureTypes!A310</x:t>
  </x:si>
  <x:si>
    <x:t xml:space="preserve">Urzan</x:t>
  </x:si>
  <x:si>
    <x:t xml:space="preserve">t:"Urzan"</x:t>
  </x:si>
  <x:si>
    <x:t xml:space="preserve">CreatureTypes!A311</x:t>
  </x:si>
  <x:si>
    <x:t xml:space="preserve">Utrom</x:t>
  </x:si>
  <x:si>
    <x:t xml:space="preserve">t:"Utrom"</x:t>
  </x:si>
  <x:si>
    <x:t xml:space="preserve">CreatureTypes!A312</x:t>
  </x:si>
  <x:si>
    <x:t xml:space="preserve">Vampire</x:t>
  </x:si>
  <x:si>
    <x:t xml:space="preserve">t:"Vampire"</x:t>
  </x:si>
  <x:si>
    <x:t xml:space="preserve">CreatureTypes!A313</x:t>
  </x:si>
  <x:si>
    <x:t xml:space="preserve">Varmint</x:t>
  </x:si>
  <x:si>
    <x:t xml:space="preserve">t:"Varmint"</x:t>
  </x:si>
  <x:si>
    <x:t xml:space="preserve">CreatureTypes!A314</x:t>
  </x:si>
  <x:si>
    <x:t xml:space="preserve">Vedalken</x:t>
  </x:si>
  <x:si>
    <x:t xml:space="preserve">t:"Vedalken"</x:t>
  </x:si>
  <x:si>
    <x:t xml:space="preserve">CreatureTypes!A315</x:t>
  </x:si>
  <x:si>
    <x:t xml:space="preserve">Villain</x:t>
  </x:si>
  <x:si>
    <x:t xml:space="preserve">t:"Villain"</x:t>
  </x:si>
  <x:si>
    <x:t xml:space="preserve">CreatureTypes!A316</x:t>
  </x:si>
  <x:si>
    <x:t xml:space="preserve">Volver</x:t>
  </x:si>
  <x:si>
    <x:t xml:space="preserve">t:"Volver"</x:t>
  </x:si>
  <x:si>
    <x:t xml:space="preserve">CreatureTypes!A317</x:t>
  </x:si>
  <x:si>
    <x:t xml:space="preserve">Wall</x:t>
  </x:si>
  <x:si>
    <x:t xml:space="preserve">t:"Wall"</x:t>
  </x:si>
  <x:si>
    <x:t xml:space="preserve">CreatureTypes!A318</x:t>
  </x:si>
  <x:si>
    <x:t xml:space="preserve">Walrus</x:t>
  </x:si>
  <x:si>
    <x:t xml:space="preserve">t:"Walrus"</x:t>
  </x:si>
  <x:si>
    <x:t xml:space="preserve">CreatureTypes!A319</x:t>
  </x:si>
  <x:si>
    <x:t xml:space="preserve">Warlock</x:t>
  </x:si>
  <x:si>
    <x:t xml:space="preserve">t:"Warlock"</x:t>
  </x:si>
  <x:si>
    <x:t xml:space="preserve">CreatureTypes!A320</x:t>
  </x:si>
  <x:si>
    <x:t xml:space="preserve">Warrior</x:t>
  </x:si>
  <x:si>
    <x:t xml:space="preserve">t:"Warrior"</x:t>
  </x:si>
  <x:si>
    <x:t xml:space="preserve">CreatureTypes!A321</x:t>
  </x:si>
  <x:si>
    <x:t xml:space="preserve">Weasel</x:t>
  </x:si>
  <x:si>
    <x:t xml:space="preserve">t:"Weasel"</x:t>
  </x:si>
  <x:si>
    <x:t xml:space="preserve">CreatureTypes!A322</x:t>
  </x:si>
  <x:si>
    <x:t xml:space="preserve">Weird</x:t>
  </x:si>
  <x:si>
    <x:t xml:space="preserve">t:"Weird"</x:t>
  </x:si>
  <x:si>
    <x:t xml:space="preserve">CreatureTypes!A323</x:t>
  </x:si>
  <x:si>
    <x:t xml:space="preserve">Werewolf</x:t>
  </x:si>
  <x:si>
    <x:t xml:space="preserve">t:"Werewolf"</x:t>
  </x:si>
  <x:si>
    <x:t xml:space="preserve">CreatureTypes!A324</x:t>
  </x:si>
  <x:si>
    <x:t xml:space="preserve">Whale</x:t>
  </x:si>
  <x:si>
    <x:t xml:space="preserve">t:"Whale"</x:t>
  </x:si>
  <x:si>
    <x:t xml:space="preserve">CreatureTypes!A325</x:t>
  </x:si>
  <x:si>
    <x:t xml:space="preserve">Wizard</x:t>
  </x:si>
  <x:si>
    <x:t xml:space="preserve">t:"Wizard"</x:t>
  </x:si>
  <x:si>
    <x:t xml:space="preserve">CreatureTypes!A326</x:t>
  </x:si>
  <x:si>
    <x:t xml:space="preserve">Wolf</x:t>
  </x:si>
  <x:si>
    <x:t xml:space="preserve">t:"Wolf"</x:t>
  </x:si>
  <x:si>
    <x:t xml:space="preserve">CreatureTypes!A327</x:t>
  </x:si>
  <x:si>
    <x:t xml:space="preserve">Wolverine</x:t>
  </x:si>
  <x:si>
    <x:t xml:space="preserve">t:"Wolverine"</x:t>
  </x:si>
  <x:si>
    <x:t xml:space="preserve">CreatureTypes!A328</x:t>
  </x:si>
  <x:si>
    <x:t xml:space="preserve">Wombat</x:t>
  </x:si>
  <x:si>
    <x:t xml:space="preserve">t:"Wombat"</x:t>
  </x:si>
  <x:si>
    <x:t xml:space="preserve">CreatureTypes!A329</x:t>
  </x:si>
  <x:si>
    <x:t xml:space="preserve">Worm</x:t>
  </x:si>
  <x:si>
    <x:t xml:space="preserve">t:"Worm"</x:t>
  </x:si>
  <x:si>
    <x:t xml:space="preserve">CreatureTypes!A330</x:t>
  </x:si>
  <x:si>
    <x:t xml:space="preserve">Wraith</x:t>
  </x:si>
  <x:si>
    <x:t xml:space="preserve">t:"Wraith"</x:t>
  </x:si>
  <x:si>
    <x:t xml:space="preserve">CreatureTypes!A331</x:t>
  </x:si>
  <x:si>
    <x:t xml:space="preserve">Wurm</x:t>
  </x:si>
  <x:si>
    <x:t xml:space="preserve">t:"Wurm"</x:t>
  </x:si>
  <x:si>
    <x:t xml:space="preserve">CreatureTypes!A332</x:t>
  </x:si>
  <x:si>
    <x:t xml:space="preserve">Yeti</x:t>
  </x:si>
  <x:si>
    <x:t xml:space="preserve">t:"Yeti"</x:t>
  </x:si>
  <x:si>
    <x:t xml:space="preserve">CreatureTypes!A333</x:t>
  </x:si>
  <x:si>
    <x:t xml:space="preserve">Zombie</x:t>
  </x:si>
  <x:si>
    <x:t xml:space="preserve">t:"Zombie"</x:t>
  </x:si>
  <x:si>
    <x:t xml:space="preserve">CreatureTypes!A334</x:t>
  </x:si>
  <x:si>
    <x:t xml:space="preserve">Zubera</x:t>
  </x:si>
  <x:si>
    <x:t xml:space="preserve">t:"Zubera"</x:t>
  </x:si>
  <x:si>
    <x:t xml:space="preserve">Keywords!A2:C2</x:t>
  </x:si>
  <x:si>
    <x:t xml:space="preserve">Evergreen Keyword Actions</x:t>
  </x:si>
  <x:si>
    <x:t xml:space="preserve">Attach</x:t>
  </x:si>
  <x:si>
    <x:t xml:space="preserve">Keyword reference</x:t>
  </x:si>
  <x:si>
    <x:t xml:space="preserve">The term attach is used on Auras (see enchant), Equipment (see equip), and Fortifications (see fortify), which provide effects to certain other cards for an indeterminate amount of time. These types of cards are used by designating something (usually a permanent) for them to be "attached" to.</x:t>
  </x:si>
  <x:si>
    <x:t xml:space="preserve">o:"Attach"</x:t>
  </x:si>
  <x:si>
    <x:t xml:space="preserve">Medium</x:t>
  </x:si>
  <x:si>
    <x:t xml:space="preserve">Keywords!A3:C3</x:t>
  </x:si>
  <x:si>
    <x:t xml:space="preserve">Counter</x:t>
  </x:si>
  <x:si>
    <x:t xml:space="preserve">To counter a spell or ability is to remove it from the stack without resolving its effects, putting it directly into its owner's graveyard. Some spells and abilities have an additional clause that replaces the graveyard with another game zone. There are instant spells that will explicitly counter other spells, generally known as "counterspells" after the original card with this effect. Some cards specify that they "cannot be countered".</x:t>
  </x:si>
  <x:si>
    <x:t xml:space="preserve">o:"Counter"</x:t>
  </x:si>
  <x:si>
    <x:t xml:space="preserve">Keywords!A4:C4</x:t>
  </x:si>
  <x:si>
    <x:t xml:space="preserve">Exile</x:t>
  </x:si>
  <x:si>
    <x:t xml:space="preserve">To exile a card is to put it into the exile zone, usually as part of a card's effect. Starting from the Magic 2010 rules changes, cards that "remove [something] from the game" or "set [something] aside" were issued errata to say "exile [something]" instead.</x:t>
  </x:si>
  <x:si>
    <x:t xml:space="preserve">o:"Exile"</x:t>
  </x:si>
  <x:si>
    <x:t xml:space="preserve">Keywords!A5:C5</x:t>
  </x:si>
  <x:si>
    <x:t xml:space="preserve">Fight</x:t>
  </x:si>
  <x:si>
    <x:t xml:space="preserve">When two creatures fight each other, each creature deals damage equal to its power to the other creature. Multiple creatures may fight each other at the same time. Fight is a keyword action that has been sporadically printed in some form since the card Gargantuan Gorilla, but it was not keyworded until Innistrad.</x:t>
  </x:si>
  <x:si>
    <x:t xml:space="preserve">o:"Fight"</x:t>
  </x:si>
  <x:si>
    <x:t xml:space="preserve">Keywords!A6:C6</x:t>
  </x:si>
  <x:si>
    <x:t xml:space="preserve">Mill</x:t>
  </x:si>
  <x:si>
    <x:t xml:space="preserve">When a player Mills x cards, they put the top x cards of that library into their graveyard. Mill is an action that has been around since Antiquities with Millstone but was never given a keyword until M21, though the term "mill" had been used informally for years prior to the official keywording.</x:t>
  </x:si>
  <x:si>
    <x:t xml:space="preserve">o:"Mill"</x:t>
  </x:si>
  <x:si>
    <x:t xml:space="preserve">Keywords!A7:C7</x:t>
  </x:si>
  <x:si>
    <x:t xml:space="preserve">Sacrifice</x:t>
  </x:si>
  <x:si>
    <x:t xml:space="preserve">To sacrifice a permanent is to put it into its owner's graveyard. A player can only sacrifice a permanent they control. Note that this term is separate from other ways permanents can be put into their owners' graveyards, such as destruction (meaning regeneration has no effect on sacrifice) and state-based actions (a creature having 0 toughness, for example). Players are not allowed to sacrifice unless prompted to by a game effect.</x:t>
  </x:si>
  <x:si>
    <x:t xml:space="preserve">o:"Sacrifice"</x:t>
  </x:si>
  <x:si>
    <x:t xml:space="preserve">Keywords!A8:C8</x:t>
  </x:si>
  <x:si>
    <x:t xml:space="preserve">Scry</x:t>
  </x:si>
  <x:si>
    <x:t xml:space="preserve">Scry x allows the player to take the top x cards from their deck, examine them, and place any number of them on the bottom of their deck and the rest on top in any order desired. Scry originally appeared in Fifth Dawn as a keyword ability, primarily on instants and sorceries as "Scry 2", though it was designed to allow other values. Future Sight added values 1 through 4 and redefined scry to be a keyword action, allowing it to be placed in the middle of an ability rather than as a "tack-on" to other abilities. Scry then appeared in Magic 2011, becoming the first mechanic to be revisited in a core set. Scry also returned in Theros block before becoming an evergreen keyword in Magic Origins. As of Pro Tour 2015 in Vancouver, the Scry mechanic was introduced to the official tournament rules when taking a mulligan. After all mulligans have resolved, any player whose opening hand contains fewer cards than their starting hand size may Scry 1. This is known colloquially as the "Vancouver mulligan" or "Vancouver rule". However, it has since been changed to a "London mulligan."</x:t>
  </x:si>
  <x:si>
    <x:t xml:space="preserve">o:"Scry"</x:t>
  </x:si>
  <x:si>
    <x:t xml:space="preserve">Keywords!A9:C9</x:t>
  </x:si>
  <x:si>
    <x:t xml:space="preserve">Tap/Untap</x:t>
  </x:si>
  <x:si>
    <x:t xml:space="preserve">To tap a permanent is to rotate the card 90 degrees. This indicates it is being used, often as a cost, or to indicate that a creature is attacking (except for creatures with vigilance). Creatures a player controls that have not been under their control since the beginning of their most recent turn are said to have "summoning sickness" and cannot be tapped for their abilities that include the "tap symbol", nor can they attack, but they can be tapped for costs that use the word "tap" (for example, "Tap two untapped creatures you control"). To untap a permanent is to return it to a vertical orientation, allowing it to be tapped again. A tapped permanent must be untapped before it can be tapped again. However, as introduced in the Shadowmoor block, untapping can also be a cost for activated abilities. It has its own special untap symbol (often called "Q"), and is separate from normal untapping. To pay a cost including the untap symbol, the permanent must be already tapped. If that permanent is also a creature, then, as with the tap symbol, that ability can only be used if the creature has been under its controller's control since the beginning of their most recent turn.</x:t>
  </x:si>
  <x:si>
    <x:t xml:space="preserve">o:"Tap/Untap"</x:t>
  </x:si>
  <x:si>
    <x:t xml:space="preserve">Keywords!A10:C10</x:t>
  </x:si>
  <x:si>
    <x:t xml:space="preserve">Evergreen Keywords</x:t>
  </x:si>
  <x:si>
    <x:t xml:space="preserve">Deathtouch</x:t>
  </x:si>
  <x:si>
    <x:t xml:space="preserve">Deathtouch is a static ability that causes a creature to be destroyed as a result of having been dealt damage by a source with deathtouch. In this way, for a creature with deathtouch, any nonzero amount of damage it deals to another creature is considered enough to kill it. Deathtouch appears mostly on black cards and green cards, and is often thematically associated with poisonous or cursed creatures. Prior to the introduction of the keyword, similar abilities have appeared mostly on green and black cards, but in most cases those abilities were functionally different (typically triggering on combat damage and/or at end of combat). This ability was first printed on a single timeshifted creature from Future Sight, Thornweald Archer. Older cards with similar or identical abilities, such as Cruel Deceiver, were not changed to gain deathtouch.</x:t>
  </x:si>
  <x:si>
    <x:t xml:space="preserve">o:"Deathtouch"</x:t>
  </x:si>
  <x:si>
    <x:t xml:space="preserve">Keywords!A11:C11</x:t>
  </x:si>
  <x:si>
    <x:t xml:space="preserve">Defender</x:t>
  </x:si>
  <x:si>
    <x:t xml:space="preserve">Creatures with defender cannot attack. This ability was formerly associated with creature type Wall which had implicit "rules baggage" that prevented attacking. This was simplified with the keyword, which was first used in the Kamigawa block.</x:t>
  </x:si>
  <x:si>
    <x:t xml:space="preserve">o:"Defender"</x:t>
  </x:si>
  <x:si>
    <x:t xml:space="preserve">Keywords!A12:C12</x:t>
  </x:si>
  <x:si>
    <x:t xml:space="preserve">Double strike</x:t>
  </x:si>
  <x:si>
    <x:t xml:space="preserve">A creature with double strike deals both first strike and normal combat damage. For instance, a creature such as Boros Swiftblade which has 1 power, 2 toughness, and double strike would defeat a creature with 2 power and 1 toughness in combat and survive, unless the latter creature also has first strike or double strike, as the first strike damage would destroy it before it would be able to deal damage. If the latter creature instead has 2 toughness, both creatures will be destroyed as the opposing creature survived the first strike, after which both creatures would simultaneously deal regular combat damage to each other. As with first strike, this keyword appears mostly on red and white cards. It first appeared in Legions and was first used in a Core Set in Tenth Edition.</x:t>
  </x:si>
  <x:si>
    <x:t xml:space="preserve">o:"Double strike"</x:t>
  </x:si>
  <x:si>
    <x:t xml:space="preserve">Keywords!A13:C13</x:t>
  </x:si>
  <x:si>
    <x:t xml:space="preserve">Enchant</x:t>
  </x:si>
  <x:si>
    <x:t xml:space="preserve">This ability is written Enchant (quality) and appears on Auras, a subtype of enchantment spells. An Aura enters the battlefield attached to a permanent spell with the quality of its Enchant ability, and can only be attached to a permanent with that quality. If an Aura is no longer attached to a permanent with the required quality (such as if the object it enchants leaves the battlefield), it is put into its owner's discard pile. Like protection, the quality can be almost anything, but it normally has a permanent type associated with it, such as "Enchant creature". This ability was formerly seen in the type line instead of "Enchantment — Aura"; the wording changed in the Ninth Edition core set, which introduced the Aura subtype.</x:t>
  </x:si>
  <x:si>
    <x:t xml:space="preserve">o:"Enchant"</x:t>
  </x:si>
  <x:si>
    <x:t xml:space="preserve">Keywords!A14:C14</x:t>
  </x:si>
  <x:si>
    <x:t xml:space="preserve">Equip</x:t>
  </x:si>
  <x:si>
    <x:t xml:space="preserve">This ability is written Equip (cost). It is found only on Equipment, a subtype of artifact spells that first appeared in Mirrodin. A player may pay the Equip cost as a sorcery (only during their own main phase when the stack is empty) to attach it to a creature they control. That creature becomes "equipped" and can then be referenced by the equipment as the "equipped creature". The controller may pay the Equip cost again to move it to another creature. When a creature leaves the battlefield or stops being a creature by some effect, any equipment attached to it "falls off", becoming unattached but remaining on the battlefield. Equipment does not "fall off" if another player gains control of either the creature or the equipment – the player who controls the equipment may pay the Equip cost to move it to a creature they control.</x:t>
  </x:si>
  <x:si>
    <x:t xml:space="preserve">o:"Equip"</x:t>
  </x:si>
  <x:si>
    <x:t xml:space="preserve">Keywords!A15:C15</x:t>
  </x:si>
  <x:si>
    <x:t xml:space="preserve">First strike</x:t>
  </x:si>
  <x:si>
    <x:t xml:space="preserve">Creatures with first strike deal damage before other creatures in combat. Therefore, if a creature with first strike deals sufficient damage to kill an opposing creature without this ability, it will not suffer any combat damage from that creature in return. First strike is often found on red and white creatures, especially soldiers and knights who carry pikes or lances.</x:t>
  </x:si>
  <x:si>
    <x:t xml:space="preserve">o:"First strike"</x:t>
  </x:si>
  <x:si>
    <x:t xml:space="preserve">Keywords!A16:C16</x:t>
  </x:si>
  <x:si>
    <x:t xml:space="preserve">Flash</x:t>
  </x:si>
  <x:si>
    <x:t xml:space="preserve">Flash is the keyword of an ability introduced in Mirage. Artifacts, creatures or enchantments with flash may be played any time their controller could play an instant. Older cards with that ability have been updated via rules errata to have flash; this allows them to work with cards such as Mystical Teachings.</x:t>
  </x:si>
  <x:si>
    <x:t xml:space="preserve">o:"Flash"</x:t>
  </x:si>
  <x:si>
    <x:t xml:space="preserve">Keywords!A17:C17</x:t>
  </x:si>
  <x:si>
    <x:t xml:space="preserve">Flying</x:t>
  </x:si>
  <x:si>
    <x:t xml:space="preserve">Creatures with flying cannot be blocked except by other creatures with flying and/or reach. Flying is the most common keyword, and appears in all five colors, but chiefly in blue and white. Creatures with flying are often Dragons, Angels, Birds, and other creatures that have wings; flying can also be possessed by some monks and the Djinn.</x:t>
  </x:si>
  <x:si>
    <x:t xml:space="preserve">o:"Flying"</x:t>
  </x:si>
  <x:si>
    <x:t xml:space="preserve">Keywords!A18:C18</x:t>
  </x:si>
  <x:si>
    <x:t xml:space="preserve">Haste</x:t>
  </x:si>
  <x:si>
    <x:t xml:space="preserve">Creatures with the haste ability are able to attack and use abilities that involve the tap symbol on the turn a player gains control of them, instead of waiting until their controller's next turn. (An effect dubbed "summoning sickness" otherwise prevents a creature from attacking or using abilities with the tap symbol unless its controller controlled it since the start of their most recent turn.) Haste is an example of a retroactive keywording, as cards from almost every earlier set have possessed "may attack the turn [they] come into play" or "unaffected by summoning sickness", which was replaced by the word "haste". It was later changed to include untapping to activate abilities as well. Creatures with haste are most often red.</x:t>
  </x:si>
  <x:si>
    <x:t xml:space="preserve">o:"Haste"</x:t>
  </x:si>
  <x:si>
    <x:t xml:space="preserve">Keywords!A19:C19</x:t>
  </x:si>
  <x:si>
    <x:t xml:space="preserve">Hexproof</x:t>
  </x:si>
  <x:si>
    <x:t xml:space="preserve">A player or permanent with hexproof cannot be the target of spells or abilities controlled by an opponent. This is similar to shroud, but it does not deny the player (or their allies) the ability to target their own hexproof permanents. Cards that previously had or granted this ability were updated via rules errata to have hexproof with the release of the Commander decks. The Dominaria set introduced a variant of this keyword, hexproof from (quality), which (similarly to protection) prevents a permanent or player from being targeted by spells and abilities with listed quality.</x:t>
  </x:si>
  <x:si>
    <x:t xml:space="preserve">o:"Hexproof"</x:t>
  </x:si>
  <x:si>
    <x:t xml:space="preserve">Keywords!A20:C20</x:t>
  </x:si>
  <x:si>
    <x:t xml:space="preserve">Indestructible</x:t>
  </x:si>
  <x:si>
    <x:t xml:space="preserve">A permanent with indestructible cannot be destroyed by effects that say "Destroy" or by lethal damage. However, they can be countered, exiled, returned to the hand or library, sacrificed, or killed with effects that lower their toughness to zero. Initially appearing as a quality, indestructible was changed to a keyword so that it can be removed from a card to make it susceptible to being destroyed. Indestructible first appeared in Darksteel, chiefly among artifacts made of the titular metal, and has appeared in colored creatures in subsequent sets.</x:t>
  </x:si>
  <x:si>
    <x:t xml:space="preserve">o:"Indestructible"</x:t>
  </x:si>
  <x:si>
    <x:t xml:space="preserve">Keywords!A21:C21</x:t>
  </x:si>
  <x:si>
    <x:t xml:space="preserve">Lifelink</x:t>
  </x:si>
  <x:si>
    <x:t xml:space="preserve">Permanents with lifelink cause their controller to gain life whenever they deal damage equal to the amount of damage dealt. Lifelink as a keyword was introduced in Future Sight, though the ability had previously existed on numerous cards, with rules errata retroactively changing these to lifelink. Cards with similar abilities were not changed in this way. Lifelink was a triggered ability when it was issued but is now a static ability due to the Magic 2010 rules changes. (Cards that previously had a lifelink-like ability have been issued further errata to return them to their original functionality. The lone exception to this is the Mirrodin card Loxodon Warhammer, which, since it was reprinted in Tenth Edition with the lifelink keyword, retains that rather than the original functionality on all editions). Lifelink is found mostly on white cards, and also on black cards.</x:t>
  </x:si>
  <x:si>
    <x:t xml:space="preserve">o:"Lifelink"</x:t>
  </x:si>
  <x:si>
    <x:t xml:space="preserve">Keywords!A22:C22</x:t>
  </x:si>
  <x:si>
    <x:t xml:space="preserve">Menace</x:t>
  </x:si>
  <x:si>
    <x:t xml:space="preserve">A creature with menace can only be blocked by two or more creatures. Menace was instituted as a keyword in Magic Origins, and was retroactively applied to previous cards with that ability. Menace appears chiefly on black cards and red cards.</x:t>
  </x:si>
  <x:si>
    <x:t xml:space="preserve">o:"Menace"</x:t>
  </x:si>
  <x:si>
    <x:t xml:space="preserve">Keywords!A23:C23</x:t>
  </x:si>
  <x:si>
    <x:t xml:space="preserve">Protection</x:t>
  </x:si>
  <x:si>
    <x:t xml:space="preserve">This ability is written as Protection from (quality). A creature with protection from a quality cannot be enchanted, equipped, blocked, or targeted by anything with that quality, and all damage that would be dealt by a source of that quality is prevented, barring exceptions which explicitly state otherwise. For example, a creature with protection from red cannot be enchanted by red auras, blocked by red creatures, targeted by red spells and abilities, or take damage from red sources. A common mnemonic for which effects are prevented by protection is the acronym DEBT, standing for "Damage, Enchant (or Equip), Block, Target". Note that the protection ability does not prevent effects that do not target. If a creature gains protection while some of these effects are present, different things may happen. Any aura, equipment or fortifications attached to it that are no longer legally attached to it "fall off", becoming unattached. Auras that are not attached to anything are then put into their owners' graveyards, while equipment and fortifications stay on the battlefield. Any spells of that quality (or abilities of permanents of that quality) that target it lose that creature as a target (for example, a creature gained protection from red in response to being targeted with Lightning Bolt). If they no longer have any legal targets, the spell "fizzles" and has no effect. However, a creature gaining protection in response to being blocked by a creature does not cause it to become unblocked, though it will prevent all damage that blocking creature would do to the creature with protection. Initially this ability was limited to "Protection from (color)", but was later expanded to allow "Protection from artifacts" in Urza's Legacy, and officially expanded to allow "Protection from (quality)" in Invasion with the printing of Shoreline Raider. In Conflux, a card called Progenitus has "Protection from everything" – it cannot be blocked, cannot be equipped or enchanted, cannot be targeted by spells or abilities, and cannot be dealt damage. Most cards with protection are either white or an enemy color from the color of protection offered (i.e. most cards with protection from blues are red and green).</x:t>
  </x:si>
  <x:si>
    <x:t xml:space="preserve">o:"Protection"</x:t>
  </x:si>
  <x:si>
    <x:t xml:space="preserve">Keywords!A24:C24</x:t>
  </x:si>
  <x:si>
    <x:t xml:space="preserve">Prowess</x:t>
  </x:si>
  <x:si>
    <x:t xml:space="preserve">Prowess is a triggered ability. A creature with prowess gains +1/+1 (until end of turn) whenever a noncreature spell is cast by its controller. If a creature has multiple instances of prowess, each triggers separately. Prowess was introduced in Khans of Tarkir and became an evergreen keyword with Magic Origins. Prowess appears chiefly on blue cards, and also on red and some white cards. After the release of Hour of Devastation, Prowess is no longer considered Evergreen, and has a Storm scale value of 4, with complications in interactions cited as the cause. As of Core Set 2021, prowess has experienced somewhat of a comeback.</x:t>
  </x:si>
  <x:si>
    <x:t xml:space="preserve">o:"Prowess"</x:t>
  </x:si>
  <x:si>
    <x:t xml:space="preserve">Keywords!A25:C25</x:t>
  </x:si>
  <x:si>
    <x:t xml:space="preserve">Reach</x:t>
  </x:si>
  <x:si>
    <x:t xml:space="preserve">Reach is a countermeasure to block creatures with flying. Creatures with flying can only be blocked by creatures with flying or reach. The keyword was introduced in Future Sight, and the flying rules themselves were changed to clarify this interaction. Older cards with the ability to "block as though [they] had flying" were issued rules errata to have reach. Reach is found primarily in green creatures, especially Spiders.</x:t>
  </x:si>
  <x:si>
    <x:t xml:space="preserve">o:"Reach"</x:t>
  </x:si>
  <x:si>
    <x:t xml:space="preserve">Keywords!A26:C26</x:t>
  </x:si>
  <x:si>
    <x:t xml:space="preserve">Trample</x:t>
  </x:si>
  <x:si>
    <x:t xml:space="preserve">An attacking creature with trample which is blocked may deal any excess damage, above what is needed to kill the blocker, directly to the defending player or the next blocker. The choice is made by the attacking player, as circumstances can arise in which "overkilling" the blocking creature is a more advantageous move. Trample is most often found on green or red creatures.</x:t>
  </x:si>
  <x:si>
    <x:t xml:space="preserve">o:"Trample"</x:t>
  </x:si>
  <x:si>
    <x:t xml:space="preserve">Keywords!A27:C27</x:t>
  </x:si>
  <x:si>
    <x:t xml:space="preserve">Vigilance</x:t>
  </x:si>
  <x:si>
    <x:t xml:space="preserve">Vigilance existed as an ability in Limited Edition Alpha, but was retroactively keyworded beginning with the Kamigawa block. Creatures with vigilance do not tap when attacking (prior to being keyworded, these creatures' rules text read "Attacking doesn't cause this creature to tap"), meaning they can still be used during the opponent's turn to block. Creatures with vigilance are primarily white and secondarily green.</x:t>
  </x:si>
  <x:si>
    <x:t xml:space="preserve">o:"Vigilance"</x:t>
  </x:si>
  <x:si>
    <x:t xml:space="preserve">Keywords!A28:C28</x:t>
  </x:si>
  <x:si>
    <x:t xml:space="preserve">Keywords from Expert-Level Expansions</x:t>
  </x:si>
  <x:si>
    <x:t xml:space="preserve">Absorb</x:t>
  </x:si>
  <x:si>
    <x:t xml:space="preserve">This ability is written Absorb x, where x is a quantity of damage prevented on a creature with the ability. This ability appears on a single timeshifted creature from Future Sight. Older cards with this ability were not changed to grant absorb.</x:t>
  </x:si>
  <x:si>
    <x:t xml:space="preserve">o:"Absorb"</x:t>
  </x:si>
  <x:si>
    <x:t xml:space="preserve">Keywords!A29:C29</x:t>
  </x:si>
  <x:si>
    <x:t xml:space="preserve">Adapt</x:t>
  </x:si>
  <x:si>
    <x:t xml:space="preserve">This ability is written (cost): Adapt x and is a tweaked version of the monstrosity mechanic. If a creature has no +1/+1 counters on it, the player may pay the adapt cost to put N +1/+1 counters on that creature. In comparison to monstrosity, if a creature somehow loses its +1/+1 counters, it can adapt again and pick up more. Alternatively, one can place counters in response to the activation to stop the creature from getting N counters. This mechanic first appears in Ravnica Allegiance and is usually associated with the Simic Combine.</x:t>
  </x:si>
  <x:si>
    <x:t xml:space="preserve">o:"Adapt"</x:t>
  </x:si>
  <x:si>
    <x:t xml:space="preserve">Keywords!A30:C30</x:t>
  </x:si>
  <x:si>
    <x:t xml:space="preserve">Affinity</x:t>
  </x:si>
  <x:si>
    <x:t xml:space="preserve">This ability is written Affinity for (quality). A card with affinity costs 1 generic mana less to cast for each permanent with that quality under the caster's control. For instance, an artifact creature that costs 4 generic mana and has 'Affinity for artifacts', would be free if the player casting it controls four or more artifacts, whereas a sorcery with a printed cost of 4 generic mana and 1 blue mana, will cost a single blue mana regardless of whether its caster controls four or five (or more) artifacts. Affinity appeared throughout the Mirrodin block, usually for artifacts. A cycle of five cards in Darksteel had affinity for each of the basic land types.</x:t>
  </x:si>
  <x:si>
    <x:t xml:space="preserve">o:"Affinity"</x:t>
  </x:si>
  <x:si>
    <x:t xml:space="preserve">Keywords!A31:C31</x:t>
  </x:si>
  <x:si>
    <x:t xml:space="preserve">Afflict</x:t>
  </x:si>
  <x:si>
    <x:t xml:space="preserve">This ability is written Afflict x. When a creature with afflict becomes blocked the defending player loses x life. This was a mechanic from the Hour of Devastation block and was primarily printed on blue, black and red zombie creatures from the set.</x:t>
  </x:si>
  <x:si>
    <x:t xml:space="preserve">o:"Afflict"</x:t>
  </x:si>
  <x:si>
    <x:t xml:space="preserve">Keywords!A32:C32</x:t>
  </x:si>
  <x:si>
    <x:t xml:space="preserve">Afterlife</x:t>
  </x:si>
  <x:si>
    <x:t xml:space="preserve">This ability is written Afterlife x. When a creature with afterlife dies, its controller creates x 1/1 black and white spirit tokens with flying. This ability first appears in Ravnica Allegiance and is usually associated with the Orzhov Syndicate.</x:t>
  </x:si>
  <x:si>
    <x:t xml:space="preserve">o:"Afterlife"</x:t>
  </x:si>
  <x:si>
    <x:t xml:space="preserve">Keywords!A33:C33</x:t>
  </x:si>
  <x:si>
    <x:t xml:space="preserve">Aftermath</x:t>
  </x:si>
  <x:si>
    <x:t xml:space="preserve">Aftermath is an ability that appears on instant and sorcery split cards (a card with two separate card images printed on its face next to one another). Only one of the pair of images contains the aftermath ability. The half of the pair without the aftermath ability can be cast from the player's hand as normal. Once the physical card is in the player's graveyard (discard pile), the half of the pair that has the aftermath ability can be cast from the graveyard for the cost printed on the upper right of that card, after which the physical card is exiled. Functionally, this ability is a hybrid of the kicker and flashback abilities. As with kicker, cards with aftermath have a primary effect and a secondary optional effect that can be produced by paying an additional cost. As with flashback, the second effect can be cast from the graveyard at a time of the player's choosing. Aftermath appears in Amonkhet in all five colors, at rarities of uncommon and above.</x:t>
  </x:si>
  <x:si>
    <x:t xml:space="preserve">o:"Aftermath"</x:t>
  </x:si>
  <x:si>
    <x:t xml:space="preserve">Keywords!A34:C34</x:t>
  </x:si>
  <x:si>
    <x:t xml:space="preserve">Amplify</x:t>
  </x:si>
  <x:si>
    <x:t xml:space="preserve">This ability is written Amplify x. As a creature with amplify enters the battlefield, its controller may reveal any number of creature cards in their hand that share a creature type with the creature. That creature enters the battlefield with x +1/+1 counters on it for each card revealed this way. Amplify only appears in Legions.</x:t>
  </x:si>
  <x:si>
    <x:t xml:space="preserve">o:"Amplify"</x:t>
  </x:si>
  <x:si>
    <x:t xml:space="preserve">Keywords!A35:C35</x:t>
  </x:si>
  <x:si>
    <x:t xml:space="preserve">Annihilator</x:t>
  </x:si>
  <x:si>
    <x:t xml:space="preserve">This ability is written Annihilator x. Whenever a creature with annihilator attacks, the defending player sacrifices x permanents. Annihilator abilities trigger and resolve during the declare attackers step. The defending player chooses and sacrifices the required number of permanents before they declare blockers. This is a triggered ability that appears exclusively on colorless Eldrazi cards from Rise of the Eldrazi.</x:t>
  </x:si>
  <x:si>
    <x:t xml:space="preserve">o:"Annihilator"</x:t>
  </x:si>
  <x:si>
    <x:t xml:space="preserve">Keywords!A36:C36</x:t>
  </x:si>
  <x:si>
    <x:t xml:space="preserve">Ascend</x:t>
  </x:si>
  <x:si>
    <x:t xml:space="preserve">Ascend is an ability that checks if the player controls ten or more permanents. On permanent cards, the check is performed constantly; on instants and sorceries, the check is performed as the spell resolves. Regardless of source, if the player passes the check, they gain a unique quality called city blessing for the rest of the game, which empowers all cards with ascend in various ways. This mechanic appears in all colors in Rivals of Ixalan set.</x:t>
  </x:si>
  <x:si>
    <x:t xml:space="preserve">o:"Ascend"</x:t>
  </x:si>
  <x:si>
    <x:t xml:space="preserve">Keywords!A37:C37</x:t>
  </x:si>
  <x:si>
    <x:t xml:space="preserve">Assist</x:t>
  </x:si>
  <x:si>
    <x:t xml:space="preserve">This ability is written Assist (Another player can pay up to {base ammount of generic mana used to cast spell} of this spell's cost. This keyword can be on any card with a mana cost containing generic mana, but was only ever printed on creature, instant, and sorcery cards. additionally, this keyword was used exclusively in the Battlebond set.</x:t>
  </x:si>
  <x:si>
    <x:t xml:space="preserve">o:"Assist"</x:t>
  </x:si>
  <x:si>
    <x:t xml:space="preserve">Keywords!A38:C38</x:t>
  </x:si>
  <x:si>
    <x:t xml:space="preserve">Aura swap</x:t>
  </x:si>
  <x:si>
    <x:t xml:space="preserve">This ability is written Aura swap (cost). By paying the aura swap cost, the player may exchange the Aura with this ability with an Aura card in their hand, if they control and own the Aura with aura swap. This ability appears on a single timeshifted Aura, Arcanum Wings, from Future Sight.</x:t>
  </x:si>
  <x:si>
    <x:t xml:space="preserve">o:"Aura swap"</x:t>
  </x:si>
  <x:si>
    <x:t xml:space="preserve">Keywords!A39:C39</x:t>
  </x:si>
  <x:si>
    <x:t xml:space="preserve">Bands with other</x:t>
  </x:si>
  <x:si>
    <x:t xml:space="preserve">This ability is a limited version of banding, written as Bands with other (quality). A creature with this ability has banding, but can only band with creatures that have the same ability; e.g. are of the creature type or sub-type (quality), are of the color (quality), and so on. Unlike normal banding, in an attacking band only one creature is required to have the bands with other (quality) ability, so long as all other creatures in the band have the specified quality. All other banding rules apply. Prior to the rules revisions made with the release of Magic 2010, "bands with other" worked in a significantly different manner. Rather than limiting a creature with this ability to banding with other creatures with the specified quality, the ability instead required all creatures in the band to have the same "bands with other (quality)" ability or regular banding. The limitations (and counter-intuitiveness) of the ability under these rules led to "bands with other" being called "possibly the worst keyworded ability of all time" by Magic rules manager Mark Gottlieb in the article "Absurd or Ridiculous? You Decide". "Bands with other" appears on only nine cards: eight in Legends and one in Unhinged. The only objects that natively have the ability are Wolves of the Hunt tokens created by the card Master of the Hunt and the Unhinged card Old Fogey.</x:t>
  </x:si>
  <x:si>
    <x:t xml:space="preserve">o:"Bands with other"</x:t>
  </x:si>
  <x:si>
    <x:t xml:space="preserve">Keywords!A40:C40</x:t>
  </x:si>
  <x:si>
    <x:t xml:space="preserve">Battle cry</x:t>
  </x:si>
  <x:si>
    <x:t xml:space="preserve">When a creature with battle cry attacks, all other attacking creatures get +1/+0 until the end of the turn. Battle cry was introduced in Mirrodin Besieged and appears on Mirrodin cards.</x:t>
  </x:si>
  <x:si>
    <x:t xml:space="preserve">o:"Battle cry"</x:t>
  </x:si>
  <x:si>
    <x:t xml:space="preserve">Keywords!A41:C41</x:t>
  </x:si>
  <x:si>
    <x:t xml:space="preserve">Bestow</x:t>
  </x:si>
  <x:si>
    <x:t xml:space="preserve">This ability is written Bestow (cost) and appears on enchantment creatures. A creature with bestow gives the player the option to cast it as an Aura that enchants a creature, granting that creature its power, toughness, and abilities. A bestow card cast for its normal cost will enter the stack as a creature spell. By choosing to pay the alternative cost, which is a static ability, it becomes an Enchantment-Aura spell; if the creature it targets leaves the battlefield before the bestow card resolves or while the bestow card is enchanting the creature, the bestow card enters the battlefield as an enchantment creature – unlike a regular aura card which would go to the graveyard. This mechanic first appeared on some enchantment creatures from the Theros block.</x:t>
  </x:si>
  <x:si>
    <x:t xml:space="preserve">o:"Bestow"</x:t>
  </x:si>
  <x:si>
    <x:t xml:space="preserve">Keywords!A42:C42</x:t>
  </x:si>
  <x:si>
    <x:t xml:space="preserve">Bolster</x:t>
  </x:si>
  <x:si>
    <x:t xml:space="preserve">This is a keyword action, written Bolster x. When a player bolsters, the player chooses one of their creatures with the lowest toughness among them and puts x +1/+1 counters on it. The bolster effect does not target; the choice of creature is made at the resolution of the spell or ability. It first appeared in Fate Reforged.</x:t>
  </x:si>
  <x:si>
    <x:t xml:space="preserve">o:"Bolster"</x:t>
  </x:si>
  <x:si>
    <x:t xml:space="preserve">Keywords!A43:C43</x:t>
  </x:si>
  <x:si>
    <x:t xml:space="preserve">Bloodthirst</x:t>
  </x:si>
  <x:si>
    <x:t xml:space="preserve">This ability is written Bloodthirst x. A creature with bloodthirst x enters the battlefield with x +1/+1 counters on it if an opponent was damaged during that turn. Bloodthirst appears mainly in the sets Guildpact and Magic 2012, and is mostly associated with the Gruul Clans (green and red colors), though it can be found on some black cards too.</x:t>
  </x:si>
  <x:si>
    <x:t xml:space="preserve">o:"Bloodthirst"</x:t>
  </x:si>
  <x:si>
    <x:t xml:space="preserve">Keywords!A44:C44</x:t>
  </x:si>
  <x:si>
    <x:t xml:space="preserve">Bushido</x:t>
  </x:si>
  <x:si>
    <x:t xml:space="preserve">This ability is written Bushido x. When a creature with bushido blocks or becomes blocked, it gets +x/+x until end of turn. Bushido appears on all Samurai in the Kamigawa block, and only on Samurai. Earlier cards with this ability were not given errata to have bushido.</x:t>
  </x:si>
  <x:si>
    <x:t xml:space="preserve">o:"Bushido"</x:t>
  </x:si>
  <x:si>
    <x:t xml:space="preserve">Keywords!A45:C45</x:t>
  </x:si>
  <x:si>
    <x:t xml:space="preserve">Buyback</x:t>
  </x:si>
  <x:si>
    <x:t xml:space="preserve">This ability is written Buyback (cost). It appears on instants and sorceries and is an additional, optional cost when casting the card. If the buyback cost was paid, the card returns to its owner's hand upon resolving, instead of going to the graveyard. Buyback first appears in the Tempest block.</x:t>
  </x:si>
  <x:si>
    <x:t xml:space="preserve">o:"Buyback"</x:t>
  </x:si>
  <x:si>
    <x:t xml:space="preserve">Keywords!A46:C46</x:t>
  </x:si>
  <x:si>
    <x:t xml:space="preserve">Cascade</x:t>
  </x:si>
  <x:si>
    <x:t xml:space="preserve">When a spell with cascade is cast, its controller reveals cards from the top of their deck until a non-land card that has a lower converted mana cost is revealed. That player may then (in addition to the original spell) cast the revealed spell without paying its mana cost; all other revealed cards are put on the bottom of the deck in a random order. Cascade was introduced in Alara Reborn and is the main feature of the "Chaos Reigns" deck from the Planechase 2012 expansion.</x:t>
  </x:si>
  <x:si>
    <x:t xml:space="preserve">o:"Cascade"</x:t>
  </x:si>
  <x:si>
    <x:t xml:space="preserve">Keywords!A47:C47</x:t>
  </x:si>
  <x:si>
    <x:t xml:space="preserve">Champion</x:t>
  </x:si>
  <x:si>
    <x:t xml:space="preserve">This ability is written Champion a (type). It is an evolution-style mechanic that mimics a creature changing into a "new improved version". When a creature with champion enters the battlefield, its controller must exile a card they control of the appropriate type, or sacrifice the champion. When the creature with champion leaves the battlefield, the creature it "championed" (the exiled card) is returned to the battlefield. Most creatures with champion replace a creature that shares their own creature type, but those with the changeling ability have the generic "Champion a creature". Champion was introduced in Lorwyn.</x:t>
  </x:si>
  <x:si>
    <x:t xml:space="preserve">o:"Champion"</x:t>
  </x:si>
  <x:si>
    <x:t xml:space="preserve">Keywords!A48:C48</x:t>
  </x:si>
  <x:si>
    <x:t xml:space="preserve">Changeling</x:t>
  </x:si>
  <x:si>
    <x:t xml:space="preserve">Changeling is a keyword that gives a card all possible creature types, similar to the ability of Mistform Ultimus. It appears on certain shapeshifter creatures and tribal spells in Lorwyn.</x:t>
  </x:si>
  <x:si>
    <x:t xml:space="preserve">o:"Changeling"</x:t>
  </x:si>
  <x:si>
    <x:t xml:space="preserve">Keywords!A49:C49</x:t>
  </x:si>
  <x:si>
    <x:t xml:space="preserve">Cipher</x:t>
  </x:si>
  <x:si>
    <x:t xml:space="preserve">Cipher is printed on sorceries and represents two effects. When a spell with cipher resolves, its controller may exile the spell "encoded" on a creature they control. Then, whenever that creature deals combat damage to an opponent, its controller can cast a free copy of the encoded spell. Cipher appears in Gatecrash as the guild keyword of House Dimir.</x:t>
  </x:si>
  <x:si>
    <x:t xml:space="preserve">o:"Cipher"</x:t>
  </x:si>
  <x:si>
    <x:t xml:space="preserve">Keywords!A50:C50</x:t>
  </x:si>
  <x:si>
    <x:t xml:space="preserve">Clash</x:t>
  </x:si>
  <x:si>
    <x:t xml:space="preserve">Clash is a keyword action that determines the results of a spell or ability. When a card says to clash, its controller chooses an opponent to clash with, and each player involved in the clash reveals the top card of their deck, then puts it on the top or bottom of that deck. The winner of the clash is the player who revealed the card with the highest converted mana cost. If there is a tie, there is no winner. All cards with clash grant a bonus effect if their controller wins the clash. Clash was introduced in Lorwyn.</x:t>
  </x:si>
  <x:si>
    <x:t xml:space="preserve">o:"Clash"</x:t>
  </x:si>
  <x:si>
    <x:t xml:space="preserve">Keywords!A51:C51</x:t>
  </x:si>
  <x:si>
    <x:t xml:space="preserve">Conspire</x:t>
  </x:si>
  <x:si>
    <x:t xml:space="preserve">As a player casts a spell with conspire, they may pay the optional, additional cost of tapping two creatures that share a color with the spell. They then copy the spell and may choose new targets for the copy. Conspire appears on instants and sorceries in Shadowmoor.</x:t>
  </x:si>
  <x:si>
    <x:t xml:space="preserve">o:"Conspire"</x:t>
  </x:si>
  <x:si>
    <x:t xml:space="preserve">Keywords!A52:C52</x:t>
  </x:si>
  <x:si>
    <x:t xml:space="preserve">Convoke</x:t>
  </x:si>
  <x:si>
    <x:t xml:space="preserve">As a spell with convoke is cast, its controller may tap any number of creatures. Each creature tapped reduces the card's mana cost by 1 generic mana or 1 mana of the tapped creature's color. For example, a player may pay for Conclave's Blessing, which costs 3 generic and 1 white mana, by tapping four creatures, at least one of which must be white. Convoke appears in Ravnica: City of Guilds and Guilds of Ravnica and is the ability associated with the Selesnya Conclave. Convoke is also the returning keyword mechanic for the Magic 2015 core set, where it appears in all colors.</x:t>
  </x:si>
  <x:si>
    <x:t xml:space="preserve">o:"Convoke"</x:t>
  </x:si>
  <x:si>
    <x:t xml:space="preserve">Keywords!A53:C53</x:t>
  </x:si>
  <x:si>
    <x:t xml:space="preserve">Crew</x:t>
  </x:si>
  <x:si>
    <x:t xml:space="preserve">This ability is written as Crew x. It appears only on vehicles, a new subtype of artifacts introduced during the Kaladesh block. Vehicles are not creatures by default, but have a power and toughness printed in a different colour. A vehicle's controller can pay the crew cost by tapping any number of creatures with total power greater than or equal to x, which turns the vehicle into an artifact creature until end of turn.</x:t>
  </x:si>
  <x:si>
    <x:t xml:space="preserve">o:"Crew"</x:t>
  </x:si>
  <x:si>
    <x:t xml:space="preserve">Keywords!A54:C54</x:t>
  </x:si>
  <x:si>
    <x:t xml:space="preserve">Cumulative upkeep</x:t>
  </x:si>
  <x:si>
    <x:t xml:space="preserve">This ability is written Cumulative upkeep (cost). At the beginning of each of its controller's upkeeps, an "age counter" is put on the card. The player must then either pay the cumulative upkeep cost for each age counter on the permanent, or sacrifice it. The ability was originally designed to represent an ever-climbing cost, eventually forcing the player to sacrifice the card and lose its benefits, although later incarnations provide a benefit for the number of age counters on the card. The ability first appeared on the card Cyclone from Arabian Nights, and was first keyworded in Ice Age. The mechanic also appeared in Mirage block, with Weatherlight offering a number of twists on the upkeep cost, and in Coldsnap.</x:t>
  </x:si>
  <x:si>
    <x:t xml:space="preserve">o:"Cumulative upkeep"</x:t>
  </x:si>
  <x:si>
    <x:t xml:space="preserve">Keywords!A55:C55</x:t>
  </x:si>
  <x:si>
    <x:t xml:space="preserve">Cycling</x:t>
  </x:si>
  <x:si>
    <x:t xml:space="preserve">This ability is written Cycling (cost). A player with a card with cycling in hand may pay the cycling cost, discard the card, and draw a new card. Cycling cards appeared in the Urza block, the Onslaught block, the Alara block, and the Amonkhet block. A variant of this keyword is typecycling. Future Sight introduced the first cards with unusual Cycling cost, like discarding a card or paying life.</x:t>
  </x:si>
  <x:si>
    <x:t xml:space="preserve">o:"Cycling"</x:t>
  </x:si>
  <x:si>
    <x:t xml:space="preserve">Keywords!A56:C56</x:t>
  </x:si>
  <x:si>
    <x:t xml:space="preserve">Dash</x:t>
  </x:si>
  <x:si>
    <x:t xml:space="preserve">This ability is written Dash (cost) on creature spells. A player casting a card with Dash may opt to pay its Dash cost instead of the normal cost. If the Dash cost is chosen, the creature gains Haste until the end of turn, and is returned to its owner's hand at the end of turn. The mechanic first appeared in Fate Reforged.</x:t>
  </x:si>
  <x:si>
    <x:t xml:space="preserve">o:"Dash"</x:t>
  </x:si>
  <x:si>
    <x:t xml:space="preserve">Keywords!A57:C57</x:t>
  </x:si>
  <x:si>
    <x:t xml:space="preserve">Daybound &amp; Nightbound</x:t>
  </x:si>
  <x:si>
    <x:t xml:space="preserve">This mechanic was introduced in the Innistrad Midnight Hunt set. Cards featuring daybound and nightbound will transform when certain rules are met. If it is day, to transform to night the active player must not cast any spells during their turn. To transform back to day, the active player must cast two or more spells during their last turn. Cards featuring this new mechanic can be flipped to either side depending if it is day or night.</x:t>
  </x:si>
  <x:si>
    <x:t xml:space="preserve">o:"Daybound &amp; Nightbound"</x:t>
  </x:si>
  <x:si>
    <x:t xml:space="preserve">Keywords!A58:C58</x:t>
  </x:si>
  <x:si>
    <x:t xml:space="preserve">Delve</x:t>
  </x:si>
  <x:si>
    <x:t xml:space="preserve">When playing a card with delve, its controller may exile any number of cards in their graveyard. For each card exiled, the spell costs 1 colorless mana less to play. This ability first appeared on timeshifted cards from Future Sight, and returned in the set Khans of Tarkir.</x:t>
  </x:si>
  <x:si>
    <x:t xml:space="preserve">o:"Delve"</x:t>
  </x:si>
  <x:si>
    <x:t xml:space="preserve">Keywords!A59:C59</x:t>
  </x:si>
  <x:si>
    <x:t xml:space="preserve">Detain</x:t>
  </x:si>
  <x:si>
    <x:t xml:space="preserve">Detain is a keyword action introduced in Return to Ravnica that appears on blue and white cards of the Azorius guild. When a player detains a permanent, the detained permanent cannot attack, block, or activate abilities until the start of the player's next turn.</x:t>
  </x:si>
  <x:si>
    <x:t xml:space="preserve">o:"Detain"</x:t>
  </x:si>
  <x:si>
    <x:t xml:space="preserve">Keywords!A60:C60</x:t>
  </x:si>
  <x:si>
    <x:t xml:space="preserve">Devour</x:t>
  </x:si>
  <x:si>
    <x:t xml:space="preserve">This ability is written Devour x. As a creature with devour enters the battlefield, its controller may sacrifice any number of creatures in order to put x +1/+1 counters on the devouring creature for each creature sacrificed. Devour appears on Jund cards in the Alara block.</x:t>
  </x:si>
  <x:si>
    <x:t xml:space="preserve">o:"Devour"</x:t>
  </x:si>
  <x:si>
    <x:t xml:space="preserve">Keywords!A61:C61</x:t>
  </x:si>
  <x:si>
    <x:t xml:space="preserve">Dredge</x:t>
  </x:si>
  <x:si>
    <x:t xml:space="preserve">This ability is written Dredge x. If a card with dredge is in the player's graveyard, that player may put the top x cards of their deck into their graveyard and return the card with dredge to their hand, instead of drawing a card from their deck. A player cannot do this if there are fewer than x cards in their library. Dredge appears in Ravnica: City of Guilds and is the ability associated with the Golgari Swarm.</x:t>
  </x:si>
  <x:si>
    <x:t xml:space="preserve">o:"Dredge"</x:t>
  </x:si>
  <x:si>
    <x:t xml:space="preserve">Keywords!A62:C62</x:t>
  </x:si>
  <x:si>
    <x:t xml:space="preserve">Echo</x:t>
  </x:si>
  <x:si>
    <x:t xml:space="preserve">This ability is written Echo (cost). Cards with echo require their echo cost to be paid at the beginning of their controller's upkeep, the turn after the card was played or gained control of. If the echo cost is not paid, then the card is sacrificed. In the Urza block, this ability was written only as "Echo" with the echo cost always equal to the card's mana cost. The rules were altered for echo's return in Time Spiral to be written as echo (cost) instead, and all previous echo cards were issued rules errata to have their echo cost equal to their mana cost. Additionally, although all echo cards in Time Spiral had echo costs equal to their mana costs, Planar Chaos introduced permanents with echo costs different from their mana costs, and Future Sight introduced echo costs that are not simply mana payments.</x:t>
  </x:si>
  <x:si>
    <x:t xml:space="preserve">o:"Echo"</x:t>
  </x:si>
  <x:si>
    <x:t xml:space="preserve">Keywords!A63:C63</x:t>
  </x:si>
  <x:si>
    <x:t xml:space="preserve">Embalm</x:t>
  </x:si>
  <x:si>
    <x:t xml:space="preserve">This ability is written Embalm (cost) and appears on creature cards. When a card with this ability is in a player's graveyard, that player may pay its embalm cost to exile the card and put a token into play that is a zombie copy of the creature, in addition to the creature's other creature types (e.g., a Zombie Angel instead of an Angel). This allows a player to gain a second use from a card with benefits from other cards that interact with zombie creatures. Embalm is an activated ability (the token is created, not cast) and may be played only when the player could cast a sorcery. This keyword is similar to flashback, but is found on creature cards rather than instant and sorcery cards. Embalm appears in Amonkhet, primarily appears on blue and white cards. Each card with embalm has its own printed token card, with an alternate artwork showing a mummified version of the original creature.</x:t>
  </x:si>
  <x:si>
    <x:t xml:space="preserve">o:"Embalm"</x:t>
  </x:si>
  <x:si>
    <x:t xml:space="preserve">Keywords!A64:C64</x:t>
  </x:si>
  <x:si>
    <x:t xml:space="preserve">Emerge</x:t>
  </x:si>
  <x:si>
    <x:t xml:space="preserve">Emerge is an ability allowing the player to pay an alternate mana cost by sacrificing a creature and paying the difference between the Emerge cost and the sacrificed creature's converted mana cost. It appears in Shadows over Innistrad on Eldrazi creatures.</x:t>
  </x:si>
  <x:si>
    <x:t xml:space="preserve">o:"Emerge"</x:t>
  </x:si>
  <x:si>
    <x:t xml:space="preserve">Keywords!A65:C65</x:t>
  </x:si>
  <x:si>
    <x:t xml:space="preserve">Entwine</x:t>
  </x:si>
  <x:si>
    <x:t xml:space="preserve">This ability is written Entwine (cost). All cards with entwine are modal spells with two choices. Normally, a player chooses one mode or the other. If the card's entwine cost is paid in addition to its regular cost, both effects happen. Entwine appears in the Mirrodin block.</x:t>
  </x:si>
  <x:si>
    <x:t xml:space="preserve">o:"Entwine"</x:t>
  </x:si>
  <x:si>
    <x:t xml:space="preserve">Keywords!A66:C66</x:t>
  </x:si>
  <x:si>
    <x:t xml:space="preserve">Epic</x:t>
  </x:si>
  <x:si>
    <x:t xml:space="preserve">Epic has two effects: first, after a player casts a spell with epic, once that spell resolves, they can no longer cast spells for the remainder of the game. However, at the beginning of each of their upkeeps for the rest of the game, the player puts a new copy of the epic spell on the stack. This does not count as "casting" it (so it does not become a useless ability) and no mana payment is required. Epic appears only on a cycle of five rare sorceries in Saviors of Kamigawa.</x:t>
  </x:si>
  <x:si>
    <x:t xml:space="preserve">o:"Epic"</x:t>
  </x:si>
  <x:si>
    <x:t xml:space="preserve">Keywords!A67:C67</x:t>
  </x:si>
  <x:si>
    <x:t xml:space="preserve">Evolve</x:t>
  </x:si>
  <x:si>
    <x:t xml:space="preserve">Evolve is a keyword on creatures which allows them to grow larger. Whenever a creature enters the battlefield under the player's control, if that creature has larger power or toughness than the creature with evolve, that player puts a +1/+1 counter on the creature with evolve. Evolve was designed by a contestant during The Great Designer Search II and appears in Gatecrash as the guild keyword of the Simic Combine.</x:t>
  </x:si>
  <x:si>
    <x:t xml:space="preserve">o:"Evolve"</x:t>
  </x:si>
  <x:si>
    <x:t xml:space="preserve">Keywords!A68:C68</x:t>
  </x:si>
  <x:si>
    <x:t xml:space="preserve">Evoke</x:t>
  </x:si>
  <x:si>
    <x:t xml:space="preserve">This ability is written as Evoke (cost) and is an alternate cost for a creature, generally far lower, with the condition that the creature must be sacrificed upon entering the battlefield. All cards with evoke have additional effects upon entering or leaving the battlefield. The creature's controller may choose whether the sacrifice occurs before or after the additional effect(s). Evoke appears in Lorwyn and Morningtide.</x:t>
  </x:si>
  <x:si>
    <x:t xml:space="preserve">o:"Evoke"</x:t>
  </x:si>
  <x:si>
    <x:t xml:space="preserve">Keywords!A69:C69</x:t>
  </x:si>
  <x:si>
    <x:t xml:space="preserve">Exalted</x:t>
  </x:si>
  <x:si>
    <x:t xml:space="preserve">Exalted originally appeared on cards within the Bant colors in the Alara block. When it reoccurred in Magic 2013, 5 black cards were given the mechanic. When any creature a player controls attacks alone, it receives +1/+1 until end of turn for each permanent with the exalted keyword that player controls.</x:t>
  </x:si>
  <x:si>
    <x:t xml:space="preserve">o:"Exalted"</x:t>
  </x:si>
  <x:si>
    <x:t xml:space="preserve">Keywords!A70:C70</x:t>
  </x:si>
  <x:si>
    <x:t xml:space="preserve">Exert</x:t>
  </x:si>
  <x:si>
    <x:t xml:space="preserve">Exert is an ability that appears on creature cards. Each card with Exert has a unique activated or triggered ability that asks you to exert the card in exchange for a positive effect. An exerted card does not untap during its controller's next untap step. Exert appears in both sets of the Amonkhet block, exclusively on green, red, and white cards.</x:t>
  </x:si>
  <x:si>
    <x:t xml:space="preserve">o:"Exert"</x:t>
  </x:si>
  <x:si>
    <x:t xml:space="preserve">Keywords!A71:C71</x:t>
  </x:si>
  <x:si>
    <x:t xml:space="preserve">Exploit</x:t>
  </x:si>
  <x:si>
    <x:t xml:space="preserve">Exploit is an ability that appears on creatures. It gives the player who casts it the option to sacrifice a creature they control when it enters the battlefield, so that a specified ability will trigger. Exploit appears in Dragons of Tarkir and in Innistrad: Crimson Vow</x:t>
  </x:si>
  <x:si>
    <x:t xml:space="preserve">o:"Exploit"</x:t>
  </x:si>
  <x:si>
    <x:t xml:space="preserve">Keywords!A72:C72</x:t>
  </x:si>
  <x:si>
    <x:t xml:space="preserve">Explore</x:t>
  </x:si>
  <x:si>
    <x:t xml:space="preserve">Explore is a keyword action associated with creatures. When a creature explores, its controller reveals the top card of their library. If it is a land card, they put it in their hand; otherwise, they put a +1/+1 counter on that creature and can choose to leave that card on top or send it to their graveyard. Explore appears in both sets of Ixalan block in all five colors.</x:t>
  </x:si>
  <x:si>
    <x:t xml:space="preserve">o:"Explore"</x:t>
  </x:si>
  <x:si>
    <x:t xml:space="preserve">Keywords!A73:C73</x:t>
  </x:si>
  <x:si>
    <x:t xml:space="preserve">Extort</x:t>
  </x:si>
  <x:si>
    <x:t xml:space="preserve">Extort is a keyword which allows a player to slowly drain life from opponent(s). When casting a spell, the player may pay one white or black mana. If they do, then each opponent loses one life and the player gains one life for each point of life their opponent(s) lost. Extort appeared in Gatecrash as the guild keyword for the Orzhov Syndicate.</x:t>
  </x:si>
  <x:si>
    <x:t xml:space="preserve">o:"Extort"</x:t>
  </x:si>
  <x:si>
    <x:t xml:space="preserve">Keywords!A74:C74</x:t>
  </x:si>
  <x:si>
    <x:t xml:space="preserve">Fabricate</x:t>
  </x:si>
  <x:si>
    <x:t xml:space="preserve">This creature ability is written as Fabricate x. When a creature with fabricate enters the battlefield, its controller either puts x +1/+1 counters on it or creates x 1/1 colorless Servo artifact creature tokens. Fabricate appears in Kaladesh</x:t>
  </x:si>
  <x:si>
    <x:t xml:space="preserve">o:"Fabricate"</x:t>
  </x:si>
  <x:si>
    <x:t xml:space="preserve">Keywords!A75:C75</x:t>
  </x:si>
  <x:si>
    <x:t xml:space="preserve">Fading</x:t>
  </x:si>
  <x:si>
    <x:t xml:space="preserve">This ability is written as Fading x. A permanent with fading enters the battlefield with x fade counters on it. At the beginning of its controller's upkeep, a fade counter is removed; if a counter cannot be removed, the card is sacrificed. Fading is exclusive to Nemesis. It is extremely similar to the Planar Chaos keyword vanishing.</x:t>
  </x:si>
  <x:si>
    <x:t xml:space="preserve">o:"Fading"</x:t>
  </x:si>
  <x:si>
    <x:t xml:space="preserve">Keywords!A76:C76</x:t>
  </x:si>
  <x:si>
    <x:t xml:space="preserve">Fateseal</x:t>
  </x:si>
  <x:si>
    <x:t xml:space="preserve">This keyword action is written Fateseal x. To fateseal, a player looks at the top x cards of an opponent's deck and may put any number of those cards on the bottom of that player's deck. Thus, this ability is functionally a scry on the opponent's deck; fateseal was dubbed "evil scry" while in design. Fateseal exclusively appears on timeshifted cards from Future Sight.</x:t>
  </x:si>
  <x:si>
    <x:t xml:space="preserve">o:"Fateseal"</x:t>
  </x:si>
  <x:si>
    <x:t xml:space="preserve">Keywords!A77:C77</x:t>
  </x:si>
  <x:si>
    <x:t xml:space="preserve">Flanking</x:t>
  </x:si>
  <x:si>
    <x:t xml:space="preserve">When a creature with flanking is blocked by a creature without this ability, the blocking creature gets −1/−1 until end of turn. The effect is cumulative; multiple instances of flanking will effect a greater penalty, though a blocking creature only needs one instance to avoid the effect. Flanking first appears in the Mirage block.</x:t>
  </x:si>
  <x:si>
    <x:t xml:space="preserve">o:"Flanking"</x:t>
  </x:si>
  <x:si>
    <x:t xml:space="preserve">Keywords!A78:C78</x:t>
  </x:si>
  <x:si>
    <x:t xml:space="preserve">Flashback</x:t>
  </x:si>
  <x:si>
    <x:t xml:space="preserve">This ability is written Flashback (cost) and appears on instants and sorceries. When a card with this ability is in a player's graveyard, that player may pay its flashback cost and cast the card from the graveyard. The card is then exiled. This allows a player to get a second use from a card. Flashback was introduced in the Odyssey block, where cards with an ability that acted from the graveyard have small headstone markers in front of their names. They reappeared in Time Spiral and Innistrad blocks (without the headstone marker).</x:t>
  </x:si>
  <x:si>
    <x:t xml:space="preserve">o:"Flashback"</x:t>
  </x:si>
  <x:si>
    <x:t xml:space="preserve">Keywords!A79:C79</x:t>
  </x:si>
  <x:si>
    <x:t xml:space="preserve">Flip</x:t>
  </x:si>
  <x:si>
    <x:t xml:space="preserve">Flip is a keyword action that deals with specially printed cards known as "flip cards". Each of these cards has two sets of normal card attributes (e.g. name, rules text, power and toughness): one right-side-up above the card's image and one upside-down (with no mana cost) below the image. Flip cards enter the battlefield unflipped, with only the former set of attributes applying. Once certain conditions are met, the player flips the card (rotating it 180 degrees) and the second set of attributes come into effect. Once flipped, a card cannot be unflipped (except by leaving the battlefield and returning), and effects that would "flip" a card that is already "flipped" do nothing. Flip cards appear in the Kamigawa block. Although "flipping" is often colloquially used to refer to morphing and transforming cards, they are distinct mechanics.</x:t>
  </x:si>
  <x:si>
    <x:t xml:space="preserve">o:"Flip"</x:t>
  </x:si>
  <x:si>
    <x:t xml:space="preserve">Keywords!A80:C80</x:t>
  </x:si>
  <x:si>
    <x:t xml:space="preserve">Forecast</x:t>
  </x:si>
  <x:si>
    <x:t xml:space="preserve">This ability is written Forecast — Cost: Effect. During a player's upkeep, if they have a card with forecast in their hand, they may pay the forecast cost to activate its forecast ability. The cost always includes revealing the card until the end of the upkeep. A player can only do this once per turn per forecast card. Forecast appears in Dissension and is the ability associated with the Azorius Senate.</x:t>
  </x:si>
  <x:si>
    <x:t xml:space="preserve">o:"Forecast"</x:t>
  </x:si>
  <x:si>
    <x:t xml:space="preserve">Keywords!A81:C81</x:t>
  </x:si>
  <x:si>
    <x:t xml:space="preserve">Foretell</x:t>
  </x:si>
  <x:si>
    <x:t xml:space="preserve">To foretell a card, a player pays two mana (of any combination of colors) and then exiles the card with foretell ability faced down. In any future turns, they can cast the card from exile by paying the foretell costs (this is the mana cost listed on the card) rather than paying the mana cost of the card. They may not cast the card from exile on the same turn that it was exiled.</x:t>
  </x:si>
  <x:si>
    <x:t xml:space="preserve">o:"Foretell"</x:t>
  </x:si>
  <x:si>
    <x:t xml:space="preserve">Keywords!A82:C82</x:t>
  </x:si>
  <x:si>
    <x:t xml:space="preserve">Fortify</x:t>
  </x:si>
  <x:si>
    <x:t xml:space="preserve">This ability is written Fortify (cost). It is found only on fortifications, a subtype of artifacts. A player pays the fortify cost as a sorcery (only during their own main phase when the stack is empty) and attaches it to a land they control. That land becomes "fortified" and can then be referenced by the fortification as the "fortified land". Other than attaching to lands instead of creatures, the rules for fortifications are similar to those for equipment. Fortify appears on a timeshifted artifact from Future Sight, and an artifact from the Fallout set.</x:t>
  </x:si>
  <x:si>
    <x:t xml:space="preserve">o:"Fortify"</x:t>
  </x:si>
  <x:si>
    <x:t xml:space="preserve">Keywords!A83:C83</x:t>
  </x:si>
  <x:si>
    <x:t xml:space="preserve">Frenzy</x:t>
  </x:si>
  <x:si>
    <x:t xml:space="preserve">This ability is written Frenzy x. When a creature with frenzy attacks and is not blocked, it gets +x/+0 until end of turn. This ability appears on a single timeshifted creature from Future Sight, Frenzy Sliver.</x:t>
  </x:si>
  <x:si>
    <x:t xml:space="preserve">o:"Frenzy"</x:t>
  </x:si>
  <x:si>
    <x:t xml:space="preserve">Keywords!A84:C84</x:t>
  </x:si>
  <x:si>
    <x:t xml:space="preserve">Graft</x:t>
  </x:si>
  <x:si>
    <x:t xml:space="preserve">This ability is written Graft x. All creatures with graft are 0/0 creatures that enter the battlefield with x +1/+1 counters on them. Whenever another creature enters the battlefield, a player may move one +1/+1 counter from any number of creatures with graft they control onto that creature. Graft appears in Dissension and is the ability associated with the Simic Combine.</x:t>
  </x:si>
  <x:si>
    <x:t xml:space="preserve">o:"Graft"</x:t>
  </x:si>
  <x:si>
    <x:t xml:space="preserve">Keywords!A85:C85</x:t>
  </x:si>
  <x:si>
    <x:t xml:space="preserve">Gravestorm</x:t>
  </x:si>
  <x:si>
    <x:t xml:space="preserve">When a player casts a spell with gravestorm, they put a copy of that spell on the stack for each permanent that was previously put into a graveyard that turn. This ability is similar to storm and appears on two cards, one from Future Sight called Bitter ordeal, and one from Murders at Karlov Manor Commander, called Follow The Bodies.</x:t>
  </x:si>
  <x:si>
    <x:t xml:space="preserve">o:"Gravestorm"</x:t>
  </x:si>
  <x:si>
    <x:t xml:space="preserve">Keywords!A86:C86</x:t>
  </x:si>
  <x:si>
    <x:t xml:space="preserve">Haunt</x:t>
  </x:si>
  <x:si>
    <x:t xml:space="preserve">Haunt appears on creatures, instants, and sorceries. When a creature with haunt dies or when an instant or sorcery with haunt resolves, the ability triggers causing the card to be exiled "haunting" a creature. Haunt allows a player to use an effect twice: once when the spell is played (or the creature enters the battlefield), and once when the creature it haunts is put into a graveyard. Haunt appears in Guildpact and is the ability associated with the Orzhov Syndicate.</x:t>
  </x:si>
  <x:si>
    <x:t xml:space="preserve">o:"Haunt"</x:t>
  </x:si>
  <x:si>
    <x:t xml:space="preserve">Keywords!A87:C87</x:t>
  </x:si>
  <x:si>
    <x:t xml:space="preserve">Hideaway</x:t>
  </x:si>
  <x:si>
    <x:t xml:space="preserve">When a card with hideaway enters the battlefield, its controller chooses one card from the top four of their library and exiles that card face-down. Each card with hideaway also has another ability that allows its controller to play the "hidden" card, without paying its mana cost, under certain conditions. Hideaway appears only on a cycle of lands from Lorwyn, along with a creature from Modern Horizons, and more recently on a cycle of enchantments from Streets of New Capenna.</x:t>
  </x:si>
  <x:si>
    <x:t xml:space="preserve">o:"Hideaway"</x:t>
  </x:si>
  <x:si>
    <x:t xml:space="preserve">Keywords!A88:C88</x:t>
  </x:si>
  <x:si>
    <x:t xml:space="preserve">Horsemanship</x:t>
  </x:si>
  <x:si>
    <x:t xml:space="preserve">Horsemanship parallels flying in that creatures with horsemanship can only be blocked by other creatures with horsemanship. There is no exception analogous to reach. Horsemanship is mostly unique to the Portal Three Kingdoms set, so very few cards make use of the keyword.</x:t>
  </x:si>
  <x:si>
    <x:t xml:space="preserve">o:"Horsemanship"</x:t>
  </x:si>
  <x:si>
    <x:t xml:space="preserve">Keywords!A89:C89</x:t>
  </x:si>
  <x:si>
    <x:t xml:space="preserve">Infect</x:t>
  </x:si>
  <x:si>
    <x:t xml:space="preserve">Creatures with infect deal damage to other creatures in the form of −1/−1 counters, similar to wither, and to players in the form of poison counters. A player who receives 10 poison counters loses the game. Infect appears on Phyrexian cards in the Scars of Mirrodin block.</x:t>
  </x:si>
  <x:si>
    <x:t xml:space="preserve">o:"Infect"</x:t>
  </x:si>
  <x:si>
    <x:t xml:space="preserve">Keywords!A90:C90</x:t>
  </x:si>
  <x:si>
    <x:t xml:space="preserve">Jump-start</x:t>
  </x:si>
  <x:si>
    <x:t xml:space="preserve">Spells with jump-start can be cast from the graveyard with the additional cost of discarding a card. After the spell leaves the stack, it is exiled. Jump-start appears in Guilds of Ravnica and is associated with the Izzet League.</x:t>
  </x:si>
  <x:si>
    <x:t xml:space="preserve">o:"Jump-start"</x:t>
  </x:si>
  <x:si>
    <x:t xml:space="preserve">Keywords!A91:C91</x:t>
  </x:si>
  <x:si>
    <x:t xml:space="preserve">Kicker</x:t>
  </x:si>
  <x:si>
    <x:t xml:space="preserve">This ability is written Kicker (cost). The kicker cost is an additional and optional cost that can be paid when the card is cast. If the card is "kicked", an ability of the card takes effect. Some cards have multiple kicker abilities; a player may choose to pay any, all, or none of these. Kicker was introduced in the Invasion block and is the returning mechanic in the Zendikar and Dominaria blocks.</x:t>
  </x:si>
  <x:si>
    <x:t xml:space="preserve">o:"Kicker"</x:t>
  </x:si>
  <x:si>
    <x:t xml:space="preserve">Keywords!A92:C92</x:t>
  </x:si>
  <x:si>
    <x:t xml:space="preserve">Level up</x:t>
  </x:si>
  <x:si>
    <x:t xml:space="preserve">This ability is written Level up (cost). Any time they could cast a sorcery, a player may activate the level up ability of a "leveler" creature to put a level counter on it. Leveler creatures increase in power and gain new abilities as they accumulate level counters, as indicated by the three striped bands in the text box. Level up appears in Rise of the Eldrazi.</x:t>
  </x:si>
  <x:si>
    <x:t xml:space="preserve">o:"Level up"</x:t>
  </x:si>
  <x:si>
    <x:t xml:space="preserve">Keywords!A93:C93</x:t>
  </x:si>
  <x:si>
    <x:t xml:space="preserve">Living weapon</x:t>
  </x:si>
  <x:si>
    <x:t xml:space="preserve">When an equipment with living weapon enters the battlefield, its controller puts a 0/0 black Germ creature token onto the battlefield then attaches that equipment to the token. All cards with living weapon give the equipped creature a toughness increase to compensate for the Germ's 0 toughness; the player may attach the equipment to a different creature, but the Germ will be instantly sent to the graveyard. Living weapon was introduced in Mirrodin Besieged and appears on Phyrexian cards.</x:t>
  </x:si>
  <x:si>
    <x:t xml:space="preserve">o:"Living weapon"</x:t>
  </x:si>
  <x:si>
    <x:t xml:space="preserve">Keywords!A94:C94</x:t>
  </x:si>
  <x:si>
    <x:t xml:space="preserve">Madness</x:t>
  </x:si>
  <x:si>
    <x:t xml:space="preserve">This ability is written Madness (cost). At the time a player discards a card with madness, they may pay its madness cost and cast the card. Madness first appeared in Torment, and the rules for madness were subtly shifted for its reappearance in Time Spiral block, where the vast majority of madness cards were black. A madness cost is usually cheaper than the normal mana cost of a card (but the Future Sight set introduced Ichor Slick whose madness cost is more expensive than its normal cost). The rules for madness were changed again when it was reintroduced for Shadows over Innistrad.</x:t>
  </x:si>
  <x:si>
    <x:t xml:space="preserve">o:"Madness"</x:t>
  </x:si>
  <x:si>
    <x:t xml:space="preserve">Keywords!A95:C95</x:t>
  </x:si>
  <x:si>
    <x:t xml:space="preserve">Manifest</x:t>
  </x:si>
  <x:si>
    <x:t xml:space="preserve">This ability is written Manifest [one or more cards], most frequently manifest the top card of your library. When the player manifests a card, the player puts it onto the battlefield face down, disguising its true identity from their opponents. While face down, it's a 2/2 colorless creature with no name, no abilities, and no creature types. Face-down cards act as creatures: they can attack and block, be targeted by spells and abilities affecting creatures, and be modified with auras and equipment. However, if the face-down card is a creature card then it can be turned face-up for its full mana cost whether it has this ability on its own or not. If the card has the morph ability, the controller can use this ability to turn the card face-up, regardless of the card's type; megamorph is treated the same way. These uses of morph and megamorph are considered 'special actions' and do not hit the stack. As always, any face-down card must be revealed at the end of the game or when it is moved to any zone other than the battlefield, including exile. Also, manifested cards are treated identically to morph cards in that they are distinct from one another and must be distinguishable from other manifested cards throughout the game.</x:t>
  </x:si>
  <x:si>
    <x:t xml:space="preserve">o:"Manifest"</x:t>
  </x:si>
  <x:si>
    <x:t xml:space="preserve">Keywords!A96:C96</x:t>
  </x:si>
  <x:si>
    <x:t xml:space="preserve">Meld</x:t>
  </x:si>
  <x:si>
    <x:t xml:space="preserve">Meld is a keyword action where two specific cards can be exiled and then returned to the battlefield combined into a single creature. This mechanic is featured in the Eldritch Moon set expansion, among others.</x:t>
  </x:si>
  <x:si>
    <x:t xml:space="preserve">o:"Meld"</x:t>
  </x:si>
  <x:si>
    <x:t xml:space="preserve">Keywords!A97:C97</x:t>
  </x:si>
  <x:si>
    <x:t xml:space="preserve">Mentor</x:t>
  </x:si>
  <x:si>
    <x:t xml:space="preserve">Whenever a creature with mentor attacks, a +1/+1 counter may be placed on another attacking creature with lesser power. If a creature has multiple instances of mentor, each triggers separately. This ability is featured in the Guilds of Ravnica expansion and is associated with the Boros Legion.</x:t>
  </x:si>
  <x:si>
    <x:t xml:space="preserve">o:"Mentor"</x:t>
  </x:si>
  <x:si>
    <x:t xml:space="preserve">Keywords!A98:C98</x:t>
  </x:si>
  <x:si>
    <x:t xml:space="preserve">Miracle</x:t>
  </x:si>
  <x:si>
    <x:t xml:space="preserve">This ability is written Miracle (cost). If the first card a player draws during any turn has miracle, they may reveal the card. If the card is revealed, the player may then cast the card for its miracle cost. Miracle appears in Avacyn Restored. Cards with miracle have a special border that appears as if the art is bathed in light.</x:t>
  </x:si>
  <x:si>
    <x:t xml:space="preserve">o:"Miracle"</x:t>
  </x:si>
  <x:si>
    <x:t xml:space="preserve">Keywords!A99:C99</x:t>
  </x:si>
  <x:si>
    <x:t xml:space="preserve">Modular</x:t>
  </x:si>
  <x:si>
    <x:t xml:space="preserve">This ability is written Modular x. A creature with modular enters the battlefield with x +1/+1 counters on it, and when that creature is put into a graveyard, its controller may put all the +1/+1 counters on that creature onto a target artifact creature. Modular appeared in Darksteel and on one card in Fifth Dawn (Arcbound Wanderer). Modern Horizons 2 added 8 new creatures with Modular and even a land with it.</x:t>
  </x:si>
  <x:si>
    <x:t xml:space="preserve">o:"Modular"</x:t>
  </x:si>
  <x:si>
    <x:t xml:space="preserve">Keywords!A100:C100</x:t>
  </x:si>
  <x:si>
    <x:t xml:space="preserve">Monstrosity</x:t>
  </x:si>
  <x:si>
    <x:t xml:space="preserve">This ability is written (Cost): Monstrosity x. If a creature is not monstrous yet, this ability makes that creatures monstrous and it gets x +1/+1 counters. Some creatures with this ability gain an additional effect once they become monstrous.</x:t>
  </x:si>
  <x:si>
    <x:t xml:space="preserve">o:"Monstrosity"</x:t>
  </x:si>
  <x:si>
    <x:t xml:space="preserve">Keywords!A101:C101</x:t>
  </x:si>
  <x:si>
    <x:t xml:space="preserve">Morph</x:t>
  </x:si>
  <x:si>
    <x:t xml:space="preserve">This ability is written Morph (cost). A card with morph may be cast face-down by paying 3 generic mana. While face-down, the creature is a colorless, nameless and typeless 2/2 creature. At any time, a player may pay the creature's morph cost and turn the card face-up. Many cards with morph have additional abilities when they are turned face-up. Morph was introduced in the Onslaught block. Only cards with morph may be played face-down. If a card without morph is turned face-down by an effect, it cannot be turned face-up (unless the effect specified otherwise), because it has no morph ability with which to do so. At the end of the game, or whenever a face down creature would leave the battlefield, it is revealed to all players. In addition to providing information to players, this ensures that players do not cheat by playing cards without morph face-down.</x:t>
  </x:si>
  <x:si>
    <x:t xml:space="preserve">o:"Morph"</x:t>
  </x:si>
  <x:si>
    <x:t xml:space="preserve">Keywords!A102:C102</x:t>
  </x:si>
  <x:si>
    <x:t xml:space="preserve">Multikicker</x:t>
  </x:si>
  <x:si>
    <x:t xml:space="preserve">Multikicker is a variant of the kicker keyword, written Multikicker (cost), where the cost can be paid any number of times when the card is played, as opposed to the limit of one as defined in the original kicker ability. Cards with multikicker have an ability that references the number of times the card was "kicked". Multikicker appears in the Worldwake set.</x:t>
  </x:si>
  <x:si>
    <x:t xml:space="preserve">o:"Multikicker"</x:t>
  </x:si>
  <x:si>
    <x:t xml:space="preserve">Keywords!A103:C103</x:t>
  </x:si>
  <x:si>
    <x:t xml:space="preserve">Mutate</x:t>
  </x:si>
  <x:si>
    <x:t xml:space="preserve">If the player casts a spell for its mutate cost, they put it over or under a non-Human creature they own. The creature mutates into the creature on top plus all abilities from under it.</x:t>
  </x:si>
  <x:si>
    <x:t xml:space="preserve">o:"Mutate"</x:t>
  </x:si>
  <x:si>
    <x:t xml:space="preserve">Keywords!A104:C104</x:t>
  </x:si>
  <x:si>
    <x:t xml:space="preserve">Ninjutsu</x:t>
  </x:si>
  <x:si>
    <x:t xml:space="preserve">This ability is written Ninjutsu (cost). If a player has a Ninja in hand and controls an attacking creature the opponent has declined to block, they may pay its ninjutsu cost, return the unblocked creature to their hand, and put the Ninja onto the battlefield tapped and attacking. Ninjutsu appears in Betrayers of Kamigawa and Kamigawa: Neon Dynasty and only on Ninja creatures.</x:t>
  </x:si>
  <x:si>
    <x:t xml:space="preserve">o:"Ninjutsu"</x:t>
  </x:si>
  <x:si>
    <x:t xml:space="preserve">Keywords!A105:C105</x:t>
  </x:si>
  <x:si>
    <x:t xml:space="preserve">Offering</x:t>
  </x:si>
  <x:si>
    <x:t xml:space="preserve">This ability is written (Creature type) offering. A player may cast a creature with the offering ability as an instant (similar to flash) but must sacrifice a creature of the stated type and pay the difference in mana cost between the sacrificed creature and the creature with offering. Offering only appears on a cycle of five legendary Spirits in Betrayers of Kamigawa.</x:t>
  </x:si>
  <x:si>
    <x:t xml:space="preserve">o:"Offering"</x:t>
  </x:si>
  <x:si>
    <x:t xml:space="preserve">Keywords!A106:C106</x:t>
  </x:si>
  <x:si>
    <x:t xml:space="preserve">Overload</x:t>
  </x:si>
  <x:si>
    <x:t xml:space="preserve">Overload is a keyword for instants and sorceries used by the Izzet League in Return to Ravnica. By paying the more-expensive overload cost instead of the regular mana cost, the spell can affect all possible targets, rather than a single one.</x:t>
  </x:si>
  <x:si>
    <x:t xml:space="preserve">o:"Overload"</x:t>
  </x:si>
  <x:si>
    <x:t xml:space="preserve">Keywords!A107:C107</x:t>
  </x:si>
  <x:si>
    <x:t xml:space="preserve">Persist</x:t>
  </x:si>
  <x:si>
    <x:t xml:space="preserve">When a creature with persist is put into a graveyard from the battlefield, if it had no −1/−1 counters on it, it is returned to the battlefield under its owner's control with a −1/−1 counter on it. Persist appears in Shadowmoor and Eventide.</x:t>
  </x:si>
  <x:si>
    <x:t xml:space="preserve">o:"Persist"</x:t>
  </x:si>
  <x:si>
    <x:t xml:space="preserve">Keywords!A108:C108</x:t>
  </x:si>
  <x:si>
    <x:t xml:space="preserve">Plot</x:t>
  </x:si>
  <x:si>
    <x:t xml:space="preserve">This ability is written Plot (cost) and has appeared natively on creatures, enchantments, and sorceries. When a card with this ability is in its owner's hand, they may pay its plot cost and exile it as a special action. They may then cast it without paying its mana cost on a later turn, as a sorcery. It was introduced in the Outlaws of Thunder Junction set. Some cards such as Jace Reawakened can plot cards even if they have no plot cost.</x:t>
  </x:si>
  <x:si>
    <x:t xml:space="preserve">o:"Plot"</x:t>
  </x:si>
  <x:si>
    <x:t xml:space="preserve">Keywords!A109:C109</x:t>
  </x:si>
  <x:si>
    <x:t xml:space="preserve">Poisonous</x:t>
  </x:si>
  <x:si>
    <x:t xml:space="preserve">This creature ability, written Poisonous x, originated in the Legends set. Whenever a creature with poisonous deals combat damage to a player, that player gets x poison counters. A player with ten poison counters loses the game. Cards with the ability appeared in small quantities up to the release of Fifth Edition, after which the ability was retired until Time Spiral block. Poisonous was keyworded in Future Sight, though older cards with the ability have not been changed to have poisonous due to minor text variations between cards. This ability was supplanted by the infect ability of the Scars of Mirrodin block.</x:t>
  </x:si>
  <x:si>
    <x:t xml:space="preserve">o:"Poisonous"</x:t>
  </x:si>
  <x:si>
    <x:t xml:space="preserve">Keywords!A110:C110</x:t>
  </x:si>
  <x:si>
    <x:t xml:space="preserve">Populate</x:t>
  </x:si>
  <x:si>
    <x:t xml:space="preserve">Populate is a keyword action introduced in Return to Ravnica that appears on green and white cards of the Selesnya Conclave. To populate, a player puts a token onto the battlefield that's a copy of a creature token they control.</x:t>
  </x:si>
  <x:si>
    <x:t xml:space="preserve">o:"Populate"</x:t>
  </x:si>
  <x:si>
    <x:t xml:space="preserve">Keywords!A111:C111</x:t>
  </x:si>
  <x:si>
    <x:t xml:space="preserve">Proliferate</x:t>
  </x:si>
  <x:si>
    <x:t xml:space="preserve">Proliferate is a keyword action introduced in Scars of Mirrodin. To proliferate, a player chooses any number of permanents and/or players with a counter (e.g. a Planeswalker loyalty counter, a +1/+1 counter, a poison counter), then gives each exactly one additional counter of a kind that permanent or player already has.</x:t>
  </x:si>
  <x:si>
    <x:t xml:space="preserve">o:"Proliferate"</x:t>
  </x:si>
  <x:si>
    <x:t xml:space="preserve">Keywords!A112:C112</x:t>
  </x:si>
  <x:si>
    <x:t xml:space="preserve">Provoke</x:t>
  </x:si>
  <x:si>
    <x:t xml:space="preserve">When a creature with provoke attacks, its controller may force a target creature to block it, if able. If a creature has multiple instances of provoke, each triggers separately. Provoke appears in the Legions set.</x:t>
  </x:si>
  <x:si>
    <x:t xml:space="preserve">o:"Provoke"</x:t>
  </x:si>
  <x:si>
    <x:t xml:space="preserve">Keywords!A113:C113</x:t>
  </x:si>
  <x:si>
    <x:t xml:space="preserve">Prowl</x:t>
  </x:si>
  <x:si>
    <x:t xml:space="preserve">This ability is written Prowl (cost). A player may cast a creature with prowl for its prowl cost if a creature sharing a creature type with the creature dealt combat damage to a player this turn. Prowl only appears in Morningtide on Rogue creatures.</x:t>
  </x:si>
  <x:si>
    <x:t xml:space="preserve">o:"Prowl"</x:t>
  </x:si>
  <x:si>
    <x:t xml:space="preserve">Keywords!A114:C114</x:t>
  </x:si>
  <x:si>
    <x:t xml:space="preserve">Radiation</x:t>
  </x:si>
  <x:si>
    <x:t xml:space="preserve">This keyword appears on cards that deal radiation counters to a player. It is unique to Magic: The Gathering - Fallout. At the beginning of a player's precombat main phase, if they have radiation counters, they will mill (put cards from the top of their library into their graveyard) that many cards and lose life equal to the number of nonland cards put into their graveyard that way. Then, they lose that many radiation counters.</x:t>
  </x:si>
  <x:si>
    <x:t xml:space="preserve">o:"Radiation"</x:t>
  </x:si>
  <x:si>
    <x:t xml:space="preserve">Keywords!A115:C115</x:t>
  </x:si>
  <x:si>
    <x:t xml:space="preserve">Rampage</x:t>
  </x:si>
  <x:si>
    <x:t xml:space="preserve">This creature ability, written Rampage x, originated in the Legends set. Whenever this creature becomes blocked, it gets +x/+x until end of turn for each creature blocking it beyond the first. Cards with the ability appeared in small quantities up to the release of Mirage block, after which the ability was retired until Time Spiral block. It was retired again after Future Sight.</x:t>
  </x:si>
  <x:si>
    <x:t xml:space="preserve">o:"Rampage"</x:t>
  </x:si>
  <x:si>
    <x:t xml:space="preserve">Keywords!A116:C116</x:t>
  </x:si>
  <x:si>
    <x:t xml:space="preserve">Ravenous</x:t>
  </x:si>
  <x:si>
    <x:t xml:space="preserve">Cards with ravenous, written Ravenous x, enter the battlefield with x +1/+1 counters. If x is 5 or more, its controller also draws a card. Ravenous is mostly unique to the Warhammer 40,000 Commander Decks.</x:t>
  </x:si>
  <x:si>
    <x:t xml:space="preserve">o:"Ravenous"</x:t>
  </x:si>
  <x:si>
    <x:t xml:space="preserve">Keywords!A117:C117</x:t>
  </x:si>
  <x:si>
    <x:t xml:space="preserve">Rebound</x:t>
  </x:si>
  <x:si>
    <x:t xml:space="preserve">Instants and sorceries with rebound are exiled as they resolve if cast from the hand. If this happens, at the beginning of the player's next upkeep, that player may cast the spell again from exile without paying its mana cost. Rebound appeared in Rise of the Eldrazi.</x:t>
  </x:si>
  <x:si>
    <x:t xml:space="preserve">o:"Rebound"</x:t>
  </x:si>
  <x:si>
    <x:t xml:space="preserve">Keywords!A118:C118</x:t>
  </x:si>
  <x:si>
    <x:t xml:space="preserve">Recover</x:t>
  </x:si>
  <x:si>
    <x:t xml:space="preserve">This ability, written Recover (cost), triggers whenever a creature is put into its owner's graveyard from the battlefield. The owner of the card with recover then may pay the recover cost, returning the card to their hand. If they don't, the card is exiled. Recover appears in Coldsnap.</x:t>
  </x:si>
  <x:si>
    <x:t xml:space="preserve">o:"Recover"</x:t>
  </x:si>
  <x:si>
    <x:t xml:space="preserve">Keywords!A119:C119</x:t>
  </x:si>
  <x:si>
    <x:t xml:space="preserve">Reinforce</x:t>
  </x:si>
  <x:si>
    <x:t xml:space="preserve">This creature ability, written Reinforce x - (cost), allows its controller to discard the card from their hand and pay the reinforce cost to put x +1/+1 counters on target creature. The ability may only be activated if the card is in its owner's hand. Reinforce appears only in Morningtide.</x:t>
  </x:si>
  <x:si>
    <x:t xml:space="preserve">o:"Reinforce"</x:t>
  </x:si>
  <x:si>
    <x:t xml:space="preserve">Keywords!A120:C120</x:t>
  </x:si>
  <x:si>
    <x:t xml:space="preserve">Renown</x:t>
  </x:si>
  <x:si>
    <x:t xml:space="preserve">This ability is written Renown x. When this creature deals combat damage to a player, if it isn't renowned, put x +1/+1 counters on it and it becomes renowned. Renown appears in Magic Origins.</x:t>
  </x:si>
  <x:si>
    <x:t xml:space="preserve">o:"Renown"</x:t>
  </x:si>
  <x:si>
    <x:t xml:space="preserve">Keywords!A121:C121</x:t>
  </x:si>
  <x:si>
    <x:t xml:space="preserve">Replicate</x:t>
  </x:si>
  <x:si>
    <x:t xml:space="preserve">This spell ability, written Replicate (cost), allows its controller to pay the replicate cost any number of times while casting it. For each time the replicate cost is paid, the controller copies the spell. Replicate appears in Guildpact and is the ability associated with the Izzet League.</x:t>
  </x:si>
  <x:si>
    <x:t xml:space="preserve">o:"Replicate"</x:t>
  </x:si>
  <x:si>
    <x:t xml:space="preserve">Keywords!A122:C122</x:t>
  </x:si>
  <x:si>
    <x:t xml:space="preserve">Retrace</x:t>
  </x:si>
  <x:si>
    <x:t xml:space="preserve">Instants and sorceries with retrace can be cast from the player's graveyard, for the additional cost of discarding a land. Retrace appears in Eventide.</x:t>
  </x:si>
  <x:si>
    <x:t xml:space="preserve">o:"Retrace"</x:t>
  </x:si>
  <x:si>
    <x:t xml:space="preserve">Keywords!A123:C123</x:t>
  </x:si>
  <x:si>
    <x:t xml:space="preserve">Riot</x:t>
  </x:si>
  <x:si>
    <x:t xml:space="preserve">When a creature with riot enters the battlefield, its controller can choose to give it a +1/+1 counter or haste. If a creature has multiple instances of riot, each is treated separately. This ability is featured in Ravnica Allegiance and is associated with the Gruul Clans.</x:t>
  </x:si>
  <x:si>
    <x:t xml:space="preserve">o:"Riot"</x:t>
  </x:si>
  <x:si>
    <x:t xml:space="preserve">Keywords!A124:C124</x:t>
  </x:si>
  <x:si>
    <x:t xml:space="preserve">Ripple</x:t>
  </x:si>
  <x:si>
    <x:t xml:space="preserve">This creature ability, written Ripple x, triggers whenever the spell is cast. That spell's controller reveals the top x cards of their library. If any of those cards share a name with the ripple spell, those cards may be cast without paying their mana costs. Ripple only appears in Coldsnap. It is mostly used with common cards, of which a player will commonly have many copies in a deck.</x:t>
  </x:si>
  <x:si>
    <x:t xml:space="preserve">o:"Ripple"</x:t>
  </x:si>
  <x:si>
    <x:t xml:space="preserve">Keywords!A125:C125</x:t>
  </x:si>
  <x:si>
    <x:t xml:space="preserve">Saddle</x:t>
  </x:si>
  <x:si>
    <x:t xml:space="preserve">Saddle is a keyword on the new card type "Mount." It is written Saddle x. A player may tap any number of creatures other than the Mount with total power x or greater. When saddled, the Mount gains additional abilities.</x:t>
  </x:si>
  <x:si>
    <x:t xml:space="preserve">o:"Saddle"</x:t>
  </x:si>
  <x:si>
    <x:t xml:space="preserve">Keywords!A126:C126</x:t>
  </x:si>
  <x:si>
    <x:t xml:space="preserve">Scavenge</x:t>
  </x:si>
  <x:si>
    <x:t xml:space="preserve">This creature ability, written Scavenge (cost), allows its controller to exile a creature from their graveyard and pay the scavenge cost to put a number of +1/+1 counters on target creature equal to the scavenged creature's power. The ability may only be activated if the card is in its owner's graveyard, and only any time they could cast a sorcery. Scavenge appears in Return to Ravnica and is the ability associated with the Golgari Swarm.</x:t>
  </x:si>
  <x:si>
    <x:t xml:space="preserve">o:"Scavenge"</x:t>
  </x:si>
  <x:si>
    <x:t xml:space="preserve">Keywords!A127:C127</x:t>
  </x:si>
  <x:si>
    <x:t xml:space="preserve">Shadow</x:t>
  </x:si>
  <x:si>
    <x:t xml:space="preserve">Creatures with shadow can only block or be blocked by other creatures with shadow, similar to an inter-dimensional existence. Shadow appears in the Tempest block.</x:t>
  </x:si>
  <x:si>
    <x:t xml:space="preserve">o:"Shadow"</x:t>
  </x:si>
  <x:si>
    <x:t xml:space="preserve">Keywords!A128:C128</x:t>
  </x:si>
  <x:si>
    <x:t xml:space="preserve">Skulk</x:t>
  </x:si>
  <x:si>
    <x:t xml:space="preserve">A creature with skulk can't be blocked by creatures with greater power. Skulk was introduced in Shadows over Innistrad.</x:t>
  </x:si>
  <x:si>
    <x:t xml:space="preserve">o:"Skulk"</x:t>
  </x:si>
  <x:si>
    <x:t xml:space="preserve">Keywords!A129:C129</x:t>
  </x:si>
  <x:si>
    <x:t xml:space="preserve">Soulbond</x:t>
  </x:si>
  <x:si>
    <x:t xml:space="preserve">When a creature with soulbond enters the battlefield or another creature enters the battlefield while it's on the battlefield, the player may pair them (as long as both are unpaired). While the two creatures are paired, both of them receive bonuses that are defined on the card with soulbond. Soulbond appears in Avacyn Restored.</x:t>
  </x:si>
  <x:si>
    <x:t xml:space="preserve">o:"Soulbond"</x:t>
  </x:si>
  <x:si>
    <x:t xml:space="preserve">Keywords!A130:C130</x:t>
  </x:si>
  <x:si>
    <x:t xml:space="preserve">Soulshift</x:t>
  </x:si>
  <x:si>
    <x:t xml:space="preserve">This creature ability, written Soulshift x, triggers when this creature is put into a graveyard from the battlefield. Its controller may return target Spirit card with mana value x or less from their graveyard to their hand. If a creature has multiple instances of soulshift, each triggers separately. Soulshift appears in Champions of Kamigawa and only on Spirit creatures.</x:t>
  </x:si>
  <x:si>
    <x:t xml:space="preserve">o:"Soulshift"</x:t>
  </x:si>
  <x:si>
    <x:t xml:space="preserve">Keywords!A131:C131</x:t>
  </x:si>
  <x:si>
    <x:t xml:space="preserve">Spectacle</x:t>
  </x:si>
  <x:si>
    <x:t xml:space="preserve">Spells with spectacle, written Spectacle (cost), may be cast for their spectacle cost if an opponent lost life this turn. This ability is featured in the Ravnica Allegiance expansion and is associated with the Cult of Rakdos.</x:t>
  </x:si>
  <x:si>
    <x:t xml:space="preserve">o:"Spectacle"</x:t>
  </x:si>
  <x:si>
    <x:t xml:space="preserve">Keywords!A132:C132</x:t>
  </x:si>
  <x:si>
    <x:t xml:space="preserve">Splice</x:t>
  </x:si>
  <x:si>
    <x:t xml:space="preserve">This ability, written Splice onto (card type) (cost), may be used as an additional cost when the player casts a spell of the specified card type. Instead of being played themselves, spliced cards add their text boxes to the card being played. Splice appears in Champions of Kamigawa and only as "splice onto Arcane". Splice was revised and reprinted in Modern Horizons as "splice onto instant or sorcery".</x:t>
  </x:si>
  <x:si>
    <x:t xml:space="preserve">o:"Splice"</x:t>
  </x:si>
  <x:si>
    <x:t xml:space="preserve">Keywords!A133:C133</x:t>
  </x:si>
  <x:si>
    <x:t xml:space="preserve">Split second</x:t>
  </x:si>
  <x:si>
    <x:t xml:space="preserve">This spell ability was introduced in Time Spiral. While a spell with split second is on the stack, players may not cast other spells or activate abilities that are not mana abilities. This is typically intended to prevent the spell from being countered.</x:t>
  </x:si>
  <x:si>
    <x:t xml:space="preserve">o:"Split second"</x:t>
  </x:si>
  <x:si>
    <x:t xml:space="preserve">Keywords!A134:C134</x:t>
  </x:si>
  <x:si>
    <x:t xml:space="preserve">Squad</x:t>
  </x:si>
  <x:si>
    <x:t xml:space="preserve">This creature ability, written Squad (cost), allows its controller to pay the squad cost any number of times when the spell is cast. When the creature enters the battlefield, the player creates that many tokens that are a copy of the squad creature. Squad is mostly unique to the Warhammer 40,000 Commander Decks.</x:t>
  </x:si>
  <x:si>
    <x:t xml:space="preserve">o:"Squad"</x:t>
  </x:si>
  <x:si>
    <x:t xml:space="preserve">Keywords!A135:C135</x:t>
  </x:si>
  <x:si>
    <x:t xml:space="preserve">Storm</x:t>
  </x:si>
  <x:si>
    <x:t xml:space="preserve">Storm is a spell ability that was introduced in the Scourge set. When a spell with storm is cast, the player who casts it copies the spell for each spell that had already been cast that turn.</x:t>
  </x:si>
  <x:si>
    <x:t xml:space="preserve">o:"Storm"</x:t>
  </x:si>
  <x:si>
    <x:t xml:space="preserve">Keywords!A136:C136</x:t>
  </x:si>
  <x:si>
    <x:t xml:space="preserve">Sunburst</x:t>
  </x:si>
  <x:si>
    <x:t xml:space="preserve">A spell with sunburst enters the battlefield with either +1/+1 counters (if the spell is a creature) or charge counters (if it is not) for each different color of mana used to pay its cost. A hybrid or Phyrexian mana symbol in a card's cost counts towards sunburst only in the color(s) paid. Sunburst only appears in the Fifth Dawn set.</x:t>
  </x:si>
  <x:si>
    <x:t xml:space="preserve">o:"Sunburst"</x:t>
  </x:si>
  <x:si>
    <x:t xml:space="preserve">Keywords!A137:C137</x:t>
  </x:si>
  <x:si>
    <x:t xml:space="preserve">Support</x:t>
  </x:si>
  <x:si>
    <x:t xml:space="preserve">Support, written Support x, gives up to x +1/+1 counters, distributed among any number of other target creatures.</x:t>
  </x:si>
  <x:si>
    <x:t xml:space="preserve">o:"Support"</x:t>
  </x:si>
  <x:si>
    <x:t xml:space="preserve">Keywords!A138:C138</x:t>
  </x:si>
  <x:si>
    <x:t xml:space="preserve">Surge</x:t>
  </x:si>
  <x:si>
    <x:t xml:space="preserve">This ability is written Surge (cost). A player may cast a spell for its surge cost if they or a teammate has cast another spell this turn. Surge was introduced in Oath of the Gatewatch.</x:t>
  </x:si>
  <x:si>
    <x:t xml:space="preserve">o:"Surge"</x:t>
  </x:si>
  <x:si>
    <x:t xml:space="preserve">Keywords!A139:C139</x:t>
  </x:si>
  <x:si>
    <x:t xml:space="preserve">Surveil</x:t>
  </x:si>
  <x:si>
    <x:t xml:space="preserve">Surveil is a keyword action that was introduced in Guilds of Ravnica and is associated with House Dimir. Surveil x instructs a player to look at the top x cards of their library, put any number of them into their graveyard, and put the rest back on top of their library in any order. Surveil is similar to scry, although with a graveyard-based strategy it may be more advantageous.</x:t>
  </x:si>
  <x:si>
    <x:t xml:space="preserve">o:"Surveil"</x:t>
  </x:si>
  <x:si>
    <x:t xml:space="preserve">Keywords!A140:C140</x:t>
  </x:si>
  <x:si>
    <x:t xml:space="preserve">Suspend</x:t>
  </x:si>
  <x:si>
    <x:t xml:space="preserve">This ability is written Suspend x — (cost). Any time a player could cast a spell with suspend, they may instead pay its suspend cost to exile it with x time counters on it. The player removes a time counter every time their upkeep step begins. Other spells or effects can add or remove time counters from suspended cards. When the last counter is removed, the spell is cast without paying its mana cost and, if it is a creature, it gains haste. Cards may be given suspend and have time counters put on them when they are exiled by an effect. In particular, a cycle of cards from the Future Sight set can "re-suspend" themselves after they resolve. Suspend appears in the Time Spiral block.</x:t>
  </x:si>
  <x:si>
    <x:t xml:space="preserve">o:"Suspend"</x:t>
  </x:si>
  <x:si>
    <x:t xml:space="preserve">Keywords!A141:C141</x:t>
  </x:si>
  <x:si>
    <x:t xml:space="preserve">Toxic</x:t>
  </x:si>
  <x:si>
    <x:t xml:space="preserve">This ability is written Toxic x. When a creature with toxic deals combat damage to a player, that player gets x poison counters. This was printed in Phyrexia: All Will be One and is the successor to infect, which was a replacement effect for damage.</x:t>
  </x:si>
  <x:si>
    <x:t xml:space="preserve">o:"Toxic"</x:t>
  </x:si>
  <x:si>
    <x:t xml:space="preserve">Keywords!A142:C142</x:t>
  </x:si>
  <x:si>
    <x:t xml:space="preserve">Transfigure</x:t>
  </x:si>
  <x:si>
    <x:t xml:space="preserve">This ability is written Transfigure (cost). Any time a sorcery could be cast, a player may pay a creature's transfigure cost and sacrifice it to search their deck for a creature with the same converted mana cost as the sacrificed creature and place it onto the battlefield. It is a variant on the transmute ability. This ability appears on a single timeshifted creature in Future Sight, Fleshwrither.</x:t>
  </x:si>
  <x:si>
    <x:t xml:space="preserve">o:"Transfigure"</x:t>
  </x:si>
  <x:si>
    <x:t xml:space="preserve">Keywords!A143:C143</x:t>
  </x:si>
  <x:si>
    <x:t xml:space="preserve">Transform</x:t>
  </x:si>
  <x:si>
    <x:t xml:space="preserve">Transform is a keyword action that only appears on double-faced cards. Each transform card enters the battlefield with its front face up, and when certain conditions are met, the player turns the card over to its other face to transform it. Transform and double-faced cards were introduced in Innistrad block. All Werewolf cards from Innistrad and Dark Ascension, among other cards (mostly creatures), have the ability. Transformed cards retain any enchantments or counters placed on the front face.</x:t>
  </x:si>
  <x:si>
    <x:t xml:space="preserve">o:"Transform"</x:t>
  </x:si>
  <x:si>
    <x:t xml:space="preserve">Keywords!A144:C144</x:t>
  </x:si>
  <x:si>
    <x:t xml:space="preserve">Transmute</x:t>
  </x:si>
  <x:si>
    <x:t xml:space="preserve">This ability is written Transmute (cost). When a sorcery could be cast, a player may pay the transmute cost of a card in their hand and discard it, then search their deck for a card with the same converted mana cost as the discard and put that card in their hand. Transmute appears in Ravnica: City of Guilds and is the ability associated with House Dimir.</x:t>
  </x:si>
  <x:si>
    <x:t xml:space="preserve">o:"Transmute"</x:t>
  </x:si>
  <x:si>
    <x:t xml:space="preserve">Keywords!A145:C145</x:t>
  </x:si>
  <x:si>
    <x:t xml:space="preserve">Typecycling</x:t>
  </x:si>
  <x:si>
    <x:t xml:space="preserve">Typecycling is a variant of cycling that is worded (card type) cycling (cost). When the ability is used the player discards the card, then may search their deck for any card containing the indicated subtype and put it in their hand. It first appeared in Scourge as "Landcycling", indicating cards which could search for basic lands. Typecycling was redefined with the release of Future Sight to allow searching for other types of cards, and also appears in Alara block. Typecycling activates anything that would trigger on cycling.</x:t>
  </x:si>
  <x:si>
    <x:t xml:space="preserve">o:"Typecycling"</x:t>
  </x:si>
  <x:si>
    <x:t xml:space="preserve">Keywords!A146:C146</x:t>
  </x:si>
  <x:si>
    <x:t xml:space="preserve">Umbra armor</x:t>
  </x:si>
  <x:si>
    <x:t xml:space="preserve">Umbra armor is an ability which appears on Auras. When the enchanted creature would be destroyed, an attached Aura with totem armor is destroyed instead. Umbra armor appears in Rise of the Eldrazi. Umbra armor was previously called Totem armor and was changed to avoid culturally insensitive terminology.</x:t>
  </x:si>
  <x:si>
    <x:t xml:space="preserve">o:"Umbra armor"</x:t>
  </x:si>
  <x:si>
    <x:t xml:space="preserve">Keywords!A147:C147</x:t>
  </x:si>
  <x:si>
    <x:t xml:space="preserve">Undying</x:t>
  </x:si>
  <x:si>
    <x:t xml:space="preserve">When a creature with undying is put into a graveyard from the battlefield, if it had no +1/+1 counters on it, it is returned to the battlefield under its owner's control with a +1/+1 counter. Undying first appeared in Dark Ascension. Undying is very similar to persist.</x:t>
  </x:si>
  <x:si>
    <x:t xml:space="preserve">o:"Undying"</x:t>
  </x:si>
  <x:si>
    <x:t xml:space="preserve">Keywords!A148:C148</x:t>
  </x:si>
  <x:si>
    <x:t xml:space="preserve">Unearth</x:t>
  </x:si>
  <x:si>
    <x:t xml:space="preserve">This ability is written Unearth (cost). If a creature with unearth is in a player's graveyard, any time a sorcery could be played, that player may pay its unearth cost to return that creature to the battlefield. The creature gains haste and is exiled at the beginning of the next end step, or if it would otherwise leave the battlefield. Unearth appears on Grixis cards in the Alara block.</x:t>
  </x:si>
  <x:si>
    <x:t xml:space="preserve">o:"Unearth"</x:t>
  </x:si>
  <x:si>
    <x:t xml:space="preserve">Keywords!A149:C149</x:t>
  </x:si>
  <x:si>
    <x:t xml:space="preserve">Unleash</x:t>
  </x:si>
  <x:si>
    <x:t xml:space="preserve">A player may choose to have a creature with unleash enter the battlefield with a +1/+1 counter on it. If a creature with unleash has a +1/+1 counter on it (whether put there by its own ability or another source), that creature cannot block. Unleash appears on red and black cards of the Cult of Rakdos in Return to Ravnica.</x:t>
  </x:si>
  <x:si>
    <x:t xml:space="preserve">o:"Unleash"</x:t>
  </x:si>
  <x:si>
    <x:t xml:space="preserve">Keywords!A150:C150</x:t>
  </x:si>
  <x:si>
    <x:t xml:space="preserve">Vanishing</x:t>
  </x:si>
  <x:si>
    <x:t xml:space="preserve">This ability is written Vanishing x. A permanent with vanishing enters the battlefield with x time counters on it. At the beginning of its controller's upkeep, a time counter is removed. When the last counter is removed, the card is sacrificed. Vanishing was introduced in Time Spiral and is a modification of fading which uses time counters to interact with other Time Spiral cards.</x:t>
  </x:si>
  <x:si>
    <x:t xml:space="preserve">o:"Vanishing"</x:t>
  </x:si>
  <x:si>
    <x:t xml:space="preserve">Keywords!A151:C151</x:t>
  </x:si>
  <x:si>
    <x:t xml:space="preserve">Ward</x:t>
  </x:si>
  <x:si>
    <x:t xml:space="preserve">Whenever a permanent with ward becomes the target of a spell or ability an opponent controls, the ability is countered unless that player pays the associated Ward cost.</x:t>
  </x:si>
  <x:si>
    <x:t xml:space="preserve">o:"Ward"</x:t>
  </x:si>
  <x:si>
    <x:t xml:space="preserve">Keywords!A152:C152</x:t>
  </x:si>
  <x:si>
    <x:t xml:space="preserve">Wither</x:t>
  </x:si>
  <x:si>
    <x:t xml:space="preserve">Wither is a replacement ability that modifies damage. Nonlethal damage marked on a creature normally goes away at the end of the turn. However, whenever a source with wither deals damage to a creature, that creature receives a number of −1/−1 counters equal to the amount of damage dealt to it. When it deals damage to a player, that player will receive regular damage unlike infect. Wither was introduced in Shadowmoor.</x:t>
  </x:si>
  <x:si>
    <x:t xml:space="preserve">o:"Wither"</x:t>
  </x:si>
  <x:si>
    <x:t xml:space="preserve">Keywords!A153:C153</x:t>
  </x:si>
  <x:si>
    <x:t xml:space="preserve">Ability Words</x:t>
  </x:si>
  <x:si>
    <x:t xml:space="preserve">Addendum</x:t>
  </x:si>
  <x:si>
    <x:t xml:space="preserve">Cards with addendum have additional effects if they are cast during their controller's main phase. All cards with addendum are either instants or permanents with flash. This ability is first seen in Ravnica Allegiance and is usually associated with the Azorius Senate.</x:t>
  </x:si>
  <x:si>
    <x:t xml:space="preserve">o:"Addendum"</x:t>
  </x:si>
  <x:si>
    <x:t xml:space="preserve">Keywords!A154:C154</x:t>
  </x:si>
  <x:si>
    <x:t xml:space="preserve">Battalion</x:t>
  </x:si>
  <x:si>
    <x:t xml:space="preserve">Battalion is a creature ability word which gives an advantage whenever the creature attacks with at least two other creatures. It was designed by a contestant during The Great Designer Search II and appears in Gatecrash as the guild keyword of the Boros Legion.</x:t>
  </x:si>
  <x:si>
    <x:t xml:space="preserve">o:"Battalion"</x:t>
  </x:si>
  <x:si>
    <x:t xml:space="preserve">Keywords!A155:C155</x:t>
  </x:si>
  <x:si>
    <x:t xml:space="preserve">Bloodrush</x:t>
  </x:si>
  <x:si>
    <x:t xml:space="preserve">For a cost, bloodrush allows a creature card to be discarded to give a temporary boost to an attacking creature, equal to the discarded creature's power and toughness and also temporarily granting the discarded creature's abilities. Bloodrush appeared in Gatecrash as the guild-keyword of the Gruul Clans.</x:t>
  </x:si>
  <x:si>
    <x:t xml:space="preserve">o:"Bloodrush"</x:t>
  </x:si>
  <x:si>
    <x:t xml:space="preserve">Keywords!A156:C156</x:t>
  </x:si>
  <x:si>
    <x:t xml:space="preserve">Channel</x:t>
  </x:si>
  <x:si>
    <x:t xml:space="preserve">All cards with channel have the ability to be discarded for a cost to yield a specified effect. Channel appears in Saviors of Kamigawa on spirit creatures, and was introduced specifically for interaction with soulshift.</x:t>
  </x:si>
  <x:si>
    <x:t xml:space="preserve">o:"Channel"</x:t>
  </x:si>
  <x:si>
    <x:t xml:space="preserve">Keywords!A157:C157</x:t>
  </x:si>
  <x:si>
    <x:t xml:space="preserve">Chroma</x:t>
  </x:si>
  <x:si>
    <x:t xml:space="preserve">Chroma is an ability of a permanent or spell that checks for specific mana symbols of cards in specific zones. When a card with chroma is played, it will indicate a specified effect or characteristic-defining ability and repeat it for every color symbol in the checked zone. Chroma was first introduced in Eventide, and the Phosphorescent Feast card from Future Sight was issued errata to have the ability word.</x:t>
  </x:si>
  <x:si>
    <x:t xml:space="preserve">o:"Chroma"</x:t>
  </x:si>
  <x:si>
    <x:t xml:space="preserve">Keywords!A158:C158</x:t>
  </x:si>
  <x:si>
    <x:t xml:space="preserve">Domain</x:t>
  </x:si>
  <x:si>
    <x:t xml:space="preserve">Domain refers to an effect that may be stronger or weaker depending on the number of basic land types (Plains, Island, Swamp, Mountain, and/or Forest) among lands a player controls. The mechanic first appeared in Invasion without the keyword printed on the cards. Domain officially became an ability word in the Conflux set.</x:t>
  </x:si>
  <x:si>
    <x:t xml:space="preserve">o:"Domain"</x:t>
  </x:si>
  <x:si>
    <x:t xml:space="preserve">Keywords!A159:C159</x:t>
  </x:si>
  <x:si>
    <x:t xml:space="preserve">Enrage</x:t>
  </x:si>
  <x:si>
    <x:t xml:space="preserve">Enrage is a creature-exclusive ability word, indicating abilities that trigger whenever that creature is dealt damage. It appears in Ixalan block on white, green and red Dinosaur creatures.</x:t>
  </x:si>
  <x:si>
    <x:t xml:space="preserve">o:"Enrage"</x:t>
  </x:si>
  <x:si>
    <x:t xml:space="preserve">Keywords!A160:C160</x:t>
  </x:si>
  <x:si>
    <x:t xml:space="preserve">Fateful hour</x:t>
  </x:si>
  <x:si>
    <x:t xml:space="preserve">Cards with fateful hour gain an additional ability if controlled by a player with 5 life or less. This ability first appeared on human-themed cards in Dark Ascension.</x:t>
  </x:si>
  <x:si>
    <x:t xml:space="preserve">o:"Fateful hour"</x:t>
  </x:si>
  <x:si>
    <x:t xml:space="preserve">Keywords!A161:C161</x:t>
  </x:si>
  <x:si>
    <x:t xml:space="preserve">Ferocious</x:t>
  </x:si>
  <x:si>
    <x:t xml:space="preserve">Cards with ferocious gain an additional ability if their controller controls a creature with power four or more. This ability appears on cards belonging to the Temur clan in Khans of Tarkir and Fate Reforged.</x:t>
  </x:si>
  <x:si>
    <x:t xml:space="preserve">o:"Ferocious"</x:t>
  </x:si>
  <x:si>
    <x:t xml:space="preserve">Keywords!A162:C162</x:t>
  </x:si>
  <x:si>
    <x:t xml:space="preserve">Grandeur</x:t>
  </x:si>
  <x:si>
    <x:t xml:space="preserve">Grandeur is an ability written as Discard another card named (name of card): (effect). This was designed as a means of reducing the drawback of drawing multiple copies of the same legendary permanent. This ability appears exclusively on timeshifted legendary cards from Future Sight.</x:t>
  </x:si>
  <x:si>
    <x:t xml:space="preserve">o:"Grandeur"</x:t>
  </x:si>
  <x:si>
    <x:t xml:space="preserve">Keywords!A163:C163</x:t>
  </x:si>
  <x:si>
    <x:t xml:space="preserve">Hellbent</x:t>
  </x:si>
  <x:si>
    <x:t xml:space="preserve">Cards with the hellbent ability word have greater effects if their controller has no cards in their hand. Hellbent appears in Dissension and is associated with the Cult of Rakdos; many other cards pertaining to the Cult function better while their controller has fewer cards in hand.</x:t>
  </x:si>
  <x:si>
    <x:t xml:space="preserve">o:"Hellbent"</x:t>
  </x:si>
  <x:si>
    <x:t xml:space="preserve">Keywords!A164:C164</x:t>
  </x:si>
  <x:si>
    <x:t xml:space="preserve">Heroic</x:t>
  </x:si>
  <x:si>
    <x:t xml:space="preserve">Cards with the heroic ability word gain an advantage when targeted with a spell. Although there are many heroic effects, the most common use of this mechanic is to give a creature a +1/+1 counter. This mechanic first appeared with creatures from the Theros block.</x:t>
  </x:si>
  <x:si>
    <x:t xml:space="preserve">o:"Heroic"</x:t>
  </x:si>
  <x:si>
    <x:t xml:space="preserve">Keywords!A165:C165</x:t>
  </x:si>
  <x:si>
    <x:t xml:space="preserve">Imprint</x:t>
  </x:si>
  <x:si>
    <x:t xml:space="preserve">Imprint is an ability word which only appears on artifacts and creatures. All cards with imprint have either an activated (Cost: Effect) or triggered ability which allows the player to exile a card to grant abilities to the artifact with imprint. Imprint was introduced as a keyword in the Mirrodin block and became an ability word in the Scars of Mirrodin block.</x:t>
  </x:si>
  <x:si>
    <x:t xml:space="preserve">o:"Imprint"</x:t>
  </x:si>
  <x:si>
    <x:t xml:space="preserve">Keywords!A166:C166</x:t>
  </x:si>
  <x:si>
    <x:t xml:space="preserve">Join forces</x:t>
  </x:si>
  <x:si>
    <x:t xml:space="preserve">Join forces is an ability word geared toward multiplayer variants. An effect denoted with join forces allows all players to contribute to it, usually by paying mana, though that effect might not be mutually beneficial. Join forces appears in Commander.</x:t>
  </x:si>
  <x:si>
    <x:t xml:space="preserve">o:"Join forces"</x:t>
  </x:si>
  <x:si>
    <x:t xml:space="preserve">Keywords!A167:C167</x:t>
  </x:si>
  <x:si>
    <x:t xml:space="preserve">Kinship</x:t>
  </x:si>
  <x:si>
    <x:t xml:space="preserve">Kinship is an ability word that appears in Morningtide. All cards with kinship are creatures that check, at the beginning of their controller's upkeep, the top card of that player's deck. If it shares a creature type with the creature that has the kinship ability, the player may reveal it for a bonus effect.</x:t>
  </x:si>
  <x:si>
    <x:t xml:space="preserve">o:"Kinship"</x:t>
  </x:si>
  <x:si>
    <x:t xml:space="preserve">Keywords!A168:C168</x:t>
  </x:si>
  <x:si>
    <x:t xml:space="preserve">Landfall</x:t>
  </x:si>
  <x:si>
    <x:t xml:space="preserve">Landfall is an ability word associated with bonuses given to players for playing lands. Landfall first appeared in Zendikar with abilities of the form Whenever a land enters the battlefield under your control, (effect). The follow-up set, Worldwake, introduced a modified form of landfall on instant cards written as If a land entered the battlefield under your control this turn, (effect).</x:t>
  </x:si>
  <x:si>
    <x:t xml:space="preserve">o:"Landfall"</x:t>
  </x:si>
  <x:si>
    <x:t xml:space="preserve">Keywords!A169:C169</x:t>
  </x:si>
  <x:si>
    <x:t xml:space="preserve">Metalcraft</x:t>
  </x:si>
  <x:si>
    <x:t xml:space="preserve">Cards with the metalcraft ability word gain an additional effect while their controller controls three or more artifacts. Metalcraft appears in the Scars of Mirrodin block and is associated with the Mirran faction.</x:t>
  </x:si>
  <x:si>
    <x:t xml:space="preserve">o:"Metalcraft"</x:t>
  </x:si>
  <x:si>
    <x:t xml:space="preserve">Keywords!A170:C170</x:t>
  </x:si>
  <x:si>
    <x:t xml:space="preserve">Morbid</x:t>
  </x:si>
  <x:si>
    <x:t xml:space="preserve">Cards with the morbid ability word gain an additional effect during a turn in which a creature died. Morbid was introduced in the Innistrad block.</x:t>
  </x:si>
  <x:si>
    <x:t xml:space="preserve">o:"Morbid"</x:t>
  </x:si>
  <x:si>
    <x:t xml:space="preserve">Keywords!A171:C171</x:t>
  </x:si>
  <x:si>
    <x:t xml:space="preserve">Radiance</x:t>
  </x:si>
  <x:si>
    <x:t xml:space="preserve">The radiance ability word denotes abilities that target one permanent, but affect all permanents of the same type that share a color with the target. Radiance appears in Ravnica: City of Guilds and is associated with the Boros Legion.</x:t>
  </x:si>
  <x:si>
    <x:t xml:space="preserve">o:"Radiance"</x:t>
  </x:si>
  <x:si>
    <x:t xml:space="preserve">Keywords!A172:C172</x:t>
  </x:si>
  <x:si>
    <x:t xml:space="preserve">Raid</x:t>
  </x:si>
  <x:si>
    <x:t xml:space="preserve">A card with raid gains an additional effect if their controller attacked the turn they are played. Raid is associated with the Mardu and appears in Khans of Tarkir. It has reoccurred as a pirate mechanic in Ixalan.</x:t>
  </x:si>
  <x:si>
    <x:t xml:space="preserve">o:"Raid"</x:t>
  </x:si>
  <x:si>
    <x:t xml:space="preserve">Keywords!A173:C173</x:t>
  </x:si>
  <x:si>
    <x:t xml:space="preserve">Rally</x:t>
  </x:si>
  <x:si>
    <x:t xml:space="preserve">The "rally" mechanic was first introduced in the Battle for Zendikar set, and is a keyword given to the abilities of allies from the original Zendikar set. A creature with a rally ability triggers whenever an ally enters the battlefield under their control and gives some kind of bonus to all of that player's creatures, even non-ally creatures.</x:t>
  </x:si>
  <x:si>
    <x:t xml:space="preserve">o:"Rally"</x:t>
  </x:si>
  <x:si>
    <x:t xml:space="preserve">Keywords!A174:C174</x:t>
  </x:si>
  <x:si>
    <x:t xml:space="preserve">Shroud</x:t>
  </x:si>
  <x:si>
    <x:t xml:space="preserve">A player or permanent with shroud cannot be the target of spells or abilities (even their own). While the keyword "shroud" was introduced in Future Sight, the ability itself existed long before, first appearing on Spectral Cloak; cards which featured this ability were all issued rules errata to have or grant "shroud". Creatures with shroud are most often on blue or green cards. It had been supplanted completely by the more flexible Hexproof but has appeared sporadically, including reprinted cards (with the most recent non-Universes Beyond reprint to contain Shroud being Lightning Greaves from the set Tarkir Dragonstorm), to a reappearance in the card Smoke Bomb, from the Universes Beyond set, Assassin's Creed.</x:t>
  </x:si>
  <x:si>
    <x:t xml:space="preserve">o:"Shroud"</x:t>
  </x:si>
  <x:si>
    <x:t xml:space="preserve">Keywords!A175:C175</x:t>
  </x:si>
  <x:si>
    <x:t xml:space="preserve">Sweep</x:t>
  </x:si>
  <x:si>
    <x:t xml:space="preserve">Sweep is an ability word used on spells with effects which can be strengthened by returning any number of lands of a single basic land type to their owners' hands. Sweep only appears on four cards in Saviors of Kamigawa. Mark Rosewater has opined that labeling this mechanic with an ability word was "a mistake".</x:t>
  </x:si>
  <x:si>
    <x:t xml:space="preserve">o:"Sweep"</x:t>
  </x:si>
  <x:si>
    <x:t xml:space="preserve">Keywords!A176:C176</x:t>
  </x:si>
  <x:si>
    <x:t xml:space="preserve">Threshold</x:t>
  </x:si>
  <x:si>
    <x:t xml:space="preserve">This ability was originally written Threshold — ability. Whenever a player has seven or more cards in the graveyard, their cards gain any threshold abilities they might have. A player cannot activate an ability tied to threshold unless they have seven or more cards in the graveyard. Threshold appears in Odyssey block and on some timeshifted cards in Time Spiral. With the release of Time Spiral, Threshold ceased to be a keyworded mechanic. It was redefined to be an ability word with no rules meaning.</x:t>
  </x:si>
  <x:si>
    <x:t xml:space="preserve">o:"Threshold"</x:t>
  </x:si>
  <x:si>
    <x:t xml:space="preserve">Keywords!A177:C177</x:t>
  </x:si>
  <x:si>
    <x:t xml:space="preserve">Undergrowth</x:t>
  </x:si>
  <x:si>
    <x:t xml:space="preserve">Undergrowth provides benefits depending on the number of creatures in the player's graveyard. This mechanic appears in Guilds of Ravnica and is associated with the Golgari Swarm.</x:t>
  </x:si>
  <x:si>
    <x:t xml:space="preserve">o:"Undergrowth"</x:t>
  </x:si>
  <x:si>
    <x:t xml:space="preserve">Keywords!A178:C178</x:t>
  </x:si>
  <x:si>
    <x:t xml:space="preserve">Discontinued Keywords</x:t>
  </x:si>
  <x:si>
    <x:t xml:space="preserve">Banding</x:t>
  </x:si>
  <x:si>
    <x:t xml:space="preserve">Banding is an ability that has defensive and offensive functions. A defending player determines how combat damage is dealt by an opposing creature if at least one of the creatures blocking has banding (without banding, the attacking player determines this). An attacking player may form "bands" of creatures with banding, which may also include one non-banding creature. If one creature in the band becomes blocked, the whole band becomes blocked as well, whether or not the defender could block other creatures in the band. This can allow many small creatures to "gang up" on a single bigger creature that would survive blocking any one of these smaller creatures. Banding appears primarily in white cards. Weatherlight was the last set to print cards with banding; Mark Rosewater has since indicated that the ability was retired because "[even] the top players in the world [...] were confused by banding."</x:t>
  </x:si>
  <x:si>
    <x:t xml:space="preserve">o:"Banding"</x:t>
  </x:si>
  <x:si>
    <x:t xml:space="preserve">Keywords!A179:C179</x:t>
  </x:si>
  <x:si>
    <x:t xml:space="preserve">Bury</x:t>
  </x:si>
  <x:si>
    <x:t xml:space="preserve">The term bury or buried was used in some early sets, where it served as shorthand for a two-part effect: destroying a permanent, and preventing that permanent from regenerating. It is still functionally present in the game, with newer cards using a complete explanation for each part of the effect. (e.g. "Destroy target creature. It cannot be regenerated.") Bury is found only in sets prior to Tempest; all cards which contained the term have been issued new wording to use either a "destroy" or "sacrifice" effect.</x:t>
  </x:si>
  <x:si>
    <x:t xml:space="preserve">o:"Bury"</x:t>
  </x:si>
  <x:si>
    <x:t xml:space="preserve">Keywords!A180:C180</x:t>
  </x:si>
  <x:si>
    <x:t xml:space="preserve">Fear</x:t>
  </x:si>
  <x:si>
    <x:t xml:space="preserve">Fear is an example of "retroactive keywording", meaning it was an ability that had existed long before it was given a keyword; its eponymous card, Fear, was in the original set Limited Edition Alpha. Creatures with fear cannot be blocked except by black creatures and by artifact creatures. Fear has almost always appeared on black creatures. Fear was replaced as a viable keyword by intimidate.</x:t>
  </x:si>
  <x:si>
    <x:t xml:space="preserve">o:"Fear"</x:t>
  </x:si>
  <x:si>
    <x:t xml:space="preserve">Keywords!A181:C181</x:t>
  </x:si>
  <x:si>
    <x:t xml:space="preserve">Intimidate</x:t>
  </x:si>
  <x:si>
    <x:t xml:space="preserve">A creature with intimidate cannot be blocked except by artifact creatures and creatures that share a color with it. It first appeared in Zendikar. In 2009, intimidate was announced as an evergreen keyword to replace fear, though it did not appear in a Core Set until Hideous Visage was printed in Magic 2012. As with fear, intimidate appeared on predominantly black colors, but did appear on other colors, particularly red. With Magic Origins, intimidate was phased out and supplanted by menace.</x:t>
  </x:si>
  <x:si>
    <x:t xml:space="preserve">o:"Intimidate"</x:t>
  </x:si>
  <x:si>
    <x:t xml:space="preserve">Keywords!A182:C182</x:t>
  </x:si>
  <x:si>
    <x:t xml:space="preserve">Landhome</x:t>
  </x:si>
  <x:si>
    <x:t xml:space="preserve">This ability is written as (land type) home. A creature with landhome may only attack a player who controls a land of the specified land type, and must be sacrificed if its controller does not control at least one land of that same type. The ability was present since the Limited Editions of the game, and was first keyworded in Mirage with Kukemssa Serpent. The keyworded ability was only printed on blue cards of the "islandhome" variety. The last card to be printed with a keyworded landhome ability was Manta Ray from Weatherlight. Landhome is unique in that it is the only printed keyworded ability to later be retroactively removed from the rules. While cards which previously had landhome still feature the associated restrictions, they have been issued errata replacing the keyword "landhome" with rules text describing the abilities.</x:t>
  </x:si>
  <x:si>
    <x:t xml:space="preserve">o:"Landhome"</x:t>
  </x:si>
  <x:si>
    <x:t xml:space="preserve">Keywords!A183:C183</x:t>
  </x:si>
  <x:si>
    <x:t xml:space="preserve">Landwalk</x:t>
  </x:si>
  <x:si>
    <x:t xml:space="preserve">This ability is written as (Land type) walk. A creature with this ability can not be blocked while the defending player controls at least one land with the printed land type (e.g. a creature with swampwalk can not be blocked if the opponent has a swamp on the battlefield). This ability is somewhat rare, with swampwalk and plainswalk being the most and least common, respectively. Landwalk is not limited to the five basic lands; for example, cards with legendary landwalk, snow landwalk, and nonbasic landwalk have been printed. Landwalk was discontinued with Magic Origins.</x:t>
  </x:si>
  <x:si>
    <x:t xml:space="preserve">o:"Landwalk"</x:t>
  </x:si>
  <x:si>
    <x:t xml:space="preserve">Keywords!A184:C184</x:t>
  </x:si>
  <x:si>
    <x:t xml:space="preserve">Phasing</x:t>
  </x:si>
  <x:si>
    <x:t xml:space="preserve">Phasing introduced a new rule to the game. Cards with the status "phased out" are treated as though they do not exist except for cards that specifically interact with phased-out cards. At the beginning of each player's turn, all permanents the player controls which have phasing become "phased out", along with anything attached to the phasing cards. Any cards the player controls which were phased out become "phased in" and return to the battlefield at the same time. Phasing in or out does not tap or untap the permanent. A token that phases out ceases to exist, while anything attached to it phases out and does not phase in on the token's controller's next turn. Phasing appears in the Mirage block. Phasing returned on the card Teferi's Protection in The Vampiric Bloodlust Deck in Commander 2017. Additionally, rules for phasing changes with this release allowing tokens to return rather than ceasing to exist when phased out.</x:t>
  </x:si>
  <x:si>
    <x:t xml:space="preserve">o:"Phasing"</x:t>
  </x:si>
  <x:si>
    <x:t xml:space="preserve">Keywords!A185:C185</x:t>
  </x:si>
  <x:si>
    <x:t xml:space="preserve">Regenerate</x:t>
  </x:si>
  <x:si>
    <x:t xml:space="preserve">Regenerate represented two related keyword actions. An ability such as "Regenerate [this creature]" could be activated; in this context "regenerate" means "set up a regeneration shield", which protects the affected permanent from the next time it would be destroyed (either due to damage or to "destroy" effects). Instead of being destroyed, the permanent would become tapped and be removed from combat. The second keyword action refers to when this actually occurs: cards like Skeleton Scavengers have a delayed triggered ability that only triggers when the creature has a destroy effect prevented by its regeneration ability. This ability was generally found on creatures, though any permanent can be regenerated.</x:t>
  </x:si>
  <x:si>
    <x:t xml:space="preserve">o:"Regenerate"</x:t>
  </x:si>
  <x:si>
    <x:t xml:space="preserve">Keywords!A186:C186</x:t>
  </x:si>
  <x:si>
    <x:t xml:space="preserve">Substance</x:t>
  </x:si>
  <x:si>
    <x:t xml:space="preserve">Substance was a static ability with no effect which was never printed on a Magic card. It was originally created for the Magic: The Gathering Online release of Mirage, as a cycle of cards such as Armor of Thorns did not work as originally intended under the rules established with the release of 6th Edition. These cards were all enchantments that could be played as instants, but only lasted for one turn if played as an instant. Under the newer rules, the original wording would cause the enchantment to leave the battlefield before damage was removed from creatures. The creation of substance restored the cards' intended functionality. With the rule changes announced in July 2009, all cards edited to use this keyword were re-edited to no longer use it. The official text of such cards now refers to the cleanup step explicitly. This maintained the same functionality as the substance keyword, but without some unintended rules quirks.</x:t>
  </x:si>
  <x:si>
    <x:t xml:space="preserve">o:"Substance"</x:t>
  </x:si>
  <x:si>
    <x:t xml:space="preserve">AbilityWords!A2</x:t>
  </x:si>
  <x:si>
    <x:t xml:space="preserve">Ability Word</x:t>
  </x:si>
  <x:si>
    <x:t xml:space="preserve">Ability word</x:t>
  </x:si>
  <x:si>
    <x:t xml:space="preserve">Rules-text label</x:t>
  </x:si>
  <x:si>
    <x:t xml:space="preserve">o:"Ability word"</x:t>
  </x:si>
  <x:si>
    <x:t xml:space="preserve">AbilityWords!A3</x:t>
  </x:si>
  <x:si>
    <x:t xml:space="preserve">Adamant</x:t>
  </x:si>
  <x:si>
    <x:t xml:space="preserve">o:"Adamant"</x:t>
  </x:si>
  <x:si>
    <x:t xml:space="preserve">AbilityWords!A4</x:t>
  </x:si>
  <x:si>
    <x:t xml:space="preserve">AbilityWords!A5</x:t>
  </x:si>
  <x:si>
    <x:t xml:space="preserve">Alliance</x:t>
  </x:si>
  <x:si>
    <x:t xml:space="preserve">o:"Alliance"</x:t>
  </x:si>
  <x:si>
    <x:t xml:space="preserve">AbilityWords!A6</x:t>
  </x:si>
  <x:si>
    <x:t xml:space="preserve">AbilityWords!A7</x:t>
  </x:si>
  <x:si>
    <x:t xml:space="preserve">AbilityWords!A8</x:t>
  </x:si>
  <x:si>
    <x:t xml:space="preserve">Celebration</x:t>
  </x:si>
  <x:si>
    <x:t xml:space="preserve">o:"Celebration"</x:t>
  </x:si>
  <x:si>
    <x:t xml:space="preserve">AbilityWords!A9</x:t>
  </x:si>
  <x:si>
    <x:t xml:space="preserve">AbilityWords!A10</x:t>
  </x:si>
  <x:si>
    <x:t xml:space="preserve">AbilityWords!A11</x:t>
  </x:si>
  <x:si>
    <x:t xml:space="preserve">Cohort</x:t>
  </x:si>
  <x:si>
    <x:t xml:space="preserve">o:"Cohort"</x:t>
  </x:si>
  <x:si>
    <x:t xml:space="preserve">AbilityWords!A12</x:t>
  </x:si>
  <x:si>
    <x:t xml:space="preserve">Constellation</x:t>
  </x:si>
  <x:si>
    <x:t xml:space="preserve">o:"Constellation"</x:t>
  </x:si>
  <x:si>
    <x:t xml:space="preserve">AbilityWords!A13</x:t>
  </x:si>
  <x:si>
    <x:t xml:space="preserve">Converge</x:t>
  </x:si>
  <x:si>
    <x:t xml:space="preserve">o:"Converge"</x:t>
  </x:si>
  <x:si>
    <x:t xml:space="preserve">AbilityWords!A14</x:t>
  </x:si>
  <x:si>
    <x:t xml:space="preserve">Corrupted</x:t>
  </x:si>
  <x:si>
    <x:t xml:space="preserve">o:"Corrupted"</x:t>
  </x:si>
  <x:si>
    <x:t xml:space="preserve">AbilityWords!A15</x:t>
  </x:si>
  <x:si>
    <x:t xml:space="preserve">Council's dilemma</x:t>
  </x:si>
  <x:si>
    <x:t xml:space="preserve">o:"Council's dilemma"</x:t>
  </x:si>
  <x:si>
    <x:t xml:space="preserve">AbilityWords!A16</x:t>
  </x:si>
  <x:si>
    <x:t xml:space="preserve">Coven</x:t>
  </x:si>
  <x:si>
    <x:t xml:space="preserve">o:"Coven"</x:t>
  </x:si>
  <x:si>
    <x:t xml:space="preserve">AbilityWords!A17</x:t>
  </x:si>
  <x:si>
    <x:t xml:space="preserve">Covercast</x:t>
  </x:si>
  <x:si>
    <x:t xml:space="preserve">o:"Covercast"</x:t>
  </x:si>
  <x:si>
    <x:t xml:space="preserve">AbilityWords!A18</x:t>
  </x:si>
  <x:si>
    <x:t xml:space="preserve">Craft</x:t>
  </x:si>
  <x:si>
    <x:t xml:space="preserve">o:"Craft"</x:t>
  </x:si>
  <x:si>
    <x:t xml:space="preserve">AbilityWords!A19</x:t>
  </x:si>
  <x:si>
    <x:t xml:space="preserve">Delirium</x:t>
  </x:si>
  <x:si>
    <x:t xml:space="preserve">o:"Delirium"</x:t>
  </x:si>
  <x:si>
    <x:t xml:space="preserve">AbilityWords!A20</x:t>
  </x:si>
  <x:si>
    <x:t xml:space="preserve">Descend</x:t>
  </x:si>
  <x:si>
    <x:t xml:space="preserve">o:"Descend"</x:t>
  </x:si>
  <x:si>
    <x:t xml:space="preserve">AbilityWords!A21</x:t>
  </x:si>
  <x:si>
    <x:t xml:space="preserve">Disappear</x:t>
  </x:si>
  <x:si>
    <x:t xml:space="preserve">o:"Disappear"</x:t>
  </x:si>
  <x:si>
    <x:t xml:space="preserve">AbilityWords!A22</x:t>
  </x:si>
  <x:si>
    <x:t xml:space="preserve">AbilityWords!A23</x:t>
  </x:si>
  <x:si>
    <x:t xml:space="preserve">Eerie</x:t>
  </x:si>
  <x:si>
    <x:t xml:space="preserve">o:"Eerie"</x:t>
  </x:si>
  <x:si>
    <x:t xml:space="preserve">AbilityWords!A24</x:t>
  </x:si>
  <x:si>
    <x:t xml:space="preserve">Eminence</x:t>
  </x:si>
  <x:si>
    <x:t xml:space="preserve">o:"Eminence"</x:t>
  </x:si>
  <x:si>
    <x:t xml:space="preserve">AbilityWords!A25</x:t>
  </x:si>
  <x:si>
    <x:t xml:space="preserve">AbilityWords!A26</x:t>
  </x:si>
  <x:si>
    <x:t xml:space="preserve">Family gathering</x:t>
  </x:si>
  <x:si>
    <x:t xml:space="preserve">o:"Family gathering"</x:t>
  </x:si>
  <x:si>
    <x:t xml:space="preserve">AbilityWords!A27</x:t>
  </x:si>
  <x:si>
    <x:t xml:space="preserve">AbilityWords!A28</x:t>
  </x:si>
  <x:si>
    <x:t xml:space="preserve">Fathomless descent</x:t>
  </x:si>
  <x:si>
    <x:t xml:space="preserve">o:"Fathomless descent"</x:t>
  </x:si>
  <x:si>
    <x:t xml:space="preserve">AbilityWords!A29</x:t>
  </x:si>
  <x:si>
    <x:t xml:space="preserve">AbilityWords!A30</x:t>
  </x:si>
  <x:si>
    <x:t xml:space="preserve">Flavor word</x:t>
  </x:si>
  <x:si>
    <x:t xml:space="preserve">o:"Flavor word"</x:t>
  </x:si>
  <x:si>
    <x:t xml:space="preserve">AbilityWords!A31</x:t>
  </x:si>
  <x:si>
    <x:t xml:space="preserve">Flurry</x:t>
  </x:si>
  <x:si>
    <x:t xml:space="preserve">o:"Flurry"</x:t>
  </x:si>
  <x:si>
    <x:t xml:space="preserve">AbilityWords!A32</x:t>
  </x:si>
  <x:si>
    <x:t xml:space="preserve">Formidable</x:t>
  </x:si>
  <x:si>
    <x:t xml:space="preserve">o:"Formidable"</x:t>
  </x:si>
  <x:si>
    <x:t xml:space="preserve">AbilityWords!A33</x:t>
  </x:si>
  <x:si>
    <x:t xml:space="preserve">Gear Up, sponsored by Wizards of the Coast</x:t>
  </x:si>
  <x:si>
    <x:t xml:space="preserve">o:"Gear Up, sponsored by Wizards of the Coast"</x:t>
  </x:si>
  <x:si>
    <x:t xml:space="preserve">AbilityWords!A34</x:t>
  </x:si>
  <x:si>
    <x:t xml:space="preserve">Gotcha</x:t>
  </x:si>
  <x:si>
    <x:t xml:space="preserve">o:"Gotcha"</x:t>
  </x:si>
  <x:si>
    <x:t xml:space="preserve">AbilityWords!A35</x:t>
  </x:si>
  <x:si>
    <x:t xml:space="preserve">AbilityWords!A36</x:t>
  </x:si>
  <x:si>
    <x:t xml:space="preserve">AbilityWords!A37</x:t>
  </x:si>
  <x:si>
    <x:t xml:space="preserve">Hero's Reward</x:t>
  </x:si>
  <x:si>
    <x:t xml:space="preserve">o:"Hero's Reward"</x:t>
  </x:si>
  <x:si>
    <x:t xml:space="preserve">AbilityWords!A38</x:t>
  </x:si>
  <x:si>
    <x:t xml:space="preserve">AbilityWords!A39</x:t>
  </x:si>
  <x:si>
    <x:t xml:space="preserve">AbilityWords!A40</x:t>
  </x:si>
  <x:si>
    <x:t xml:space="preserve">Infusion</x:t>
  </x:si>
  <x:si>
    <x:t xml:space="preserve">o:"Infusion"</x:t>
  </x:si>
  <x:si>
    <x:t xml:space="preserve">AbilityWords!A41</x:t>
  </x:si>
  <x:si>
    <x:t xml:space="preserve">Inspired</x:t>
  </x:si>
  <x:si>
    <x:t xml:space="preserve">o:"Inspired"</x:t>
  </x:si>
  <x:si>
    <x:t xml:space="preserve">AbilityWords!A42</x:t>
  </x:si>
  <x:si>
    <x:t xml:space="preserve">AbilityWords!A43</x:t>
  </x:si>
  <x:si>
    <x:t xml:space="preserve">Kinfall</x:t>
  </x:si>
  <x:si>
    <x:t xml:space="preserve">o:"Kinfall"</x:t>
  </x:si>
  <x:si>
    <x:t xml:space="preserve">AbilityWords!A44</x:t>
  </x:si>
  <x:si>
    <x:t xml:space="preserve">AbilityWords!A45</x:t>
  </x:si>
  <x:si>
    <x:t xml:space="preserve">AbilityWords!A46</x:t>
  </x:si>
  <x:si>
    <x:t xml:space="preserve">Landship</x:t>
  </x:si>
  <x:si>
    <x:t xml:space="preserve">o:"Landship"</x:t>
  </x:si>
  <x:si>
    <x:t xml:space="preserve">AbilityWords!A47</x:t>
  </x:si>
  <x:si>
    <x:t xml:space="preserve">Legacy</x:t>
  </x:si>
  <x:si>
    <x:t xml:space="preserve">o:"Legacy"</x:t>
  </x:si>
  <x:si>
    <x:t xml:space="preserve">AbilityWords!A48</x:t>
  </x:si>
  <x:si>
    <x:t xml:space="preserve">Lieutenant</x:t>
  </x:si>
  <x:si>
    <x:t xml:space="preserve">o:"Lieutenant"</x:t>
  </x:si>
  <x:si>
    <x:t xml:space="preserve">AbilityWords!A49</x:t>
  </x:si>
  <x:si>
    <x:t xml:space="preserve">Magecraft</x:t>
  </x:si>
  <x:si>
    <x:t xml:space="preserve">o:"Magecraft"</x:t>
  </x:si>
  <x:si>
    <x:t xml:space="preserve">AbilityWords!A50</x:t>
  </x:si>
  <x:si>
    <x:t xml:space="preserve">AbilityWords!A51</x:t>
  </x:si>
  <x:si>
    <x:t xml:space="preserve">Mono Eminence</x:t>
  </x:si>
  <x:si>
    <x:t xml:space="preserve">o:"Mono Eminence"</x:t>
  </x:si>
  <x:si>
    <x:t xml:space="preserve">AbilityWords!A52</x:t>
  </x:si>
  <x:si>
    <x:t xml:space="preserve">AbilityWords!A53</x:t>
  </x:si>
  <x:si>
    <x:t xml:space="preserve">Opus</x:t>
  </x:si>
  <x:si>
    <x:t xml:space="preserve">o:"Opus"</x:t>
  </x:si>
  <x:si>
    <x:t xml:space="preserve">AbilityWords!A54</x:t>
  </x:si>
  <x:si>
    <x:t xml:space="preserve">Pack tactics</x:t>
  </x:si>
  <x:si>
    <x:t xml:space="preserve">o:"Pack tactics"</x:t>
  </x:si>
  <x:si>
    <x:t xml:space="preserve">AbilityWords!A55</x:t>
  </x:si>
  <x:si>
    <x:t xml:space="preserve">Parade!</x:t>
  </x:si>
  <x:si>
    <x:t xml:space="preserve">o:"Parade!"</x:t>
  </x:si>
  <x:si>
    <x:t xml:space="preserve">AbilityWords!A56</x:t>
  </x:si>
  <x:si>
    <x:t xml:space="preserve">Paradox</x:t>
  </x:si>
  <x:si>
    <x:t xml:space="preserve">o:"Paradox"</x:t>
  </x:si>
  <x:si>
    <x:t xml:space="preserve">AbilityWords!A57</x:t>
  </x:si>
  <x:si>
    <x:t xml:space="preserve">Parley</x:t>
  </x:si>
  <x:si>
    <x:t xml:space="preserve">o:"Parley"</x:t>
  </x:si>
  <x:si>
    <x:t xml:space="preserve">AbilityWords!A58</x:t>
  </x:si>
  <x:si>
    <x:t xml:space="preserve">AbilityWords!A59</x:t>
  </x:si>
  <x:si>
    <x:t xml:space="preserve">AbilityWords!A60</x:t>
  </x:si>
  <x:si>
    <x:t xml:space="preserve">AbilityWords!A61</x:t>
  </x:si>
  <x:si>
    <x:t xml:space="preserve">Renew</x:t>
  </x:si>
  <x:si>
    <x:t xml:space="preserve">o:"Renew"</x:t>
  </x:si>
  <x:si>
    <x:t xml:space="preserve">AbilityWords!A62</x:t>
  </x:si>
  <x:si>
    <x:t xml:space="preserve">Repartee</x:t>
  </x:si>
  <x:si>
    <x:t xml:space="preserve">o:"Repartee"</x:t>
  </x:si>
  <x:si>
    <x:t xml:space="preserve">AbilityWords!A63</x:t>
  </x:si>
  <x:si>
    <x:t xml:space="preserve">Revolt</x:t>
  </x:si>
  <x:si>
    <x:t xml:space="preserve">o:"Revolt"</x:t>
  </x:si>
  <x:si>
    <x:t xml:space="preserve">AbilityWords!A64</x:t>
  </x:si>
  <x:si>
    <x:t xml:space="preserve">Rulebreaker</x:t>
  </x:si>
  <x:si>
    <x:t xml:space="preserve">o:"Rulebreaker"</x:t>
  </x:si>
  <x:si>
    <x:t xml:space="preserve">AbilityWords!A65</x:t>
  </x:si>
  <x:si>
    <x:t xml:space="preserve">Scryfall (ability word)</x:t>
  </x:si>
  <x:si>
    <x:t xml:space="preserve">o:"Scryfall (ability word)"</x:t>
  </x:si>
  <x:si>
    <x:t xml:space="preserve">AbilityWords!A66</x:t>
  </x:si>
  <x:si>
    <x:t xml:space="preserve">Secret council</x:t>
  </x:si>
  <x:si>
    <x:t xml:space="preserve">o:"Secret council"</x:t>
  </x:si>
  <x:si>
    <x:t xml:space="preserve">AbilityWords!A67</x:t>
  </x:si>
  <x:si>
    <x:t xml:space="preserve">Spell mastery</x:t>
  </x:si>
  <x:si>
    <x:t xml:space="preserve">o:"Spell mastery"</x:t>
  </x:si>
  <x:si>
    <x:t xml:space="preserve">AbilityWords!A68</x:t>
  </x:si>
  <x:si>
    <x:t xml:space="preserve">Start your engines!</x:t>
  </x:si>
  <x:si>
    <x:t xml:space="preserve">o:"Start your engines!"</x:t>
  </x:si>
  <x:si>
    <x:t xml:space="preserve">AbilityWords!A69</x:t>
  </x:si>
  <x:si>
    <x:t xml:space="preserve">Strive</x:t>
  </x:si>
  <x:si>
    <x:t xml:space="preserve">o:"Strive"</x:t>
  </x:si>
  <x:si>
    <x:t xml:space="preserve">AbilityWords!A70</x:t>
  </x:si>
  <x:si>
    <x:t xml:space="preserve">Survival</x:t>
  </x:si>
  <x:si>
    <x:t xml:space="preserve">o:"Survival"</x:t>
  </x:si>
  <x:si>
    <x:t xml:space="preserve">AbilityWords!A71</x:t>
  </x:si>
  <x:si>
    <x:t xml:space="preserve">AbilityWords!A72</x:t>
  </x:si>
  <x:si>
    <x:t xml:space="preserve">Tempting offer</x:t>
  </x:si>
  <x:si>
    <x:t xml:space="preserve">o:"Tempting offer"</x:t>
  </x:si>
  <x:si>
    <x:t xml:space="preserve">AbilityWords!A73</x:t>
  </x:si>
  <x:si>
    <x:t xml:space="preserve">AbilityWords!A74</x:t>
  </x:si>
  <x:si>
    <x:t xml:space="preserve">Underdog</x:t>
  </x:si>
  <x:si>
    <x:t xml:space="preserve">o:"Underdog"</x:t>
  </x:si>
  <x:si>
    <x:t xml:space="preserve">AbilityWords!A75</x:t>
  </x:si>
  <x:si>
    <x:t xml:space="preserve">AbilityWords!A76</x:t>
  </x:si>
  <x:si>
    <x:t xml:space="preserve">Valiant</x:t>
  </x:si>
  <x:si>
    <x:t xml:space="preserve">o:"Valiant"</x:t>
  </x:si>
  <x:si>
    <x:t xml:space="preserve">AbilityWords!A77</x:t>
  </x:si>
  <x:si>
    <x:t xml:space="preserve">Vivid</x:t>
  </x:si>
  <x:si>
    <x:t xml:space="preserve">o:"Vivid"</x:t>
  </x:si>
  <x:si>
    <x:t xml:space="preserve">AbilityWords!A78</x:t>
  </x:si>
  <x:si>
    <x:t xml:space="preserve">Void</x:t>
  </x:si>
  <x:si>
    <x:t xml:space="preserve">o:"Void"</x:t>
  </x:si>
  <x:si>
    <x:t xml:space="preserve">AbilityWords!A79</x:t>
  </x:si>
  <x:si>
    <x:t xml:space="preserve">Will of the council</x:t>
  </x:si>
  <x:si>
    <x:t xml:space="preserve">o:"Will of the council"</x:t>
  </x:si>
  <x:si>
    <x:t xml:space="preserve">AbilityWords!A80</x:t>
  </x:si>
  <x:si>
    <x:t xml:space="preserve">Will of the Planeswalkers</x:t>
  </x:si>
  <x:si>
    <x:t xml:space="preserve">o:"Will of the Planeswalkers"</x:t>
  </x:si>
  <x:si>
    <x:t xml:space="preserve">KeywordActions!A2:B2</x:t>
  </x:si>
  <x:si>
    <x:t xml:space="preserve">Keyword Action</x:t>
  </x:si>
  <x:si>
    <x:t xml:space="preserve">Abandon</x:t>
  </x:si>
  <x:si>
    <x:t xml:space="preserve">Rule 701.33</x:t>
  </x:si>
  <x:si>
    <x:t xml:space="preserve">o:"Abandon"</x:t>
  </x:si>
  <x:si>
    <x:t xml:space="preserve">KeywordActions!A3:B3</x:t>
  </x:si>
  <x:si>
    <x:t xml:space="preserve">Activate</x:t>
  </x:si>
  <x:si>
    <x:t xml:space="preserve">Rule 701.2</x:t>
  </x:si>
  <x:si>
    <x:t xml:space="preserve">o:"Activate"</x:t>
  </x:si>
  <x:si>
    <x:t xml:space="preserve">KeywordActions!A4:B4</x:t>
  </x:si>
  <x:si>
    <x:t xml:space="preserve">Rule 701.46</x:t>
  </x:si>
  <x:si>
    <x:t xml:space="preserve">KeywordActions!A5:B5</x:t>
  </x:si>
  <x:si>
    <x:t xml:space="preserve">Airbend</x:t>
  </x:si>
  <x:si>
    <x:t xml:space="preserve">Rule 701.65</x:t>
  </x:si>
  <x:si>
    <x:t xml:space="preserve">o:"Airbend"</x:t>
  </x:si>
  <x:si>
    <x:t xml:space="preserve">KeywordActions!A6:B6</x:t>
  </x:si>
  <x:si>
    <x:t xml:space="preserve">Amass</x:t>
  </x:si>
  <x:si>
    <x:t xml:space="preserve">Rule 701.47</x:t>
  </x:si>
  <x:si>
    <x:t xml:space="preserve">o:"Amass"</x:t>
  </x:si>
  <x:si>
    <x:t xml:space="preserve">KeywordActions!A7:B7</x:t>
  </x:si>
  <x:si>
    <x:t xml:space="preserve">Assemble</x:t>
  </x:si>
  <x:si>
    <x:t xml:space="preserve">Rule 701.45</x:t>
  </x:si>
  <x:si>
    <x:t xml:space="preserve">o:"Assemble"</x:t>
  </x:si>
  <x:si>
    <x:t xml:space="preserve">KeywordActions!A8:B8</x:t>
  </x:si>
  <x:si>
    <x:t xml:space="preserve">Rule 701.3</x:t>
  </x:si>
  <x:si>
    <x:t xml:space="preserve">KeywordActions!A9:B9</x:t>
  </x:si>
  <x:si>
    <x:t xml:space="preserve">Behold</x:t>
  </x:si>
  <x:si>
    <x:t xml:space="preserve">Rule 701.4</x:t>
  </x:si>
  <x:si>
    <x:t xml:space="preserve">o:"Behold"</x:t>
  </x:si>
  <x:si>
    <x:t xml:space="preserve">KeywordActions!A10:B10</x:t>
  </x:si>
  <x:si>
    <x:t xml:space="preserve">Blight</x:t>
  </x:si>
  <x:si>
    <x:t xml:space="preserve">No rule number listed</x:t>
  </x:si>
  <x:si>
    <x:t xml:space="preserve">o:"Blight"</x:t>
  </x:si>
  <x:si>
    <x:t xml:space="preserve">KeywordActions!A11:B11</x:t>
  </x:si>
  <x:si>
    <x:t xml:space="preserve">Rule 701.39</x:t>
  </x:si>
  <x:si>
    <x:t xml:space="preserve">KeywordActions!A12:B12</x:t>
  </x:si>
  <x:si>
    <x:t xml:space="preserve">Cast</x:t>
  </x:si>
  <x:si>
    <x:t xml:space="preserve">Rule 701.5</x:t>
  </x:si>
  <x:si>
    <x:t xml:space="preserve">o:"Cast"</x:t>
  </x:si>
  <x:si>
    <x:t xml:space="preserve">KeywordActions!A13:B13</x:t>
  </x:si>
  <x:si>
    <x:t xml:space="preserve">KeywordActions!A14:B14</x:t>
  </x:si>
  <x:si>
    <x:t xml:space="preserve">Cloak</x:t>
  </x:si>
  <x:si>
    <x:t xml:space="preserve">Rule 701.58</x:t>
  </x:si>
  <x:si>
    <x:t xml:space="preserve">o:"Cloak"</x:t>
  </x:si>
  <x:si>
    <x:t xml:space="preserve">KeywordActions!A15:B15</x:t>
  </x:si>
  <x:si>
    <x:t xml:space="preserve">Collect Evidence</x:t>
  </x:si>
  <x:si>
    <x:t xml:space="preserve">Rule 701.59</x:t>
  </x:si>
  <x:si>
    <x:t xml:space="preserve">o:"Collect Evidence"</x:t>
  </x:si>
  <x:si>
    <x:t xml:space="preserve">KeywordActions!A16:B16</x:t>
  </x:si>
  <x:si>
    <x:t xml:space="preserve">Conjure</x:t>
  </x:si>
  <x:si>
    <x:t xml:space="preserve">o:"Conjure"</x:t>
  </x:si>
  <x:si>
    <x:t xml:space="preserve">KeywordActions!A17:B17</x:t>
  </x:si>
  <x:si>
    <x:t xml:space="preserve">Connive</x:t>
  </x:si>
  <x:si>
    <x:t xml:space="preserve">o:"Connive"</x:t>
  </x:si>
  <x:si>
    <x:t xml:space="preserve">KeywordActions!A18:B18</x:t>
  </x:si>
  <x:si>
    <x:t xml:space="preserve">Convert</x:t>
  </x:si>
  <x:si>
    <x:t xml:space="preserve">Rule 701.28</x:t>
  </x:si>
  <x:si>
    <x:t xml:space="preserve">o:"Convert"</x:t>
  </x:si>
  <x:si>
    <x:t xml:space="preserve">KeywordActions!A19:B19</x:t>
  </x:si>
  <x:si>
    <x:t xml:space="preserve">Rule 701.6</x:t>
  </x:si>
  <x:si>
    <x:t xml:space="preserve">KeywordActions!A20:B20</x:t>
  </x:si>
  <x:si>
    <x:t xml:space="preserve">Create</x:t>
  </x:si>
  <x:si>
    <x:t xml:space="preserve">Rule 701.7</x:t>
  </x:si>
  <x:si>
    <x:t xml:space="preserve">o:"Create"</x:t>
  </x:si>
  <x:si>
    <x:t xml:space="preserve">KeywordActions!A21:B21</x:t>
  </x:si>
  <x:si>
    <x:t xml:space="preserve">Destroy</x:t>
  </x:si>
  <x:si>
    <x:t xml:space="preserve">Rule 701.8</x:t>
  </x:si>
  <x:si>
    <x:t xml:space="preserve">o:"Destroy"</x:t>
  </x:si>
  <x:si>
    <x:t xml:space="preserve">KeywordActions!A22:B22</x:t>
  </x:si>
  <x:si>
    <x:t xml:space="preserve">Rule 701.35</x:t>
  </x:si>
  <x:si>
    <x:t xml:space="preserve">KeywordActions!A23:B23</x:t>
  </x:si>
  <x:si>
    <x:t xml:space="preserve">Discard</x:t>
  </x:si>
  <x:si>
    <x:t xml:space="preserve">Rule 701.9</x:t>
  </x:si>
  <x:si>
    <x:t xml:space="preserve">o:"Discard"</x:t>
  </x:si>
  <x:si>
    <x:t xml:space="preserve">KeywordActions!A24:B24</x:t>
  </x:si>
  <x:si>
    <x:t xml:space="preserve">Discover</x:t>
  </x:si>
  <x:si>
    <x:t xml:space="preserve">Rule 701.57</x:t>
  </x:si>
  <x:si>
    <x:t xml:space="preserve">o:"Discover"</x:t>
  </x:si>
  <x:si>
    <x:t xml:space="preserve">KeywordActions!A25:B25</x:t>
  </x:si>
  <x:si>
    <x:t xml:space="preserve">Double</x:t>
  </x:si>
  <x:si>
    <x:t xml:space="preserve">Rule 701.1</x:t>
  </x:si>
  <x:si>
    <x:t xml:space="preserve">o:"Double"</x:t>
  </x:si>
  <x:si>
    <x:t xml:space="preserve">KeywordActions!A26:B26</x:t>
  </x:si>
  <x:si>
    <x:t xml:space="preserve">Draft from a spellbook</x:t>
  </x:si>
  <x:si>
    <x:t xml:space="preserve">o:"Draft from a spellbook"</x:t>
  </x:si>
  <x:si>
    <x:t xml:space="preserve">KeywordActions!A27:B27</x:t>
  </x:si>
  <x:si>
    <x:t xml:space="preserve">Earthbend</x:t>
  </x:si>
  <x:si>
    <x:t xml:space="preserve">Rule 701.66</x:t>
  </x:si>
  <x:si>
    <x:t xml:space="preserve">o:"Earthbend"</x:t>
  </x:si>
  <x:si>
    <x:t xml:space="preserve">KeywordActions!A28:B28</x:t>
  </x:si>
  <x:si>
    <x:t xml:space="preserve">Endure</x:t>
  </x:si>
  <x:si>
    <x:t xml:space="preserve">Rule 701.63</x:t>
  </x:si>
  <x:si>
    <x:t xml:space="preserve">o:"Endure"</x:t>
  </x:si>
  <x:si>
    <x:t xml:space="preserve">KeywordActions!A29:B29</x:t>
  </x:si>
  <x:si>
    <x:t xml:space="preserve">Exchange</x:t>
  </x:si>
  <x:si>
    <x:t xml:space="preserve">Rule 701.12</x:t>
  </x:si>
  <x:si>
    <x:t xml:space="preserve">o:"Exchange"</x:t>
  </x:si>
  <x:si>
    <x:t xml:space="preserve">KeywordActions!A30:B30</x:t>
  </x:si>
  <x:si>
    <x:t xml:space="preserve">Rule 701.43</x:t>
  </x:si>
  <x:si>
    <x:t xml:space="preserve">KeywordActions!A31:B31</x:t>
  </x:si>
  <x:si>
    <x:t xml:space="preserve">Rule 701.13</x:t>
  </x:si>
  <x:si>
    <x:t xml:space="preserve">KeywordActions!A32:B32</x:t>
  </x:si>
  <x:si>
    <x:t xml:space="preserve">Rule 701.44</x:t>
  </x:si>
  <x:si>
    <x:t xml:space="preserve">KeywordActions!A33:B33</x:t>
  </x:si>
  <x:si>
    <x:t xml:space="preserve">Face a Villainous Choice</x:t>
  </x:si>
  <x:si>
    <x:t xml:space="preserve">Rule 701.55</x:t>
  </x:si>
  <x:si>
    <x:t xml:space="preserve">o:"Face a Villainous Choice"</x:t>
  </x:si>
  <x:si>
    <x:t xml:space="preserve">KeywordActions!A34:B34</x:t>
  </x:si>
  <x:si>
    <x:t xml:space="preserve">Rule 701.29</x:t>
  </x:si>
  <x:si>
    <x:t xml:space="preserve">KeywordActions!A35:B35</x:t>
  </x:si>
  <x:si>
    <x:t xml:space="preserve">Rule 701.14</x:t>
  </x:si>
  <x:si>
    <x:t xml:space="preserve">KeywordActions!A36:B36</x:t>
  </x:si>
  <x:si>
    <x:t xml:space="preserve">Food</x:t>
  </x:si>
  <x:si>
    <x:t xml:space="preserve">o:"Food"</x:t>
  </x:si>
  <x:si>
    <x:t xml:space="preserve">KeywordActions!A37:B37</x:t>
  </x:si>
  <x:si>
    <x:t xml:space="preserve">Forage</x:t>
  </x:si>
  <x:si>
    <x:t xml:space="preserve">Rule 701.61</x:t>
  </x:si>
  <x:si>
    <x:t xml:space="preserve">o:"Forage"</x:t>
  </x:si>
  <x:si>
    <x:t xml:space="preserve">KeywordActions!A38:B38</x:t>
  </x:si>
  <x:si>
    <x:t xml:space="preserve">Goad</x:t>
  </x:si>
  <x:si>
    <x:t xml:space="preserve">Rule 701.15</x:t>
  </x:si>
  <x:si>
    <x:t xml:space="preserve">o:"Goad"</x:t>
  </x:si>
  <x:si>
    <x:t xml:space="preserve">KeywordActions!A39:B39</x:t>
  </x:si>
  <x:si>
    <x:t xml:space="preserve">Harness</x:t>
  </x:si>
  <x:si>
    <x:t xml:space="preserve">Rule 701.64</x:t>
  </x:si>
  <x:si>
    <x:t xml:space="preserve">o:"Harness"</x:t>
  </x:si>
  <x:si>
    <x:t xml:space="preserve">KeywordActions!A40:B40</x:t>
  </x:si>
  <x:si>
    <x:t xml:space="preserve">Heal</x:t>
  </x:si>
  <x:si>
    <x:t xml:space="preserve">o:"Heal"</x:t>
  </x:si>
  <x:si>
    <x:t xml:space="preserve">KeywordActions!A41:B41</x:t>
  </x:si>
  <x:si>
    <x:t xml:space="preserve">Heist</x:t>
  </x:si>
  <x:si>
    <x:t xml:space="preserve">o:"Heist"</x:t>
  </x:si>
  <x:si>
    <x:t xml:space="preserve">KeywordActions!A42:B42</x:t>
  </x:si>
  <x:si>
    <x:t xml:space="preserve">Incorporate</x:t>
  </x:si>
  <x:si>
    <x:t xml:space="preserve">o:"Incorporate"</x:t>
  </x:si>
  <x:si>
    <x:t xml:space="preserve">KeywordActions!A43:B43</x:t>
  </x:si>
  <x:si>
    <x:t xml:space="preserve">Incubate</x:t>
  </x:si>
  <x:si>
    <x:t xml:space="preserve">Rule 701.53</x:t>
  </x:si>
  <x:si>
    <x:t xml:space="preserve">o:"Incubate"</x:t>
  </x:si>
  <x:si>
    <x:t xml:space="preserve">KeywordActions!A44:B44</x:t>
  </x:si>
  <x:si>
    <x:t xml:space="preserve">Investigate</x:t>
  </x:si>
  <x:si>
    <x:t xml:space="preserve">Rule 701.16</x:t>
  </x:si>
  <x:si>
    <x:t xml:space="preserve">o:"Investigate"</x:t>
  </x:si>
  <x:si>
    <x:t xml:space="preserve">KeywordActions!A45:B45</x:t>
  </x:si>
  <x:si>
    <x:t xml:space="preserve">Learn</x:t>
  </x:si>
  <x:si>
    <x:t xml:space="preserve">Rule 701.48</x:t>
  </x:si>
  <x:si>
    <x:t xml:space="preserve">o:"Learn"</x:t>
  </x:si>
  <x:si>
    <x:t xml:space="preserve">KeywordActions!A46:B46</x:t>
  </x:si>
  <x:si>
    <x:t xml:space="preserve">KeywordActions!A47:B47</x:t>
  </x:si>
  <x:si>
    <x:t xml:space="preserve">Manifest Dread</x:t>
  </x:si>
  <x:si>
    <x:t xml:space="preserve">Rule 701.62</x:t>
  </x:si>
  <x:si>
    <x:t xml:space="preserve">o:"Manifest Dread"</x:t>
  </x:si>
  <x:si>
    <x:t xml:space="preserve">KeywordActions!A48:B48</x:t>
  </x:si>
  <x:si>
    <x:t xml:space="preserve">Rule 701.42</x:t>
  </x:si>
  <x:si>
    <x:t xml:space="preserve">KeywordActions!A49:B49</x:t>
  </x:si>
  <x:si>
    <x:t xml:space="preserve">Rule 701.17</x:t>
  </x:si>
  <x:si>
    <x:t xml:space="preserve">KeywordActions!A50:B50</x:t>
  </x:si>
  <x:si>
    <x:t xml:space="preserve">Rule 701.37</x:t>
  </x:si>
  <x:si>
    <x:t xml:space="preserve">KeywordActions!A51:B51</x:t>
  </x:si>
  <x:si>
    <x:t xml:space="preserve">Open an Attraction</x:t>
  </x:si>
  <x:si>
    <x:t xml:space="preserve">Rule 701.51</x:t>
  </x:si>
  <x:si>
    <x:t xml:space="preserve">o:"Open an Attraction"</x:t>
  </x:si>
  <x:si>
    <x:t xml:space="preserve">KeywordActions!A52:B52</x:t>
  </x:si>
  <x:si>
    <x:t xml:space="preserve">Planeswalk</x:t>
  </x:si>
  <x:si>
    <x:t xml:space="preserve">Rule 701.31</x:t>
  </x:si>
  <x:si>
    <x:t xml:space="preserve">o:"Planeswalk"</x:t>
  </x:si>
  <x:si>
    <x:t xml:space="preserve">KeywordActions!A53:B53</x:t>
  </x:si>
  <x:si>
    <x:t xml:space="preserve">Play</x:t>
  </x:si>
  <x:si>
    <x:t xml:space="preserve">Rule 701.18</x:t>
  </x:si>
  <x:si>
    <x:t xml:space="preserve">o:"Play"</x:t>
  </x:si>
  <x:si>
    <x:t xml:space="preserve">KeywordActions!A54:B54</x:t>
  </x:si>
  <x:si>
    <x:t xml:space="preserve">KeywordActions!A55:B55</x:t>
  </x:si>
  <x:si>
    <x:t xml:space="preserve">Rule 701.36</x:t>
  </x:si>
  <x:si>
    <x:t xml:space="preserve">KeywordActions!A56:B56</x:t>
  </x:si>
  <x:si>
    <x:t xml:space="preserve">Prepared</x:t>
  </x:si>
  <x:si>
    <x:t xml:space="preserve">o:"Prepared"</x:t>
  </x:si>
  <x:si>
    <x:t xml:space="preserve">KeywordActions!A57:B57</x:t>
  </x:si>
  <x:si>
    <x:t xml:space="preserve">Rule 701.34</x:t>
  </x:si>
  <x:si>
    <x:t xml:space="preserve">KeywordActions!A58:B58</x:t>
  </x:si>
  <x:si>
    <x:t xml:space="preserve">Rule 701.19</x:t>
  </x:si>
  <x:si>
    <x:t xml:space="preserve">KeywordActions!A59:B59</x:t>
  </x:si>
  <x:si>
    <x:t xml:space="preserve">Reveal</x:t>
  </x:si>
  <x:si>
    <x:t xml:space="preserve">o:"Reveal"</x:t>
  </x:si>
  <x:si>
    <x:t xml:space="preserve">KeywordActions!A60:B60</x:t>
  </x:si>
  <x:si>
    <x:t xml:space="preserve">Role token</x:t>
  </x:si>
  <x:si>
    <x:t xml:space="preserve">o:"Role token"</x:t>
  </x:si>
  <x:si>
    <x:t xml:space="preserve">KeywordActions!A61:B61</x:t>
  </x:si>
  <x:si>
    <x:t xml:space="preserve">Roll to Visit Your Attractions</x:t>
  </x:si>
  <x:si>
    <x:t xml:space="preserve">Rule 701.52</x:t>
  </x:si>
  <x:si>
    <x:t xml:space="preserve">o:"Roll to Visit Your Attractions"</x:t>
  </x:si>
  <x:si>
    <x:t xml:space="preserve">KeywordActions!A62:B62</x:t>
  </x:si>
  <x:si>
    <x:t xml:space="preserve">Rule 701.21</x:t>
  </x:si>
  <x:si>
    <x:t xml:space="preserve">KeywordActions!A63:B63</x:t>
  </x:si>
  <x:si>
    <x:t xml:space="preserve">Rule 701.22</x:t>
  </x:si>
  <x:si>
    <x:t xml:space="preserve">KeywordActions!A64:B64</x:t>
  </x:si>
  <x:si>
    <x:t xml:space="preserve">Search</x:t>
  </x:si>
  <x:si>
    <x:t xml:space="preserve">Rule 701.23</x:t>
  </x:si>
  <x:si>
    <x:t xml:space="preserve">o:"Search"</x:t>
  </x:si>
  <x:si>
    <x:t xml:space="preserve">KeywordActions!A65:B65</x:t>
  </x:si>
  <x:si>
    <x:t xml:space="preserve">Seek</x:t>
  </x:si>
  <x:si>
    <x:t xml:space="preserve">o:"Seek"</x:t>
  </x:si>
  <x:si>
    <x:t xml:space="preserve">KeywordActions!A66:B66</x:t>
  </x:si>
  <x:si>
    <x:t xml:space="preserve">Set in Motion</x:t>
  </x:si>
  <x:si>
    <x:t xml:space="preserve">Rule 701.32</x:t>
  </x:si>
  <x:si>
    <x:t xml:space="preserve">o:"Set in Motion"</x:t>
  </x:si>
  <x:si>
    <x:t xml:space="preserve">KeywordActions!A67:B67</x:t>
  </x:si>
  <x:si>
    <x:t xml:space="preserve">Shuffle</x:t>
  </x:si>
  <x:si>
    <x:t xml:space="preserve">Rule 701.24</x:t>
  </x:si>
  <x:si>
    <x:t xml:space="preserve">o:"Shuffle"</x:t>
  </x:si>
  <x:si>
    <x:t xml:space="preserve">KeywordActions!A68:B68</x:t>
  </x:si>
  <x:si>
    <x:t xml:space="preserve">Rule 701.41</x:t>
  </x:si>
  <x:si>
    <x:t xml:space="preserve">KeywordActions!A69:B69</x:t>
  </x:si>
  <x:si>
    <x:t xml:space="preserve">Rule 701.25</x:t>
  </x:si>
  <x:si>
    <x:t xml:space="preserve">KeywordActions!A70:B70</x:t>
  </x:si>
  <x:si>
    <x:t xml:space="preserve">Suspect</x:t>
  </x:si>
  <x:si>
    <x:t xml:space="preserve">o:"Suspect"</x:t>
  </x:si>
  <x:si>
    <x:t xml:space="preserve">KeywordActions!A71:B71</x:t>
  </x:si>
  <x:si>
    <x:t xml:space="preserve">Tap</x:t>
  </x:si>
  <x:si>
    <x:t xml:space="preserve">o:"Tap"</x:t>
  </x:si>
  <x:si>
    <x:t xml:space="preserve">KeywordActions!A72:B72</x:t>
  </x:si>
  <x:si>
    <x:t xml:space="preserve">Tap and Untap</x:t>
  </x:si>
  <x:si>
    <x:t xml:space="preserve">Rule 701.26</x:t>
  </x:si>
  <x:si>
    <x:t xml:space="preserve">o:"Tap and Untap"</x:t>
  </x:si>
  <x:si>
    <x:t xml:space="preserve">KeywordActions!A73:B73</x:t>
  </x:si>
  <x:si>
    <x:t xml:space="preserve">The Ring Tempts You</x:t>
  </x:si>
  <x:si>
    <x:t xml:space="preserve">Rule 701.54</x:t>
  </x:si>
  <x:si>
    <x:t xml:space="preserve">o:"The Ring Tempts You"</x:t>
  </x:si>
  <x:si>
    <x:t xml:space="preserve">KeywordActions!A74:B74</x:t>
  </x:si>
  <x:si>
    <x:t xml:space="preserve">Time Travel</x:t>
  </x:si>
  <x:si>
    <x:t xml:space="preserve">Rule 701.56</x:t>
  </x:si>
  <x:si>
    <x:t xml:space="preserve">o:"Time Travel"</x:t>
  </x:si>
  <x:si>
    <x:t xml:space="preserve">KeywordActions!A75:B75</x:t>
  </x:si>
  <x:si>
    <x:t xml:space="preserve">Rule 701.27</x:t>
  </x:si>
  <x:si>
    <x:t xml:space="preserve">KeywordActions!A76:B76</x:t>
  </x:si>
  <x:si>
    <x:t xml:space="preserve">Treasure</x:t>
  </x:si>
  <x:si>
    <x:t xml:space="preserve">o:"Treasure"</x:t>
  </x:si>
  <x:si>
    <x:t xml:space="preserve">KeywordActions!A77:B77</x:t>
  </x:si>
  <x:si>
    <x:t xml:space="preserve">Triple</x:t>
  </x:si>
  <x:si>
    <x:t xml:space="preserve">Rule 701.11</x:t>
  </x:si>
  <x:si>
    <x:t xml:space="preserve">o:"Triple"</x:t>
  </x:si>
  <x:si>
    <x:t xml:space="preserve">KeywordActions!A78:B78</x:t>
  </x:si>
  <x:si>
    <x:t xml:space="preserve">Untap</x:t>
  </x:si>
  <x:si>
    <x:t xml:space="preserve">o:"Untap"</x:t>
  </x:si>
  <x:si>
    <x:t xml:space="preserve">KeywordActions!A79:B79</x:t>
  </x:si>
  <x:si>
    <x:t xml:space="preserve">Venture into the Dungeon</x:t>
  </x:si>
  <x:si>
    <x:t xml:space="preserve">Rule 701.49</x:t>
  </x:si>
  <x:si>
    <x:t xml:space="preserve">o:"Venture into the Dungeon"</x:t>
  </x:si>
  <x:si>
    <x:t xml:space="preserve">KeywordActions!A80:B80</x:t>
  </x:si>
  <x:si>
    <x:t xml:space="preserve">Vote</x:t>
  </x:si>
  <x:si>
    <x:t xml:space="preserve">Rule 701.38</x:t>
  </x:si>
  <x:si>
    <x:t xml:space="preserve">o:"Vote"</x:t>
  </x:si>
  <x:si>
    <x:t xml:space="preserve">KeywordActions!A81:B81</x:t>
  </x:si>
  <x:si>
    <x:t xml:space="preserve">Waterbend</x:t>
  </x:si>
  <x:si>
    <x:t xml:space="preserve">Rule 701.67</x:t>
  </x:si>
  <x:si>
    <x:t xml:space="preserve">o:"Waterbend"</x:t>
  </x:si>
  <x:si>
    <x:t xml:space="preserve">EvasionAbilities!A2:C2</x:t>
  </x:si>
  <x:si>
    <x:t xml:space="preserve">Keyworded</x:t>
  </x:si>
  <x:si>
    <x:t xml:space="preserve">Evasion</x:t>
  </x:si>
  <x:si>
    <x:t xml:space="preserve">Can only be blocked by other creatures with flying or reach (e.g. Wild Griffin).</x:t>
  </x:si>
  <x:si>
    <x:t xml:space="preserve">keyword:"Flying"</x:t>
  </x:si>
  <x:si>
    <x:t xml:space="preserve">EvasionAbilities!A3:C3</x:t>
  </x:si>
  <x:si>
    <x:t xml:space="preserve">Can only be blocked by Black or Artifact creatures (e.g. Gluttonous Zombie).</x:t>
  </x:si>
  <x:si>
    <x:t xml:space="preserve">keyword:"Fear"</x:t>
  </x:si>
  <x:si>
    <x:t xml:space="preserve">EvasionAbilities!A4:C4</x:t>
  </x:si>
  <x:si>
    <x:t xml:space="preserve">Can only be blocked by artifact creatures and/or creatures that share a color with it (e.g. Bladetusk Boar).</x:t>
  </x:si>
  <x:si>
    <x:t xml:space="preserve">keyword:"Intimidate"</x:t>
  </x:si>
  <x:si>
    <x:t xml:space="preserve">EvasionAbilities!A5:C5</x:t>
  </x:si>
  <x:si>
    <x:t xml:space="preserve">Can only be blocked by other creatures with Horsemanship (e.g. Lu Bu, Master-at-Arms).</x:t>
  </x:si>
  <x:si>
    <x:t xml:space="preserve">keyword:"Horsemanship"</x:t>
  </x:si>
  <x:si>
    <x:t xml:space="preserve">EvasionAbilities!A6:C6</x:t>
  </x:si>
  <x:si>
    <x:t xml:space="preserve">Can only be blocked by creatures with equal or lesser power (e.g. Furtive Homunculus).</x:t>
  </x:si>
  <x:si>
    <x:t xml:space="preserve">keyword:"Skulk"</x:t>
  </x:si>
  <x:si>
    <x:t xml:space="preserve">EvasionAbilities!A7:C7</x:t>
  </x:si>
  <x:si>
    <x:t xml:space="preserve">Can only block or be blocked by other creatures with Shadow (e.g. Soltari Priest).</x:t>
  </x:si>
  <x:si>
    <x:t xml:space="preserve">keyword:"Shadow"</x:t>
  </x:si>
  <x:si>
    <x:t xml:space="preserve">EvasionAbilities!A8:C8</x:t>
  </x:si>
  <x:si>
    <x:t xml:space="preserve">Can only be blocked by two or more creatures (e.g. Boggart Brute).</x:t>
  </x:si>
  <x:si>
    <x:t xml:space="preserve">keyword:"Menace"</x:t>
  </x:si>
  <x:si>
    <x:t xml:space="preserve">EvasionAbilities!A9:C9</x:t>
  </x:si>
  <x:si>
    <x:t xml:space="preserve">Unblockable if defending player controls a land with this property (e.g. Rushwood Dryad).</x:t>
  </x:si>
  <x:si>
    <x:t xml:space="preserve">keyword:"Landwalk"</x:t>
  </x:si>
  <x:si>
    <x:t xml:space="preserve">EvasionAbilities!A10:C10</x:t>
  </x:si>
  <x:si>
    <x:t xml:space="preserve">Protection from X</x:t>
  </x:si>
  <x:si>
    <x:t xml:space="preserve">Cannot be blocked by creatures with X quality (e.g. Paladin en-Vec).</x:t>
  </x:si>
  <x:si>
    <x:t xml:space="preserve">o:"Protection from X"</x:t>
  </x:si>
  <x:si>
    <x:t xml:space="preserve">EvasionAbilities!A11:C11</x:t>
  </x:si>
  <x:si>
    <x:t xml:space="preserve">Unkeyworded (Colloquial)</x:t>
  </x:si>
  <x:si>
    <x:t xml:space="preserve">Unblockable</x:t>
  </x:si>
  <x:si>
    <x:t xml:space="preserve">This creature is unblockable (e.g. Tidal Kraken).</x:t>
  </x:si>
  <x:si>
    <x:t xml:space="preserve">o:"Unblockable"</x:t>
  </x:si>
  <x:si>
    <x:t xml:space="preserve">EvasionAbilities!A12:C12</x:t>
  </x:si>
  <x:si>
    <x:t xml:space="preserve">Burrowing</x:t>
  </x:si>
  <x:si>
    <x:t xml:space="preserve">Can't be blocked by creatures with flying (e.g. Stone Spirit).</x:t>
  </x:si>
  <x:si>
    <x:t xml:space="preserve">o:"Burrowing"</x:t>
  </x:si>
  <x:si>
    <x:t xml:space="preserve">EvasionAbilities!A13:C13</x:t>
  </x:si>
  <x:si>
    <x:t xml:space="preserve">Daunt</x:t>
  </x:si>
  <x:si>
    <x:t xml:space="preserve">Can't be blocked by creatures with 2 or less power (e.g. Arlinn's Wolf).</x:t>
  </x:si>
  <x:si>
    <x:t xml:space="preserve">o:"Daunt"</x:t>
  </x:si>
  <x:si>
    <x:t xml:space="preserve">EvasionAbilities!A14:C14</x:t>
  </x:si>
  <x:si>
    <x:t xml:space="preserve">Gingerbrute ability</x:t>
  </x:si>
  <x:si>
    <x:t xml:space="preserve">Can't be blocked except by creatures with haste (e.g. Gingerbrute).</x:t>
  </x:si>
  <x:si>
    <x:t xml:space="preserve">o:"Gingerbrute ability"</x:t>
  </x:si>
  <x:si>
    <x:t xml:space="preserve">EvasionAbilities!A15:C15</x:t>
  </x:si>
  <x:si>
    <x:t xml:space="preserve">Nimble</x:t>
  </x:si>
  <x:si>
    <x:t xml:space="preserve">Can't be blocked by creatures with power 3 or greater (e.g. Lydia Frye (ACR)).</x:t>
  </x:si>
  <x:si>
    <x:t xml:space="preserve">o:"Nimble"</x:t>
  </x:si>
  <x:si>
    <x:t xml:space="preserve">EvasionAbilities!A16:C16</x:t>
  </x:si>
  <x:si>
    <x:t xml:space="preserve">Pseudo-evasion</x:t>
  </x:si>
  <x:si>
    <x:t xml:space="preserve">Deals life loss to the defender when blocked (e.g. Ammit Eternal).</x:t>
  </x:si>
  <x:si>
    <x:t xml:space="preserve">EvasionAbilities!A17:C17</x:t>
  </x:si>
  <x:si>
    <x:t xml:space="preserve">Allows excess combat damage to be dealt to the defending player (e.g. Force of Nature).</x:t>
  </x:si>
  <x:si>
    <x:t xml:space="preserve">EvasionAbilities!A18:C18</x:t>
  </x:si>
  <x:si>
    <x:t xml:space="preserve">Unstoppable</x:t>
  </x:si>
  <x:si>
    <x:t xml:space="preserve">All combat damage is dealt directly to player (e.g. Thorn Elemental).</x:t>
  </x:si>
  <x:si>
    <x:t xml:space="preserve">o:"Unstoppable"</x:t>
  </x:si>
  <x:si>
    <x:t xml:space="preserve">CardTypes!A2:B2</x:t>
  </x:si>
  <x:si>
    <x:t xml:space="preserve">Card Type</x:t>
  </x:si>
  <x:si>
    <x:t xml:space="preserve">Artifact</x:t>
  </x:si>
  <x:si>
    <x:t xml:space="preserve">Card-type taxonomy</x:t>
  </x:si>
  <x:si>
    <x:t xml:space="preserve">t:"Artifact"</x:t>
  </x:si>
  <x:si>
    <x:t xml:space="preserve">CardTypes!A3:B3</x:t>
  </x:si>
  <x:si>
    <x:t xml:space="preserve">Battle</x:t>
  </x:si>
  <x:si>
    <x:t xml:space="preserve">t:"Battle"</x:t>
  </x:si>
  <x:si>
    <x:t xml:space="preserve">CardTypes!A4:B4</x:t>
  </x:si>
  <x:si>
    <x:t xml:space="preserve">Boss</x:t>
  </x:si>
  <x:si>
    <x:t xml:space="preserve">t:"Boss"</x:t>
  </x:si>
  <x:si>
    <x:t xml:space="preserve">CardTypes!A5:B5</x:t>
  </x:si>
  <x:si>
    <x:t xml:space="preserve">Conspiracy</x:t>
  </x:si>
  <x:si>
    <x:t xml:space="preserve">t:"Conspiracy"</x:t>
  </x:si>
  <x:si>
    <x:t xml:space="preserve">CardTypes!A6:B6</x:t>
  </x:si>
  <x:si>
    <x:t xml:space="preserve">Creature</x:t>
  </x:si>
  <x:si>
    <x:t xml:space="preserve">t:"Creature"</x:t>
  </x:si>
  <x:si>
    <x:t xml:space="preserve">CardTypes!A7:B7</x:t>
  </x:si>
  <x:si>
    <x:t xml:space="preserve">Dungeon</x:t>
  </x:si>
  <x:si>
    <x:t xml:space="preserve">t:"Dungeon"</x:t>
  </x:si>
  <x:si>
    <x:t xml:space="preserve">CardTypes!A8:B8</x:t>
  </x:si>
  <x:si>
    <x:t xml:space="preserve">Emblem</x:t>
  </x:si>
  <x:si>
    <x:t xml:space="preserve">t:"Emblem"</x:t>
  </x:si>
  <x:si>
    <x:t xml:space="preserve">CardTypes!A9:B9</x:t>
  </x:si>
  <x:si>
    <x:t xml:space="preserve">Enchantment</x:t>
  </x:si>
  <x:si>
    <x:t xml:space="preserve">t:"Enchantment"</x:t>
  </x:si>
  <x:si>
    <x:t xml:space="preserve">CardTypes!A10:B10</x:t>
  </x:si>
  <x:si>
    <x:t xml:space="preserve">Event</x:t>
  </x:si>
  <x:si>
    <x:t xml:space="preserve">t:"Event"</x:t>
  </x:si>
  <x:si>
    <x:t xml:space="preserve">CardTypes!A11:B11</x:t>
  </x:si>
  <x:si>
    <x:t xml:space="preserve">CardTypes!A12:B12</x:t>
  </x:si>
  <x:si>
    <x:t xml:space="preserve">Instant</x:t>
  </x:si>
  <x:si>
    <x:t xml:space="preserve">t:"Instant"</x:t>
  </x:si>
  <x:si>
    <x:t xml:space="preserve">CardTypes!A13:B13</x:t>
  </x:si>
  <x:si>
    <x:t xml:space="preserve">Kindred</x:t>
  </x:si>
  <x:si>
    <x:t xml:space="preserve">t:"Kindred"</x:t>
  </x:si>
  <x:si>
    <x:t xml:space="preserve">CardTypes!A14:B14</x:t>
  </x:si>
  <x:si>
    <x:t xml:space="preserve">Land</x:t>
  </x:si>
  <x:si>
    <x:t xml:space="preserve">t:"Land"</x:t>
  </x:si>
  <x:si>
    <x:t xml:space="preserve">CardTypes!A15:B15</x:t>
  </x:si>
  <x:si>
    <x:t xml:space="preserve">Phenomenon</x:t>
  </x:si>
  <x:si>
    <x:t xml:space="preserve">t:"Phenomenon"</x:t>
  </x:si>
  <x:si>
    <x:t xml:space="preserve">CardTypes!A16:B16</x:t>
  </x:si>
  <x:si>
    <x:t xml:space="preserve">Plane</x:t>
  </x:si>
  <x:si>
    <x:t xml:space="preserve">t:"Plane"</x:t>
  </x:si>
  <x:si>
    <x:t xml:space="preserve">CardTypes!A17:B17</x:t>
  </x:si>
  <x:si>
    <x:t xml:space="preserve">Planeswalker</x:t>
  </x:si>
  <x:si>
    <x:t xml:space="preserve">t:"Planeswalker"</x:t>
  </x:si>
  <x:si>
    <x:t xml:space="preserve">CardTypes!A18:B18</x:t>
  </x:si>
  <x:si>
    <x:t xml:space="preserve">Scheme</x:t>
  </x:si>
  <x:si>
    <x:t xml:space="preserve">t:"Scheme"</x:t>
  </x:si>
  <x:si>
    <x:t xml:space="preserve">CardTypes!A19:B19</x:t>
  </x:si>
  <x:si>
    <x:t xml:space="preserve">Sorcery</x:t>
  </x:si>
  <x:si>
    <x:t xml:space="preserve">t:"Sorcery"</x:t>
  </x:si>
  <x:si>
    <x:t xml:space="preserve">CardTypes!A20:B20</x:t>
  </x:si>
  <x:si>
    <x:t xml:space="preserve">Vanguard</x:t>
  </x:si>
  <x:si>
    <x:t xml:space="preserve">t:"Vanguard"</x:t>
  </x:si>
  <x:si>
    <x:t xml:space="preserve">CardTypes!A21:B21</x:t>
  </x:si>
  <x:si>
    <x:t xml:space="preserve">Supertype</x:t>
  </x:si>
  <x:si>
    <x:t xml:space="preserve">Basic</x:t>
  </x:si>
  <x:si>
    <x:t xml:space="preserve">t:"Basic"</x:t>
  </x:si>
  <x:si>
    <x:t xml:space="preserve">CardTypes!A22:B22</x:t>
  </x:si>
  <x:si>
    <x:t xml:space="preserve">Elite</x:t>
  </x:si>
  <x:si>
    <x:t xml:space="preserve">t:"Elite"</x:t>
  </x:si>
  <x:si>
    <x:t xml:space="preserve">CardTypes!A23:B23</x:t>
  </x:si>
  <x:si>
    <x:t xml:space="preserve">Legendary</x:t>
  </x:si>
  <x:si>
    <x:t xml:space="preserve">t:"Legendary"</x:t>
  </x:si>
  <x:si>
    <x:t xml:space="preserve">CardTypes!A24:B24</x:t>
  </x:si>
  <x:si>
    <x:t xml:space="preserve">Ongoing</x:t>
  </x:si>
  <x:si>
    <x:t xml:space="preserve">t:"Ongoing"</x:t>
  </x:si>
  <x:si>
    <x:t xml:space="preserve">CardTypes!A25:B25</x:t>
  </x:si>
  <x:si>
    <x:t xml:space="preserve">Snow</x:t>
  </x:si>
  <x:si>
    <x:t xml:space="preserve">t:"Snow"</x:t>
  </x:si>
  <x:si>
    <x:t xml:space="preserve">CardTypes!A26:B26</x:t>
  </x:si>
  <x:si>
    <x:t xml:space="preserve">Token</x:t>
  </x:si>
  <x:si>
    <x:t xml:space="preserve">t:"Token"</x:t>
  </x:si>
  <x:si>
    <x:t xml:space="preserve">CardTypes!A27:B27</x:t>
  </x:si>
  <x:si>
    <x:t xml:space="preserve">World</x:t>
  </x:si>
  <x:si>
    <x:t xml:space="preserve">t:"World"</x:t>
  </x:si>
  <x:si>
    <x:t xml:space="preserve">CardTypes!A28:B28</x:t>
  </x:si>
  <x:si>
    <x:t xml:space="preserve">Artifact Type</x:t>
  </x:si>
  <x:si>
    <x:t xml:space="preserve">Attraction</x:t>
  </x:si>
  <x:si>
    <x:t xml:space="preserve">t:"Attraction"</x:t>
  </x:si>
  <x:si>
    <x:t xml:space="preserve">CardTypes!A29:B29</x:t>
  </x:si>
  <x:si>
    <x:t xml:space="preserve">Blood</x:t>
  </x:si>
  <x:si>
    <x:t xml:space="preserve">t:"Blood"</x:t>
  </x:si>
  <x:si>
    <x:t xml:space="preserve">CardTypes!A30:B30</x:t>
  </x:si>
  <x:si>
    <x:t xml:space="preserve">Bobblehead</x:t>
  </x:si>
  <x:si>
    <x:t xml:space="preserve">t:"Bobblehead"</x:t>
  </x:si>
  <x:si>
    <x:t xml:space="preserve">CardTypes!A31:B31</x:t>
  </x:si>
  <x:si>
    <x:t xml:space="preserve">Book</x:t>
  </x:si>
  <x:si>
    <x:t xml:space="preserve">t:"Book"</x:t>
  </x:si>
  <x:si>
    <x:t xml:space="preserve">CardTypes!A32:B32</x:t>
  </x:si>
  <x:si>
    <x:t xml:space="preserve">Clue</x:t>
  </x:si>
  <x:si>
    <x:t xml:space="preserve">t:"Clue"</x:t>
  </x:si>
  <x:si>
    <x:t xml:space="preserve">CardTypes!A33:B33</x:t>
  </x:si>
  <x:si>
    <x:t xml:space="preserve">Contraption</x:t>
  </x:si>
  <x:si>
    <x:t xml:space="preserve">t:"Contraption"</x:t>
  </x:si>
  <x:si>
    <x:t xml:space="preserve">CardTypes!A34:B34</x:t>
  </x:si>
  <x:si>
    <x:t xml:space="preserve">Equipment</x:t>
  </x:si>
  <x:si>
    <x:t xml:space="preserve">t:"Equipment"</x:t>
  </x:si>
  <x:si>
    <x:t xml:space="preserve">CardTypes!A35:B35</x:t>
  </x:si>
  <x:si>
    <x:t xml:space="preserve">t:"Food"</x:t>
  </x:si>
  <x:si>
    <x:t xml:space="preserve">CardTypes!A36:B36</x:t>
  </x:si>
  <x:si>
    <x:t xml:space="preserve">Fortification</x:t>
  </x:si>
  <x:si>
    <x:t xml:space="preserve">t:"Fortification"</x:t>
  </x:si>
  <x:si>
    <x:t xml:space="preserve">CardTypes!A37:B37</x:t>
  </x:si>
  <x:si>
    <x:t xml:space="preserve">Gold</x:t>
  </x:si>
  <x:si>
    <x:t xml:space="preserve">t:"Gold"</x:t>
  </x:si>
  <x:si>
    <x:t xml:space="preserve">CardTypes!A38:B38</x:t>
  </x:si>
  <x:si>
    <x:t xml:space="preserve">Incubator</x:t>
  </x:si>
  <x:si>
    <x:t xml:space="preserve">t:"Incubator"</x:t>
  </x:si>
  <x:si>
    <x:t xml:space="preserve">CardTypes!A39:B39</x:t>
  </x:si>
  <x:si>
    <x:t xml:space="preserve">Infinity</x:t>
  </x:si>
  <x:si>
    <x:t xml:space="preserve">t:"Infinity"</x:t>
  </x:si>
  <x:si>
    <x:t xml:space="preserve">CardTypes!A40:B40</x:t>
  </x:si>
  <x:si>
    <x:t xml:space="preserve">Junk</x:t>
  </x:si>
  <x:si>
    <x:t xml:space="preserve">t:"Junk"</x:t>
  </x:si>
  <x:si>
    <x:t xml:space="preserve">CardTypes!A41:B41</x:t>
  </x:si>
  <x:si>
    <x:t xml:space="preserve">Map</x:t>
  </x:si>
  <x:si>
    <x:t xml:space="preserve">t:"Map"</x:t>
  </x:si>
  <x:si>
    <x:t xml:space="preserve">CardTypes!A42:B42</x:t>
  </x:si>
  <x:si>
    <x:t xml:space="preserve">Powerstone</x:t>
  </x:si>
  <x:si>
    <x:t xml:space="preserve">t:"Powerstone"</x:t>
  </x:si>
  <x:si>
    <x:t xml:space="preserve">CardTypes!A43:B43</x:t>
  </x:si>
  <x:si>
    <x:t xml:space="preserve">Spacecraft</x:t>
  </x:si>
  <x:si>
    <x:t xml:space="preserve">t:"Spacecraft"</x:t>
  </x:si>
  <x:si>
    <x:t xml:space="preserve">CardTypes!A44:B44</x:t>
  </x:si>
  <x:si>
    <x:t xml:space="preserve">Stone</x:t>
  </x:si>
  <x:si>
    <x:t xml:space="preserve">t:"Stone"</x:t>
  </x:si>
  <x:si>
    <x:t xml:space="preserve">CardTypes!A45:B45</x:t>
  </x:si>
  <x:si>
    <x:t xml:space="preserve">Terminus</x:t>
  </x:si>
  <x:si>
    <x:t xml:space="preserve">t:"Terminus"</x:t>
  </x:si>
  <x:si>
    <x:t xml:space="preserve">CardTypes!A46:B46</x:t>
  </x:si>
  <x:si>
    <x:t xml:space="preserve">t:"Treasure"</x:t>
  </x:si>
  <x:si>
    <x:t xml:space="preserve">CardTypes!A47:B47</x:t>
  </x:si>
  <x:si>
    <x:t xml:space="preserve">Vehicle</x:t>
  </x:si>
  <x:si>
    <x:t xml:space="preserve">t:"Vehicle"</x:t>
  </x:si>
  <x:si>
    <x:t xml:space="preserve">CardTypes!A48:B48</x:t>
  </x:si>
  <x:si>
    <x:t xml:space="preserve">Enchantment Type</x:t>
  </x:si>
  <x:si>
    <x:t xml:space="preserve">Aura</x:t>
  </x:si>
  <x:si>
    <x:t xml:space="preserve">t:"Aura"</x:t>
  </x:si>
  <x:si>
    <x:t xml:space="preserve">CardTypes!A49:B49</x:t>
  </x:si>
  <x:si>
    <x:t xml:space="preserve">Background</x:t>
  </x:si>
  <x:si>
    <x:t xml:space="preserve">t:"Background"</x:t>
  </x:si>
  <x:si>
    <x:t xml:space="preserve">CardTypes!A50:B50</x:t>
  </x:si>
  <x:si>
    <x:t xml:space="preserve">Cartouche</x:t>
  </x:si>
  <x:si>
    <x:t xml:space="preserve">t:"Cartouche"</x:t>
  </x:si>
  <x:si>
    <x:t xml:space="preserve">CardTypes!A51:B51</x:t>
  </x:si>
  <x:si>
    <x:t xml:space="preserve">Case</x:t>
  </x:si>
  <x:si>
    <x:t xml:space="preserve">t:"Case"</x:t>
  </x:si>
  <x:si>
    <x:t xml:space="preserve">CardTypes!A52:B52</x:t>
  </x:si>
  <x:si>
    <x:t xml:space="preserve">Class</x:t>
  </x:si>
  <x:si>
    <x:t xml:space="preserve">t:"Class"</x:t>
  </x:si>
  <x:si>
    <x:t xml:space="preserve">CardTypes!A53:B53</x:t>
  </x:si>
  <x:si>
    <x:t xml:space="preserve">Curse</x:t>
  </x:si>
  <x:si>
    <x:t xml:space="preserve">t:"Curse"</x:t>
  </x:si>
  <x:si>
    <x:t xml:space="preserve">CardTypes!A54:B54</x:t>
  </x:si>
  <x:si>
    <x:t xml:space="preserve">Plan</x:t>
  </x:si>
  <x:si>
    <x:t xml:space="preserve">t:"Plan"</x:t>
  </x:si>
  <x:si>
    <x:t xml:space="preserve">CardTypes!A55:B55</x:t>
  </x:si>
  <x:si>
    <x:t xml:space="preserve">Role</x:t>
  </x:si>
  <x:si>
    <x:t xml:space="preserve">t:"Role"</x:t>
  </x:si>
  <x:si>
    <x:t xml:space="preserve">CardTypes!A56:B56</x:t>
  </x:si>
  <x:si>
    <x:t xml:space="preserve">Room</x:t>
  </x:si>
  <x:si>
    <x:t xml:space="preserve">t:"Room"</x:t>
  </x:si>
  <x:si>
    <x:t xml:space="preserve">CardTypes!A57:B57</x:t>
  </x:si>
  <x:si>
    <x:t xml:space="preserve">Rune</x:t>
  </x:si>
  <x:si>
    <x:t xml:space="preserve">t:"Rune"</x:t>
  </x:si>
  <x:si>
    <x:t xml:space="preserve">CardTypes!A58:B58</x:t>
  </x:si>
  <x:si>
    <x:t xml:space="preserve">Saga</x:t>
  </x:si>
  <x:si>
    <x:t xml:space="preserve">t:"Saga"</x:t>
  </x:si>
  <x:si>
    <x:t xml:space="preserve">CardTypes!A59:B59</x:t>
  </x:si>
  <x:si>
    <x:t xml:space="preserve">Shard</x:t>
  </x:si>
  <x:si>
    <x:t xml:space="preserve">t:"Shard"</x:t>
  </x:si>
  <x:si>
    <x:t xml:space="preserve">CardTypes!A60:B60</x:t>
  </x:si>
  <x:si>
    <x:t xml:space="preserve">Shrine</x:t>
  </x:si>
  <x:si>
    <x:t xml:space="preserve">t:"Shrine"</x:t>
  </x:si>
  <x:si>
    <x:t xml:space="preserve">CardTypes!A61:B61</x:t>
  </x:si>
  <x:si>
    <x:t xml:space="preserve">Land Type</x:t>
  </x:si>
  <x:si>
    <x:t xml:space="preserve">Cave</x:t>
  </x:si>
  <x:si>
    <x:t xml:space="preserve">t:"Cave"</x:t>
  </x:si>
  <x:si>
    <x:t xml:space="preserve">CardTypes!A62:B62</x:t>
  </x:si>
  <x:si>
    <x:t xml:space="preserve">Cloud</x:t>
  </x:si>
  <x:si>
    <x:t xml:space="preserve">t:"Cloud"</x:t>
  </x:si>
  <x:si>
    <x:t xml:space="preserve">CardTypes!A63:B63</x:t>
  </x:si>
  <x:si>
    <x:t xml:space="preserve">Desert</x:t>
  </x:si>
  <x:si>
    <x:t xml:space="preserve">t:"Desert"</x:t>
  </x:si>
  <x:si>
    <x:t xml:space="preserve">CardTypes!A64:B64</x:t>
  </x:si>
  <x:si>
    <x:t xml:space="preserve">Forest</x:t>
  </x:si>
  <x:si>
    <x:t xml:space="preserve">t:"Forest"</x:t>
  </x:si>
  <x:si>
    <x:t xml:space="preserve">CardTypes!A65:B65</x:t>
  </x:si>
  <x:si>
    <x:t xml:space="preserve">Gate</x:t>
  </x:si>
  <x:si>
    <x:t xml:space="preserve">t:"Gate"</x:t>
  </x:si>
  <x:si>
    <x:t xml:space="preserve">CardTypes!A66:B66</x:t>
  </x:si>
  <x:si>
    <x:t xml:space="preserve">Island</x:t>
  </x:si>
  <x:si>
    <x:t xml:space="preserve">t:"Island"</x:t>
  </x:si>
  <x:si>
    <x:t xml:space="preserve">CardTypes!A67:B67</x:t>
  </x:si>
  <x:si>
    <x:t xml:space="preserve">Lair</x:t>
  </x:si>
  <x:si>
    <x:t xml:space="preserve">t:"Lair"</x:t>
  </x:si>
  <x:si>
    <x:t xml:space="preserve">CardTypes!A68:B68</x:t>
  </x:si>
  <x:si>
    <x:t xml:space="preserve">Locus</x:t>
  </x:si>
  <x:si>
    <x:t xml:space="preserve">t:"Locus"</x:t>
  </x:si>
  <x:si>
    <x:t xml:space="preserve">CardTypes!A69:B69</x:t>
  </x:si>
  <x:si>
    <x:t xml:space="preserve">Mine</x:t>
  </x:si>
  <x:si>
    <x:t xml:space="preserve">t:"Mine"</x:t>
  </x:si>
  <x:si>
    <x:t xml:space="preserve">CardTypes!A70:B70</x:t>
  </x:si>
  <x:si>
    <x:t xml:space="preserve">Mountain</x:t>
  </x:si>
  <x:si>
    <x:t xml:space="preserve">t:"Mountain"</x:t>
  </x:si>
  <x:si>
    <x:t xml:space="preserve">CardTypes!A71:B71</x:t>
  </x:si>
  <x:si>
    <x:t xml:space="preserve">Plains</x:t>
  </x:si>
  <x:si>
    <x:t xml:space="preserve">t:"Plains"</x:t>
  </x:si>
  <x:si>
    <x:t xml:space="preserve">CardTypes!A72:B72</x:t>
  </x:si>
  <x:si>
    <x:t xml:space="preserve">Planet</x:t>
  </x:si>
  <x:si>
    <x:t xml:space="preserve">t:"Planet"</x:t>
  </x:si>
  <x:si>
    <x:t xml:space="preserve">CardTypes!A73:B73</x:t>
  </x:si>
  <x:si>
    <x:t xml:space="preserve">Power-Plant</x:t>
  </x:si>
  <x:si>
    <x:t xml:space="preserve">t:"Power-Plant"</x:t>
  </x:si>
  <x:si>
    <x:t xml:space="preserve">CardTypes!A74:B74</x:t>
  </x:si>
  <x:si>
    <x:t xml:space="preserve">Sphere</x:t>
  </x:si>
  <x:si>
    <x:t xml:space="preserve">t:"Sphere"</x:t>
  </x:si>
  <x:si>
    <x:t xml:space="preserve">CardTypes!A75:B75</x:t>
  </x:si>
  <x:si>
    <x:t xml:space="preserve">Swamp</x:t>
  </x:si>
  <x:si>
    <x:t xml:space="preserve">t:"Swamp"</x:t>
  </x:si>
  <x:si>
    <x:t xml:space="preserve">CardTypes!A76:B76</x:t>
  </x:si>
  <x:si>
    <x:t xml:space="preserve">Tower</x:t>
  </x:si>
  <x:si>
    <x:t xml:space="preserve">t:"Tower"</x:t>
  </x:si>
  <x:si>
    <x:t xml:space="preserve">CardTypes!A77:B77</x:t>
  </x:si>
  <x:si>
    <x:t xml:space="preserve">Town</x:t>
  </x:si>
  <x:si>
    <x:t xml:space="preserve">t:"Town"</x:t>
  </x:si>
  <x:si>
    <x:t xml:space="preserve">CardTypes!A78:B78</x:t>
  </x:si>
  <x:si>
    <x:t xml:space="preserve">Urza's</x:t>
  </x:si>
  <x:si>
    <x:t xml:space="preserve">t:"Urza's"</x:t>
  </x:si>
  <x:si>
    <x:t xml:space="preserve">CardTypes!A79:B79</x:t>
  </x:si>
  <x:si>
    <x:t xml:space="preserve">Spell Type</x:t>
  </x:si>
  <x:si>
    <x:t xml:space="preserve">Adventure</x:t>
  </x:si>
  <x:si>
    <x:t xml:space="preserve">t:"Adventure"</x:t>
  </x:si>
  <x:si>
    <x:t xml:space="preserve">CardTypes!A80:B80</x:t>
  </x:si>
  <x:si>
    <x:t xml:space="preserve">Arcane</x:t>
  </x:si>
  <x:si>
    <x:t xml:space="preserve">t:"Arcane"</x:t>
  </x:si>
  <x:si>
    <x:t xml:space="preserve">CardTypes!A81:B81</x:t>
  </x:si>
  <x:si>
    <x:t xml:space="preserve">Chorus</x:t>
  </x:si>
  <x:si>
    <x:t xml:space="preserve">t:"Chorus"</x:t>
  </x:si>
  <x:si>
    <x:t xml:space="preserve">CardTypes!A82:B82</x:t>
  </x:si>
  <x:si>
    <x:t xml:space="preserve">Lesson</x:t>
  </x:si>
  <x:si>
    <x:t xml:space="preserve">t:"Lesson"</x:t>
  </x:si>
  <x:si>
    <x:t xml:space="preserve">CardTypes!A83:B83</x:t>
  </x:si>
  <x:si>
    <x:t xml:space="preserve">Omen</x:t>
  </x:si>
  <x:si>
    <x:t xml:space="preserve">t:"Omen"</x:t>
  </x:si>
  <x:si>
    <x:t xml:space="preserve">CardTypes!A84:B84</x:t>
  </x:si>
  <x:si>
    <x:t xml:space="preserve">Trap</x:t>
  </x:si>
  <x:si>
    <x:t xml:space="preserve">t:"Trap"</x:t>
  </x:si>
  <x:si>
    <x:t xml:space="preserve">PlaneswalkerTypes!A2</x:t>
  </x:si>
  <x:si>
    <x:t xml:space="preserve">Planeswalker Type</x:t>
  </x:si>
  <x:si>
    <x:t xml:space="preserve">Abian</x:t>
  </x:si>
  <x:si>
    <x:t xml:space="preserve">Planeswalker subtype</x:t>
  </x:si>
  <x:si>
    <x:t xml:space="preserve">t:"Abian"</x:t>
  </x:si>
  <x:si>
    <x:t xml:space="preserve">PlaneswalkerTypes!A3</x:t>
  </x:si>
  <x:si>
    <x:t xml:space="preserve">Ajani</x:t>
  </x:si>
  <x:si>
    <x:t xml:space="preserve">t:"Ajani"</x:t>
  </x:si>
  <x:si>
    <x:t xml:space="preserve">PlaneswalkerTypes!A4</x:t>
  </x:si>
  <x:si>
    <x:t xml:space="preserve">Aminatou</x:t>
  </x:si>
  <x:si>
    <x:t xml:space="preserve">t:"Aminatou"</x:t>
  </x:si>
  <x:si>
    <x:t xml:space="preserve">PlaneswalkerTypes!A5</x:t>
  </x:si>
  <x:si>
    <x:t xml:space="preserve">Angrath</x:t>
  </x:si>
  <x:si>
    <x:t xml:space="preserve">t:"Angrath"</x:t>
  </x:si>
  <x:si>
    <x:t xml:space="preserve">PlaneswalkerTypes!A6</x:t>
  </x:si>
  <x:si>
    <x:t xml:space="preserve">Arlinn</x:t>
  </x:si>
  <x:si>
    <x:t xml:space="preserve">t:"Arlinn"</x:t>
  </x:si>
  <x:si>
    <x:t xml:space="preserve">PlaneswalkerTypes!A7</x:t>
  </x:si>
  <x:si>
    <x:t xml:space="preserve">Ashiok</x:t>
  </x:si>
  <x:si>
    <x:t xml:space="preserve">t:"Ashiok"</x:t>
  </x:si>
  <x:si>
    <x:t xml:space="preserve">PlaneswalkerTypes!A8</x:t>
  </x:si>
  <x:si>
    <x:t xml:space="preserve">B.O.B.</x:t>
  </x:si>
  <x:si>
    <x:t xml:space="preserve">t:"B.O.B."</x:t>
  </x:si>
  <x:si>
    <x:t xml:space="preserve">PlaneswalkerTypes!A9</x:t>
  </x:si>
  <x:si>
    <x:t xml:space="preserve">Bahamut</x:t>
  </x:si>
  <x:si>
    <x:t xml:space="preserve">t:"Bahamut"</x:t>
  </x:si>
  <x:si>
    <x:t xml:space="preserve">PlaneswalkerTypes!A10</x:t>
  </x:si>
  <x:si>
    <x:t xml:space="preserve">Basri</x:t>
  </x:si>
  <x:si>
    <x:t xml:space="preserve">t:"Basri"</x:t>
  </x:si>
  <x:si>
    <x:t xml:space="preserve">PlaneswalkerTypes!A11</x:t>
  </x:si>
  <x:si>
    <x:t xml:space="preserve">Bolas</x:t>
  </x:si>
  <x:si>
    <x:t xml:space="preserve">t:"Bolas"</x:t>
  </x:si>
  <x:si>
    <x:t xml:space="preserve">PlaneswalkerTypes!A12</x:t>
  </x:si>
  <x:si>
    <x:t xml:space="preserve">Calix</x:t>
  </x:si>
  <x:si>
    <x:t xml:space="preserve">t:"Calix"</x:t>
  </x:si>
  <x:si>
    <x:t xml:space="preserve">PlaneswalkerTypes!A13</x:t>
  </x:si>
  <x:si>
    <x:t xml:space="preserve">Chandra</x:t>
  </x:si>
  <x:si>
    <x:t xml:space="preserve">t:"Chandra"</x:t>
  </x:si>
  <x:si>
    <x:t xml:space="preserve">PlaneswalkerTypes!A14</x:t>
  </x:si>
  <x:si>
    <x:t xml:space="preserve">Comet</x:t>
  </x:si>
  <x:si>
    <x:t xml:space="preserve">t:"Comet"</x:t>
  </x:si>
  <x:si>
    <x:t xml:space="preserve">PlaneswalkerTypes!A15</x:t>
  </x:si>
  <x:si>
    <x:t xml:space="preserve">Dack</x:t>
  </x:si>
  <x:si>
    <x:t xml:space="preserve">t:"Dack"</x:t>
  </x:si>
  <x:si>
    <x:t xml:space="preserve">PlaneswalkerTypes!A16</x:t>
  </x:si>
  <x:si>
    <x:t xml:space="preserve">Dakkon</x:t>
  </x:si>
  <x:si>
    <x:t xml:space="preserve">t:"Dakkon"</x:t>
  </x:si>
  <x:si>
    <x:t xml:space="preserve">PlaneswalkerTypes!A17</x:t>
  </x:si>
  <x:si>
    <x:t xml:space="preserve">Daretti</x:t>
  </x:si>
  <x:si>
    <x:t xml:space="preserve">t:"Daretti"</x:t>
  </x:si>
  <x:si>
    <x:t xml:space="preserve">PlaneswalkerTypes!A18</x:t>
  </x:si>
  <x:si>
    <x:t xml:space="preserve">Davriel</x:t>
  </x:si>
  <x:si>
    <x:t xml:space="preserve">t:"Davriel"</x:t>
  </x:si>
  <x:si>
    <x:t xml:space="preserve">PlaneswalkerTypes!A19</x:t>
  </x:si>
  <x:si>
    <x:t xml:space="preserve">Deb</x:t>
  </x:si>
  <x:si>
    <x:t xml:space="preserve">t:"Deb"</x:t>
  </x:si>
  <x:si>
    <x:t xml:space="preserve">PlaneswalkerTypes!A20</x:t>
  </x:si>
  <x:si>
    <x:t xml:space="preserve">Dellian</x:t>
  </x:si>
  <x:si>
    <x:t xml:space="preserve">t:"Dellian"</x:t>
  </x:si>
  <x:si>
    <x:t xml:space="preserve">PlaneswalkerTypes!A21</x:t>
  </x:si>
  <x:si>
    <x:t xml:space="preserve">Dihada</x:t>
  </x:si>
  <x:si>
    <x:t xml:space="preserve">t:"Dihada"</x:t>
  </x:si>
  <x:si>
    <x:t xml:space="preserve">PlaneswalkerTypes!A22</x:t>
  </x:si>
  <x:si>
    <x:t xml:space="preserve">Domri</x:t>
  </x:si>
  <x:si>
    <x:t xml:space="preserve">t:"Domri"</x:t>
  </x:si>
  <x:si>
    <x:t xml:space="preserve">PlaneswalkerTypes!A23</x:t>
  </x:si>
  <x:si>
    <x:t xml:space="preserve">Dovin</x:t>
  </x:si>
  <x:si>
    <x:t xml:space="preserve">t:"Dovin"</x:t>
  </x:si>
  <x:si>
    <x:t xml:space="preserve">PlaneswalkerTypes!A24</x:t>
  </x:si>
  <x:si>
    <x:t xml:space="preserve">Duck</x:t>
  </x:si>
  <x:si>
    <x:t xml:space="preserve">t:"Duck"</x:t>
  </x:si>
  <x:si>
    <x:t xml:space="preserve">PlaneswalkerTypes!A25</x:t>
  </x:si>
  <x:si>
    <x:t xml:space="preserve">PlaneswalkerTypes!A26</x:t>
  </x:si>
  <x:si>
    <x:t xml:space="preserve">Ellywick</x:t>
  </x:si>
  <x:si>
    <x:t xml:space="preserve">t:"Ellywick"</x:t>
  </x:si>
  <x:si>
    <x:t xml:space="preserve">PlaneswalkerTypes!A27</x:t>
  </x:si>
  <x:si>
    <x:t xml:space="preserve">Elminster</x:t>
  </x:si>
  <x:si>
    <x:t xml:space="preserve">t:"Elminster"</x:t>
  </x:si>
  <x:si>
    <x:t xml:space="preserve">PlaneswalkerTypes!A28</x:t>
  </x:si>
  <x:si>
    <x:t xml:space="preserve">Elspeth</x:t>
  </x:si>
  <x:si>
    <x:t xml:space="preserve">t:"Elspeth"</x:t>
  </x:si>
  <x:si>
    <x:t xml:space="preserve">PlaneswalkerTypes!A29</x:t>
  </x:si>
  <x:si>
    <x:t xml:space="preserve">Ersta</x:t>
  </x:si>
  <x:si>
    <x:t xml:space="preserve">t:"Ersta"</x:t>
  </x:si>
  <x:si>
    <x:t xml:space="preserve">PlaneswalkerTypes!A30</x:t>
  </x:si>
  <x:si>
    <x:t xml:space="preserve">Estrid</x:t>
  </x:si>
  <x:si>
    <x:t xml:space="preserve">t:"Estrid"</x:t>
  </x:si>
  <x:si>
    <x:t xml:space="preserve">PlaneswalkerTypes!A31</x:t>
  </x:si>
  <x:si>
    <x:t xml:space="preserve">Freyalise</x:t>
  </x:si>
  <x:si>
    <x:t xml:space="preserve">t:"Freyalise"</x:t>
  </x:si>
  <x:si>
    <x:t xml:space="preserve">PlaneswalkerTypes!A32</x:t>
  </x:si>
  <x:si>
    <x:t xml:space="preserve">Garruk</x:t>
  </x:si>
  <x:si>
    <x:t xml:space="preserve">t:"Garruk"</x:t>
  </x:si>
  <x:si>
    <x:t xml:space="preserve">PlaneswalkerTypes!A33</x:t>
  </x:si>
  <x:si>
    <x:t xml:space="preserve">Gideon</x:t>
  </x:si>
  <x:si>
    <x:t xml:space="preserve">t:"Gideon"</x:t>
  </x:si>
  <x:si>
    <x:t xml:space="preserve">PlaneswalkerTypes!A34</x:t>
  </x:si>
  <x:si>
    <x:t xml:space="preserve">Grist</x:t>
  </x:si>
  <x:si>
    <x:t xml:space="preserve">t:"Grist"</x:t>
  </x:si>
  <x:si>
    <x:t xml:space="preserve">PlaneswalkerTypes!A35</x:t>
  </x:si>
  <x:si>
    <x:t xml:space="preserve">Guff</x:t>
  </x:si>
  <x:si>
    <x:t xml:space="preserve">t:"Guff"</x:t>
  </x:si>
  <x:si>
    <x:t xml:space="preserve">PlaneswalkerTypes!A36</x:t>
  </x:si>
  <x:si>
    <x:t xml:space="preserve">Huatli</x:t>
  </x:si>
  <x:si>
    <x:t xml:space="preserve">t:"Huatli"</x:t>
  </x:si>
  <x:si>
    <x:t xml:space="preserve">PlaneswalkerTypes!A37</x:t>
  </x:si>
  <x:si>
    <x:t xml:space="preserve">Inzerva</x:t>
  </x:si>
  <x:si>
    <x:t xml:space="preserve">t:"Inzerva"</x:t>
  </x:si>
  <x:si>
    <x:t xml:space="preserve">PlaneswalkerTypes!A38</x:t>
  </x:si>
  <x:si>
    <x:t xml:space="preserve">Jace</x:t>
  </x:si>
  <x:si>
    <x:t xml:space="preserve">t:"Jace"</x:t>
  </x:si>
  <x:si>
    <x:t xml:space="preserve">PlaneswalkerTypes!A39</x:t>
  </x:si>
  <x:si>
    <x:t xml:space="preserve">Jared</x:t>
  </x:si>
  <x:si>
    <x:t xml:space="preserve">t:"Jared"</x:t>
  </x:si>
  <x:si>
    <x:t xml:space="preserve">PlaneswalkerTypes!A40</x:t>
  </x:si>
  <x:si>
    <x:t xml:space="preserve">Jaya</x:t>
  </x:si>
  <x:si>
    <x:t xml:space="preserve">t:"Jaya"</x:t>
  </x:si>
  <x:si>
    <x:t xml:space="preserve">PlaneswalkerTypes!A41</x:t>
  </x:si>
  <x:si>
    <x:t xml:space="preserve">Jeska</x:t>
  </x:si>
  <x:si>
    <x:t xml:space="preserve">t:"Jeska"</x:t>
  </x:si>
  <x:si>
    <x:t xml:space="preserve">PlaneswalkerTypes!A42</x:t>
  </x:si>
  <x:si>
    <x:t xml:space="preserve">Kaito</x:t>
  </x:si>
  <x:si>
    <x:t xml:space="preserve">t:"Kaito"</x:t>
  </x:si>
  <x:si>
    <x:t xml:space="preserve">PlaneswalkerTypes!A43</x:t>
  </x:si>
  <x:si>
    <x:t xml:space="preserve">Karn</x:t>
  </x:si>
  <x:si>
    <x:t xml:space="preserve">t:"Karn"</x:t>
  </x:si>
  <x:si>
    <x:t xml:space="preserve">PlaneswalkerTypes!A44</x:t>
  </x:si>
  <x:si>
    <x:t xml:space="preserve">Kasmina</x:t>
  </x:si>
  <x:si>
    <x:t xml:space="preserve">t:"Kasmina"</x:t>
  </x:si>
  <x:si>
    <x:t xml:space="preserve">PlaneswalkerTypes!A45</x:t>
  </x:si>
  <x:si>
    <x:t xml:space="preserve">Kaya</x:t>
  </x:si>
  <x:si>
    <x:t xml:space="preserve">t:"Kaya"</x:t>
  </x:si>
  <x:si>
    <x:t xml:space="preserve">PlaneswalkerTypes!A46</x:t>
  </x:si>
  <x:si>
    <x:t xml:space="preserve">Kiora</x:t>
  </x:si>
  <x:si>
    <x:t xml:space="preserve">t:"Kiora"</x:t>
  </x:si>
  <x:si>
    <x:t xml:space="preserve">PlaneswalkerTypes!A47</x:t>
  </x:si>
  <x:si>
    <x:t xml:space="preserve">Koth</x:t>
  </x:si>
  <x:si>
    <x:t xml:space="preserve">t:"Koth"</x:t>
  </x:si>
  <x:si>
    <x:t xml:space="preserve">PlaneswalkerTypes!A48</x:t>
  </x:si>
  <x:si>
    <x:t xml:space="preserve">Liliana</x:t>
  </x:si>
  <x:si>
    <x:t xml:space="preserve">t:"Liliana"</x:t>
  </x:si>
  <x:si>
    <x:t xml:space="preserve">PlaneswalkerTypes!A49</x:t>
  </x:si>
  <x:si>
    <x:t xml:space="preserve">Lolth</x:t>
  </x:si>
  <x:si>
    <x:t xml:space="preserve">t:"Lolth"</x:t>
  </x:si>
  <x:si>
    <x:t xml:space="preserve">PlaneswalkerTypes!A50</x:t>
  </x:si>
  <x:si>
    <x:t xml:space="preserve">Lukka</x:t>
  </x:si>
  <x:si>
    <x:t xml:space="preserve">t:"Lukka"</x:t>
  </x:si>
  <x:si>
    <x:t xml:space="preserve">PlaneswalkerTypes!A51</x:t>
  </x:si>
  <x:si>
    <x:t xml:space="preserve">Luxior</x:t>
  </x:si>
  <x:si>
    <x:t xml:space="preserve">t:"Luxior"</x:t>
  </x:si>
  <x:si>
    <x:t xml:space="preserve">PlaneswalkerTypes!A52</x:t>
  </x:si>
  <x:si>
    <x:t xml:space="preserve">Master</x:t>
  </x:si>
  <x:si>
    <x:t xml:space="preserve">t:"Master"</x:t>
  </x:si>
  <x:si>
    <x:t xml:space="preserve">PlaneswalkerTypes!A53</x:t>
  </x:si>
  <x:si>
    <x:t xml:space="preserve">Minsc</x:t>
  </x:si>
  <x:si>
    <x:t xml:space="preserve">t:"Minsc"</x:t>
  </x:si>
  <x:si>
    <x:t xml:space="preserve">PlaneswalkerTypes!A54</x:t>
  </x:si>
  <x:si>
    <x:t xml:space="preserve">Monopoly</x:t>
  </x:si>
  <x:si>
    <x:t xml:space="preserve">t:"Monopoly"</x:t>
  </x:si>
  <x:si>
    <x:t xml:space="preserve">PlaneswalkerTypes!A55</x:t>
  </x:si>
  <x:si>
    <x:t xml:space="preserve">Mordenkainen</x:t>
  </x:si>
  <x:si>
    <x:t xml:space="preserve">t:"Mordenkainen"</x:t>
  </x:si>
  <x:si>
    <x:t xml:space="preserve">PlaneswalkerTypes!A56</x:t>
  </x:si>
  <x:si>
    <x:t xml:space="preserve">Nahiri</x:t>
  </x:si>
  <x:si>
    <x:t xml:space="preserve">t:"Nahiri"</x:t>
  </x:si>
  <x:si>
    <x:t xml:space="preserve">PlaneswalkerTypes!A57</x:t>
  </x:si>
  <x:si>
    <x:t xml:space="preserve">Narset</x:t>
  </x:si>
  <x:si>
    <x:t xml:space="preserve">t:"Narset"</x:t>
  </x:si>
  <x:si>
    <x:t xml:space="preserve">PlaneswalkerTypes!A58</x:t>
  </x:si>
  <x:si>
    <x:t xml:space="preserve">Niko</x:t>
  </x:si>
  <x:si>
    <x:t xml:space="preserve">t:"Niko"</x:t>
  </x:si>
  <x:si>
    <x:t xml:space="preserve">PlaneswalkerTypes!A59</x:t>
  </x:si>
  <x:si>
    <x:t xml:space="preserve">Nissa</x:t>
  </x:si>
  <x:si>
    <x:t xml:space="preserve">t:"Nissa"</x:t>
  </x:si>
  <x:si>
    <x:t xml:space="preserve">PlaneswalkerTypes!A60</x:t>
  </x:si>
  <x:si>
    <x:t xml:space="preserve">Nixilis</x:t>
  </x:si>
  <x:si>
    <x:t xml:space="preserve">t:"Nixilis"</x:t>
  </x:si>
  <x:si>
    <x:t xml:space="preserve">PlaneswalkerTypes!A61</x:t>
  </x:si>
  <x:si>
    <x:t xml:space="preserve">Oko</x:t>
  </x:si>
  <x:si>
    <x:t xml:space="preserve">t:"Oko"</x:t>
  </x:si>
  <x:si>
    <x:t xml:space="preserve">PlaneswalkerTypes!A62</x:t>
  </x:si>
  <x:si>
    <x:t xml:space="preserve">Quintorius</x:t>
  </x:si>
  <x:si>
    <x:t xml:space="preserve">t:"Quintorius"</x:t>
  </x:si>
  <x:si>
    <x:t xml:space="preserve">PlaneswalkerTypes!A63</x:t>
  </x:si>
  <x:si>
    <x:t xml:space="preserve">Ral</x:t>
  </x:si>
  <x:si>
    <x:t xml:space="preserve">t:"Ral"</x:t>
  </x:si>
  <x:si>
    <x:t xml:space="preserve">PlaneswalkerTypes!A64</x:t>
  </x:si>
  <x:si>
    <x:t xml:space="preserve">Rowan</x:t>
  </x:si>
  <x:si>
    <x:t xml:space="preserve">t:"Rowan"</x:t>
  </x:si>
  <x:si>
    <x:t xml:space="preserve">PlaneswalkerTypes!A65</x:t>
  </x:si>
  <x:si>
    <x:t xml:space="preserve">Saheeli</x:t>
  </x:si>
  <x:si>
    <x:t xml:space="preserve">t:"Saheeli"</x:t>
  </x:si>
  <x:si>
    <x:t xml:space="preserve">PlaneswalkerTypes!A66</x:t>
  </x:si>
  <x:si>
    <x:t xml:space="preserve">Samut</x:t>
  </x:si>
  <x:si>
    <x:t xml:space="preserve">t:"Samut"</x:t>
  </x:si>
  <x:si>
    <x:t xml:space="preserve">PlaneswalkerTypes!A67</x:t>
  </x:si>
  <x:si>
    <x:t xml:space="preserve">Sarkhan</x:t>
  </x:si>
  <x:si>
    <x:t xml:space="preserve">t:"Sarkhan"</x:t>
  </x:si>
  <x:si>
    <x:t xml:space="preserve">PlaneswalkerTypes!A68</x:t>
  </x:si>
  <x:si>
    <x:t xml:space="preserve">Serra</x:t>
  </x:si>
  <x:si>
    <x:t xml:space="preserve">t:"Serra"</x:t>
  </x:si>
  <x:si>
    <x:t xml:space="preserve">PlaneswalkerTypes!A69</x:t>
  </x:si>
  <x:si>
    <x:t xml:space="preserve">Sivitri</x:t>
  </x:si>
  <x:si>
    <x:t xml:space="preserve">t:"Sivitri"</x:t>
  </x:si>
  <x:si>
    <x:t xml:space="preserve">PlaneswalkerTypes!A70</x:t>
  </x:si>
  <x:si>
    <x:t xml:space="preserve">Sorin</x:t>
  </x:si>
  <x:si>
    <x:t xml:space="preserve">t:"Sorin"</x:t>
  </x:si>
  <x:si>
    <x:t xml:space="preserve">PlaneswalkerTypes!A71</x:t>
  </x:si>
  <x:si>
    <x:t xml:space="preserve">Svega</x:t>
  </x:si>
  <x:si>
    <x:t xml:space="preserve">t:"Svega"</x:t>
  </x:si>
  <x:si>
    <x:t xml:space="preserve">PlaneswalkerTypes!A72</x:t>
  </x:si>
  <x:si>
    <x:t xml:space="preserve">Szat</x:t>
  </x:si>
  <x:si>
    <x:t xml:space="preserve">t:"Szat"</x:t>
  </x:si>
  <x:si>
    <x:t xml:space="preserve">PlaneswalkerTypes!A73</x:t>
  </x:si>
  <x:si>
    <x:t xml:space="preserve">Tamiyo</x:t>
  </x:si>
  <x:si>
    <x:t xml:space="preserve">t:"Tamiyo"</x:t>
  </x:si>
  <x:si>
    <x:t xml:space="preserve">PlaneswalkerTypes!A74</x:t>
  </x:si>
  <x:si>
    <x:t xml:space="preserve">Tasha</x:t>
  </x:si>
  <x:si>
    <x:t xml:space="preserve">t:"Tasha"</x:t>
  </x:si>
  <x:si>
    <x:t xml:space="preserve">PlaneswalkerTypes!A75</x:t>
  </x:si>
  <x:si>
    <x:t xml:space="preserve">Teferi</x:t>
  </x:si>
  <x:si>
    <x:t xml:space="preserve">t:"Teferi"</x:t>
  </x:si>
  <x:si>
    <x:t xml:space="preserve">PlaneswalkerTypes!A76</x:t>
  </x:si>
  <x:si>
    <x:t xml:space="preserve">Teyo</x:t>
  </x:si>
  <x:si>
    <x:t xml:space="preserve">t:"Teyo"</x:t>
  </x:si>
  <x:si>
    <x:t xml:space="preserve">PlaneswalkerTypes!A77</x:t>
  </x:si>
  <x:si>
    <x:t xml:space="preserve">Tezzeret</x:t>
  </x:si>
  <x:si>
    <x:t xml:space="preserve">t:"Tezzeret"</x:t>
  </x:si>
  <x:si>
    <x:t xml:space="preserve">PlaneswalkerTypes!A78</x:t>
  </x:si>
  <x:si>
    <x:t xml:space="preserve">Tibalt</x:t>
  </x:si>
  <x:si>
    <x:t xml:space="preserve">t:"Tibalt"</x:t>
  </x:si>
  <x:si>
    <x:t xml:space="preserve">PlaneswalkerTypes!A79</x:t>
  </x:si>
  <x:si>
    <x:t xml:space="preserve">Tyvar</x:t>
  </x:si>
  <x:si>
    <x:t xml:space="preserve">t:"Tyvar"</x:t>
  </x:si>
  <x:si>
    <x:t xml:space="preserve">PlaneswalkerTypes!A80</x:t>
  </x:si>
  <x:si>
    <x:t xml:space="preserve">Ugin</x:t>
  </x:si>
  <x:si>
    <x:t xml:space="preserve">t:"Ugin"</x:t>
  </x:si>
  <x:si>
    <x:t xml:space="preserve">PlaneswalkerTypes!A81</x:t>
  </x:si>
  <x:si>
    <x:t xml:space="preserve">Urza</x:t>
  </x:si>
  <x:si>
    <x:t xml:space="preserve">t:"Urza"</x:t>
  </x:si>
  <x:si>
    <x:t xml:space="preserve">PlaneswalkerTypes!A82</x:t>
  </x:si>
  <x:si>
    <x:t xml:space="preserve">Venser</x:t>
  </x:si>
  <x:si>
    <x:t xml:space="preserve">t:"Venser"</x:t>
  </x:si>
  <x:si>
    <x:t xml:space="preserve">PlaneswalkerTypes!A83</x:t>
  </x:si>
  <x:si>
    <x:t xml:space="preserve">Vivien</x:t>
  </x:si>
  <x:si>
    <x:t xml:space="preserve">t:"Vivien"</x:t>
  </x:si>
  <x:si>
    <x:t xml:space="preserve">PlaneswalkerTypes!A84</x:t>
  </x:si>
  <x:si>
    <x:t xml:space="preserve">Vraska</x:t>
  </x:si>
  <x:si>
    <x:t xml:space="preserve">t:"Vraska"</x:t>
  </x:si>
  <x:si>
    <x:t xml:space="preserve">PlaneswalkerTypes!A85</x:t>
  </x:si>
  <x:si>
    <x:t xml:space="preserve">Vronos</x:t>
  </x:si>
  <x:si>
    <x:t xml:space="preserve">t:"Vronos"</x:t>
  </x:si>
  <x:si>
    <x:t xml:space="preserve">PlaneswalkerTypes!A86</x:t>
  </x:si>
  <x:si>
    <x:t xml:space="preserve">Wanderer</x:t>
  </x:si>
  <x:si>
    <x:t xml:space="preserve">t:"Wanderer"</x:t>
  </x:si>
  <x:si>
    <x:t xml:space="preserve">PlaneswalkerTypes!A87</x:t>
  </x:si>
  <x:si>
    <x:t xml:space="preserve">Will</x:t>
  </x:si>
  <x:si>
    <x:t xml:space="preserve">t:"Will"</x:t>
  </x:si>
  <x:si>
    <x:t xml:space="preserve">PlaneswalkerTypes!A88</x:t>
  </x:si>
  <x:si>
    <x:t xml:space="preserve">Windgrace</x:t>
  </x:si>
  <x:si>
    <x:t xml:space="preserve">t:"Windgrace"</x:t>
  </x:si>
  <x:si>
    <x:t xml:space="preserve">PlaneswalkerTypes!A89</x:t>
  </x:si>
  <x:si>
    <x:t xml:space="preserve">Wrenn</x:t>
  </x:si>
  <x:si>
    <x:t xml:space="preserve">t:"Wrenn"</x:t>
  </x:si>
  <x:si>
    <x:t xml:space="preserve">PlaneswalkerTypes!A90</x:t>
  </x:si>
  <x:si>
    <x:t xml:space="preserve">Xenagos</x:t>
  </x:si>
  <x:si>
    <x:t xml:space="preserve">t:"Xenagos"</x:t>
  </x:si>
  <x:si>
    <x:t xml:space="preserve">PlaneswalkerTypes!A91</x:t>
  </x:si>
  <x:si>
    <x:t xml:space="preserve">Yanggu</x:t>
  </x:si>
  <x:si>
    <x:t xml:space="preserve">t:"Yanggu"</x:t>
  </x:si>
  <x:si>
    <x:t xml:space="preserve">PlaneswalkerTypes!A92</x:t>
  </x:si>
  <x:si>
    <x:t xml:space="preserve">Yanling</x:t>
  </x:si>
  <x:si>
    <x:t xml:space="preserve">t:"Yanling"</x:t>
  </x:si>
  <x:si>
    <x:t xml:space="preserve">PlaneswalkerTypes!A93</x:t>
  </x:si>
  <x:si>
    <x:t xml:space="preserve">Zariel</x:t>
  </x:si>
  <x:si>
    <x:t xml:space="preserve">t:"Zariel"</x:t>
  </x:si>
  <x:si>
    <x:t xml:space="preserve">ColorPie!A2:E2</x:t>
  </x:si>
  <x:si>
    <x:t xml:space="preserve">Color Pie Ability</x:t>
  </x:si>
  <x:si>
    <x:t xml:space="preserve">Animating artifacts</x:t>
  </x:si>
  <x:si>
    <x:t xml:space="preserve">Primary: Blue | Secondary: Green</x:t>
  </x:si>
  <x:si>
    <x:t xml:space="preserve">Turning non-creature artifacts into artifact creatures</x:t>
  </x:si>
  <x:si>
    <x:t xml:space="preserve">o:"Animating artifacts"</x:t>
  </x:si>
  <x:si>
    <x:t xml:space="preserve">Needs refinement</x:t>
  </x:si>
  <x:si>
    <x:t xml:space="preserve">ColorPie!A3:E3</x:t>
  </x:si>
  <x:si>
    <x:t xml:space="preserve">Animating enchantments</x:t>
  </x:si>
  <x:si>
    <x:t xml:space="preserve">Primary: White | Secondary: Blue</x:t>
  </x:si>
  <x:si>
    <x:t xml:space="preserve">Turning non-aura enchantments into enchantment creatures</x:t>
  </x:si>
  <x:si>
    <x:t xml:space="preserve">o:"Animating enchantments"</x:t>
  </x:si>
  <x:si>
    <x:t xml:space="preserve">ColorPie!A4:E4</x:t>
  </x:si>
  <x:si>
    <x:t xml:space="preserve">Animating lands</x:t>
  </x:si>
  <x:si>
    <x:t xml:space="preserve">Primary: Green | Secondary: Red | Tertiary: White, Blue, Black</x:t>
  </x:si>
  <x:si>
    <x:t xml:space="preserve">Target land becomes an N/N creature until end of turn</x:t>
  </x:si>
  <x:si>
    <x:t xml:space="preserve">o:"Target land becomes an N/N creature until end of turn"</x:t>
  </x:si>
  <x:si>
    <x:t xml:space="preserve">ColorPie!A5:E5</x:t>
  </x:si>
  <x:si>
    <x:t xml:space="preserve">Artifact destruction</x:t>
  </x:si>
  <x:si>
    <x:t xml:space="preserve">Primary: Red, Green | Secondary: White</x:t>
  </x:si>
  <x:si>
    <x:t xml:space="preserve">Destroying artifacts; green usually also destroys enchantments</x:t>
  </x:si>
  <x:si>
    <x:t xml:space="preserve">o:"destroy target artifact"</x:t>
  </x:si>
  <x:si>
    <x:t xml:space="preserve">ColorPie!A6:E6</x:t>
  </x:si>
  <x:si>
    <x:t xml:space="preserve">Banisher Priest-like effect</x:t>
  </x:si>
  <x:si>
    <x:t xml:space="preserve">Primary: White</x:t>
  </x:si>
  <x:si>
    <x:t xml:space="preserve">Exile target creature/permanent until this card leaves play</x:t>
  </x:si>
  <x:si>
    <x:t xml:space="preserve">o:"Exile target creature/permanent until this card leaves play"</x:t>
  </x:si>
  <x:si>
    <x:t xml:space="preserve">ColorPie!A7:E7</x:t>
  </x:si>
  <x:si>
    <x:t xml:space="preserve">Basic land counting</x:t>
  </x:si>
  <x:si>
    <x:t xml:space="preserve">Primary: Red | Secondary: Black, Green | Tertiary: White, Blue</x:t>
  </x:si>
  <x:si>
    <x:t xml:space="preserve">Effect equal to number of basic lands of a certain type you control</x:t>
  </x:si>
  <x:si>
    <x:t xml:space="preserve">o:"Basic land counting"</x:t>
  </x:si>
  <x:si>
    <x:t xml:space="preserve">ColorPie!A8:E8</x:t>
  </x:si>
  <x:si>
    <x:t xml:space="preserve">"Bite"</x:t>
  </x:si>
  <x:si>
    <x:t xml:space="preserve">Primary: Green | Secondary: Red</x:t>
  </x:si>
  <x:si>
    <x:t xml:space="preserve">Target creature deals damage equal to its power to another target creature</x:t>
  </x:si>
  <x:si>
    <x:t xml:space="preserve">o:"Target creature deals damage equal to its power to another target creature"</x:t>
  </x:si>
  <x:si>
    <x:t xml:space="preserve">ColorPie!A9:E9</x:t>
  </x:si>
  <x:si>
    <x:t xml:space="preserve">Return to library</x:t>
  </x:si>
  <x:si>
    <x:t xml:space="preserve">Primary: Blue</x:t>
  </x:si>
  <x:si>
    <x:t xml:space="preserve">Put a creature/permanent on top of or into its owner's library</x:t>
  </x:si>
  <x:si>
    <x:t xml:space="preserve">o:"Return to library"</x:t>
  </x:si>
  <x:si>
    <x:t xml:space="preserve">ColorPie!A10:E10</x:t>
  </x:si>
  <x:si>
    <x:t xml:space="preserve">Bring back creatures from graveyard this turn</x:t>
  </x:si>
  <x:si>
    <x:t xml:space="preserve">Saves things the turn they are destroyed</x:t>
  </x:si>
  <x:si>
    <x:t xml:space="preserve">o:"Bring back creatures from graveyard this turn"</x:t>
  </x:si>
  <x:si>
    <x:t xml:space="preserve">ColorPie!A11:E11</x:t>
  </x:si>
  <x:si>
    <x:t xml:space="preserve">Can't be attacked</x:t>
  </x:si>
  <x:si>
    <x:t xml:space="preserve">Creatures can't attack you</x:t>
  </x:si>
  <x:si>
    <x:t xml:space="preserve">o:"Can't be attacked"</x:t>
  </x:si>
  <x:si>
    <x:t xml:space="preserve">ColorPie!A12:E12</x:t>
  </x:si>
  <x:si>
    <x:t xml:space="preserve">Can't be blocked</x:t>
  </x:si>
  <x:si>
    <x:t xml:space="preserve">Creature with unblockable ability; grants through spells and Auras</x:t>
  </x:si>
  <x:si>
    <x:t xml:space="preserve">o:"Can't be blocked"</x:t>
  </x:si>
  <x:si>
    <x:t xml:space="preserve">ColorPie!A13:E13</x:t>
  </x:si>
  <x:si>
    <x:t xml:space="preserve">Can't be countered</x:t>
  </x:si>
  <x:si>
    <x:t xml:space="preserve">Primary: Red, Green | Secondary: Blue</x:t>
  </x:si>
  <x:si>
    <x:t xml:space="preserve">Red has spells; green has creatures; blue less often, control-oriented</x:t>
  </x:si>
  <x:si>
    <x:t xml:space="preserve">o:"Can't be countered"</x:t>
  </x:si>
  <x:si>
    <x:t xml:space="preserve">ColorPie!A14:E14</x:t>
  </x:si>
  <x:si>
    <x:t xml:space="preserve">Can't block</x:t>
  </x:si>
  <x:si>
    <x:t xml:space="preserve">Primary: Black, Red</x:t>
  </x:si>
  <x:si>
    <x:t xml:space="preserve">Drawback on creatures</x:t>
  </x:si>
  <x:si>
    <x:t xml:space="preserve">o:"Can't block"</x:t>
  </x:si>
  <x:si>
    <x:t xml:space="preserve">ColorPie!A15:E15</x:t>
  </x:si>
  <x:si>
    <x:t xml:space="preserve">Can't lose the game/opponent can't win</x:t>
  </x:si>
  <x:si>
    <x:t xml:space="preserve">Defensive ability</x:t>
  </x:si>
  <x:si>
    <x:t xml:space="preserve">o:"Can't lose the game/opponent can't win"</x:t>
  </x:si>
  <x:si>
    <x:t xml:space="preserve">ColorPie!A16:E16</x:t>
  </x:si>
  <x:si>
    <x:t xml:space="preserve">Can't win the game/opponent can't lose</x:t>
  </x:si>
  <x:si>
    <x:t xml:space="preserve">Primary: Black</x:t>
  </x:si>
  <x:si>
    <x:t xml:space="preserve">Used as a drawback</x:t>
  </x:si>
  <x:si>
    <x:t xml:space="preserve">o:"Can't win the game/opponent can't lose"</x:t>
  </x:si>
  <x:si>
    <x:t xml:space="preserve">ColorPie!A17:E17</x:t>
  </x:si>
  <x:si>
    <x:t xml:space="preserve">Card draw</x:t>
  </x:si>
  <x:si>
    <x:t xml:space="preserve">Primary: Blue | Secondary: Black, Green | Tertiary: White, Red</x:t>
  </x:si>
  <x:si>
    <x:t xml:space="preserve">Blue is best with no restrictions; black pays cost; green tied to creatures</x:t>
  </x:si>
  <x:si>
    <x:t xml:space="preserve">o:"Card draw"</x:t>
  </x:si>
  <x:si>
    <x:t xml:space="preserve">ColorPie!A18:E18</x:t>
  </x:si>
  <x:si>
    <x:t xml:space="preserve">Card filtering</x:t>
  </x:si>
  <x:si>
    <x:t xml:space="preserve">Primary: Blue, Green</x:t>
  </x:si>
  <x:si>
    <x:t xml:space="preserve">Look at top N cards, put some in hand, rest on bottom</x:t>
  </x:si>
  <x:si>
    <x:t xml:space="preserve">o:"Card filtering"</x:t>
  </x:si>
  <x:si>
    <x:t xml:space="preserve">ColorPie!A19:E19</x:t>
  </x:si>
  <x:si>
    <x:t xml:space="preserve">Cast spells from opponent's graveyard/exile</x:t>
  </x:si>
  <x:si>
    <x:t xml:space="preserve">Primary: Blue, Black</x:t>
  </x:si>
  <x:si>
    <x:t xml:space="preserve">Using opponent's resources against them</x:t>
  </x:si>
  <x:si>
    <x:t xml:space="preserve">o:"Cast spells from opponent's graveyard/exile"</x:t>
  </x:si>
  <x:si>
    <x:t xml:space="preserve">ColorPie!A20:E20</x:t>
  </x:si>
  <x:si>
    <x:t xml:space="preserve">Cast spells from your graveyard</x:t>
  </x:si>
  <x:si>
    <x:t xml:space="preserve">Primary: Black | Secondary: Blue, Red | Tertiary: White, Green</x:t>
  </x:si>
  <x:si>
    <x:t xml:space="preserve">Black most likely; blue/red for instants/sorceries; flashback for all</x:t>
  </x:si>
  <x:si>
    <x:t xml:space="preserve">o:"Cast spells from your graveyard"</x:t>
  </x:si>
  <x:si>
    <x:t xml:space="preserve">ColorPie!A21:E21</x:t>
  </x:si>
  <x:si>
    <x:t xml:space="preserve">Changing lands</x:t>
  </x:si>
  <x:si>
    <x:t xml:space="preserve">Target land becomes the basic land of your choice</x:t>
  </x:si>
  <x:si>
    <x:t xml:space="preserve">o:"Target land becomes the basic land of your choice"</x:t>
  </x:si>
  <x:si>
    <x:t xml:space="preserve">ColorPie!A22:E22</x:t>
  </x:si>
  <x:si>
    <x:t xml:space="preserve">Color changing</x:t>
  </x:si>
  <x:si>
    <x:t xml:space="preserve">Primary: Blue | Secondary: Green | Tertiary: White, Black</x:t>
  </x:si>
  <x:si>
    <x:t xml:space="preserve">Target/this creature becomes the color(s) of your choice</x:t>
  </x:si>
  <x:si>
    <x:t xml:space="preserve">o:"Color changing"</x:t>
  </x:si>
  <x:si>
    <x:t xml:space="preserve">ColorPie!A23:E23</x:t>
  </x:si>
  <x:si>
    <x:t xml:space="preserve">Copying permanents, permanently</x:t>
  </x:si>
  <x:si>
    <x:t xml:space="preserve">Permanents that copy and remain that target</x:t>
  </x:si>
  <x:si>
    <x:t xml:space="preserve">o:"Copying permanents, permanently"</x:t>
  </x:si>
  <x:si>
    <x:t xml:space="preserve">ColorPie!A24:E24</x:t>
  </x:si>
  <x:si>
    <x:t xml:space="preserve">Copying permanents, temporarily</x:t>
  </x:si>
  <x:si>
    <x:t xml:space="preserve">Primary: Red | Secondary: Blue</x:t>
  </x:si>
  <x:si>
    <x:t xml:space="preserve">Temporarily become another creature until end of turn</x:t>
  </x:si>
  <x:si>
    <x:t xml:space="preserve">o:"Copying permanents, temporarily"</x:t>
  </x:si>
  <x:si>
    <x:t xml:space="preserve">ColorPie!A25:E25</x:t>
  </x:si>
  <x:si>
    <x:t xml:space="preserve">+1/+1 counter (creation and caring)</x:t>
  </x:si>
  <x:si>
    <x:t xml:space="preserve">Primary: White, Green | Secondary: Black | Tertiary: Blue, Red</x:t>
  </x:si>
  <x:si>
    <x:t xml:space="preserve">Any color can put +1/+1 counters; white/green best overall</x:t>
  </x:si>
  <x:si>
    <x:t xml:space="preserve">o:"+1/+1 counter (creation and caring)"</x:t>
  </x:si>
  <x:si>
    <x:t xml:space="preserve">ColorPie!A26:E26</x:t>
  </x:si>
  <x:si>
    <x:t xml:space="preserve">Counterspell</x:t>
  </x:si>
  <x:si>
    <x:t xml:space="preserve">Primary: Blue | Tertiary: White</x:t>
  </x:si>
  <x:si>
    <x:t xml:space="preserve">Almost universally single color; white gets taxing/delay counterspells</x:t>
  </x:si>
  <x:si>
    <x:t xml:space="preserve">o:"Counterspell"</x:t>
  </x:si>
  <x:si>
    <x:t xml:space="preserve">ColorPie!A27:E27</x:t>
  </x:si>
  <x:si>
    <x:t xml:space="preserve">Counter target activated/triggered ability</x:t>
  </x:si>
  <x:si>
    <x:t xml:space="preserve">Primary: Blue | Tertiary: Green</x:t>
  </x:si>
  <x:si>
    <x:t xml:space="preserve">Moved to blue; green rarely, usually artifact activations</x:t>
  </x:si>
  <x:si>
    <x:t xml:space="preserve">o:"Counter target activated/triggered ability"</x:t>
  </x:si>
  <x:si>
    <x:t xml:space="preserve">ColorPie!A28:E28</x:t>
  </x:si>
  <x:si>
    <x:t xml:space="preserve">Creature destruction, single creature</x:t>
  </x:si>
  <x:si>
    <x:t xml:space="preserve">Primary: Black | Secondary: White</x:t>
  </x:si>
  <x:si>
    <x:t xml:space="preserve">Black is king; white at higher cost or with conditions</x:t>
  </x:si>
  <x:si>
    <x:t xml:space="preserve">o:"Creature destruction, single creature"</x:t>
  </x:si>
  <x:si>
    <x:t xml:space="preserve">ColorPie!A29:E29</x:t>
  </x:si>
  <x:si>
    <x:t xml:space="preserve">Creature destruction with compensation</x:t>
  </x:si>
  <x:si>
    <x:t xml:space="preserve">Destroy target creature, controller gets compensation</x:t>
  </x:si>
  <x:si>
    <x:t xml:space="preserve">o:"Creature destruction with compensation"</x:t>
  </x:si>
  <x:si>
    <x:t xml:space="preserve">ColorPie!A30:E30</x:t>
  </x:si>
  <x:si>
    <x:t xml:space="preserve">Destroy target attacking or blocking creature</x:t>
  </x:si>
  <x:si>
    <x:t xml:space="preserve">White's combat-based creature destruction</x:t>
  </x:si>
  <x:si>
    <x:t xml:space="preserve">o:"Destroy target attacking or blocking creature"</x:t>
  </x:si>
  <x:si>
    <x:t xml:space="preserve">ColorPie!A31:E31</x:t>
  </x:si>
  <x:si>
    <x:t xml:space="preserve">Destroy creature that damaged you</x:t>
  </x:si>
  <x:si>
    <x:t xml:space="preserve">White destroys something after it has hurt white</x:t>
  </x:si>
  <x:si>
    <x:t xml:space="preserve">o:"Destroy creature that damaged you"</x:t>
  </x:si>
  <x:si>
    <x:t xml:space="preserve">ColorPie!A32:E32</x:t>
  </x:si>
  <x:si>
    <x:t xml:space="preserve">Destroy target tapped creature</x:t>
  </x:si>
  <x:si>
    <x:t xml:space="preserve">Primary: White | Secondary: Black</x:t>
  </x:si>
  <x:si>
    <x:t xml:space="preserve">White can destroy tapped creatures</x:t>
  </x:si>
  <x:si>
    <x:t xml:space="preserve">o:"Destroy target tapped creature"</x:t>
  </x:si>
  <x:si>
    <x:t xml:space="preserve">ColorPie!A33:E33</x:t>
  </x:si>
  <x:si>
    <x:t xml:space="preserve">Destroy creature with power 3+</x:t>
  </x:si>
  <x:si>
    <x:t xml:space="preserve">White destroys large creatures as champion of the little guy</x:t>
  </x:si>
  <x:si>
    <x:t xml:space="preserve">o:"Destroy creature with power 3+"</x:t>
  </x:si>
  <x:si>
    <x:t xml:space="preserve">ColorPie!A34:E34</x:t>
  </x:si>
  <x:si>
    <x:t xml:space="preserve">Destroy target creature with flying</x:t>
  </x:si>
  <x:si>
    <x:t xml:space="preserve">Primary: Green</x:t>
  </x:si>
  <x:si>
    <x:t xml:space="preserve">Green kills only fliers and artifact creatures</x:t>
  </x:si>
  <x:si>
    <x:t xml:space="preserve">o:"Destroy target creature with flying"</x:t>
  </x:si>
  <x:si>
    <x:t xml:space="preserve">ColorPie!A35:E35</x:t>
  </x:si>
  <x:si>
    <x:t xml:space="preserve">Creature destruction, mass (Destroy all)</x:t>
  </x:si>
  <x:si>
    <x:t xml:space="preserve">White most often; black not as frequent</x:t>
  </x:si>
  <x:si>
    <x:t xml:space="preserve">o:"Creature destruction, mass (Destroy all)"</x:t>
  </x:si>
  <x:si>
    <x:t xml:space="preserve">ColorPie!A36:E36</x:t>
  </x:si>
  <x:si>
    <x:t xml:space="preserve">Destroy all creatures controlled by one player</x:t>
  </x:si>
  <x:si>
    <x:t xml:space="preserve">White believes in parity; only black kills one player's creatures</x:t>
  </x:si>
  <x:si>
    <x:t xml:space="preserve">o:"Destroy all creatures controlled by one player"</x:t>
  </x:si>
  <x:si>
    <x:t xml:space="preserve">ColorPie!A37:E37</x:t>
  </x:si>
  <x:si>
    <x:t xml:space="preserve">Destroy all creatures with power 3+</x:t>
  </x:si>
  <x:si>
    <x:t xml:space="preserve">Mass destruction of big creatures</x:t>
  </x:si>
  <x:si>
    <x:t xml:space="preserve">o:"Destroy all creatures with power 3+"</x:t>
  </x:si>
  <x:si>
    <x:t xml:space="preserve">ColorPie!A38:E38</x:t>
  </x:si>
  <x:si>
    <x:t xml:space="preserve">+N/+N (on creatures, repeatable)</x:t>
  </x:si>
  <x:si>
    <x:t xml:space="preserve">Primary: Black | Secondary: Green</x:t>
  </x:si>
  <x:si>
    <x:t xml:space="preserve">Black on Shades; green with high activation cost</x:t>
  </x:si>
  <x:si>
    <x:t xml:space="preserve">o:"+N/+N (on creatures, repeatable)"</x:t>
  </x:si>
  <x:si>
    <x:t xml:space="preserve">ColorPie!A39:E39</x:t>
  </x:si>
  <x:si>
    <x:t xml:space="preserve">+N/+N (on creatures, single use)</x:t>
  </x:si>
  <x:si>
    <x:t xml:space="preserve">Rootwalla ability - built-in Giant Growth</x:t>
  </x:si>
  <x:si>
    <x:t xml:space="preserve">o:"+N/+N (on creatures, single use)"</x:t>
  </x:si>
  <x:si>
    <x:t xml:space="preserve">ColorPie!A40:E40</x:t>
  </x:si>
  <x:si>
    <x:t xml:space="preserve">+N/+N (on spells)</x:t>
  </x:si>
  <x:si>
    <x:t xml:space="preserve">Primary: White, Green | Secondary: Black, Red</x:t>
  </x:si>
  <x:si>
    <x:t xml:space="preserve">Green Giant Growth +3/+3; white +2/+2 or less with ability</x:t>
  </x:si>
  <x:si>
    <x:t xml:space="preserve">o:"+N/+N (on spells)"</x:t>
  </x:si>
  <x:si>
    <x:t xml:space="preserve">ColorPie!A41:E41</x:t>
  </x:si>
  <x:si>
    <x:t xml:space="preserve">+N/+N (on Auras)</x:t>
  </x:si>
  <x:si>
    <x:t xml:space="preserve">Primary: White, Green | Secondary: Blue, Black, Red</x:t>
  </x:si>
  <x:si>
    <x:t xml:space="preserve">All colors access; green regularly +3/+3 and above</x:t>
  </x:si>
  <x:si>
    <x:t xml:space="preserve">o:"+N/+N (on Auras)"</x:t>
  </x:si>
  <x:si>
    <x:t xml:space="preserve">ColorPie!A42:E42</x:t>
  </x:si>
  <x:si>
    <x:t xml:space="preserve">+N/+0 (on creatures)</x:t>
  </x:si>
  <x:si>
    <x:t xml:space="preserve">Primary: Red | Secondary: White, Green</x:t>
  </x:si>
  <x:si>
    <x:t xml:space="preserve">Firebreathing; white gets one-time +1/+0</x:t>
  </x:si>
  <x:si>
    <x:t xml:space="preserve">o:"+N/+0 (on creatures)"</x:t>
  </x:si>
  <x:si>
    <x:t xml:space="preserve">ColorPie!A43:E43</x:t>
  </x:si>
  <x:si>
    <x:t xml:space="preserve">+N/+0 (on spells)</x:t>
  </x:si>
  <x:si>
    <x:t xml:space="preserve">Primary: Black, Red | Secondary: White</x:t>
  </x:si>
  <x:si>
    <x:t xml:space="preserve">Black/red pump power without toughness</x:t>
  </x:si>
  <x:si>
    <x:t xml:space="preserve">o:"+N/+0 (on spells)"</x:t>
  </x:si>
  <x:si>
    <x:t xml:space="preserve">ColorPie!A44:E44</x:t>
  </x:si>
  <x:si>
    <x:t xml:space="preserve">+N/+0 (on Auras)</x:t>
  </x:si>
  <x:si>
    <x:t xml:space="preserve">Primary: Red | Secondary: White, Black | Tertiary: Blue, Green</x:t>
  </x:si>
  <x:si>
    <x:t xml:space="preserve">Red most often; includes firebreathing Auras</x:t>
  </x:si>
  <x:si>
    <x:t xml:space="preserve">o:"+N/+0 (on Auras)"</x:t>
  </x:si>
  <x:si>
    <x:t xml:space="preserve">ColorPie!A45:E45</x:t>
  </x:si>
  <x:si>
    <x:t xml:space="preserve">+N/-N (on creatures)</x:t>
  </x:si>
  <x:si>
    <x:t xml:space="preserve">Primary: Blue | Secondary: Black, Red</x:t>
  </x:si>
  <x:si>
    <x:t xml:space="preserve">Blue on Elementals/Shapeshifters; black/red reckless</x:t>
  </x:si>
  <x:si>
    <x:t xml:space="preserve">o:"+N/-N (on creatures)"</x:t>
  </x:si>
  <x:si>
    <x:t xml:space="preserve">ColorPie!A46:E46</x:t>
  </x:si>
  <x:si>
    <x:t xml:space="preserve">+N/-N (on spells)</x:t>
  </x:si>
  <x:si>
    <x:t xml:space="preserve">Mostly used as a kill spell</x:t>
  </x:si>
  <x:si>
    <x:t xml:space="preserve">o:"+N/-N (on spells)"</x:t>
  </x:si>
  <x:si>
    <x:t xml:space="preserve">ColorPie!A47:E47</x:t>
  </x:si>
  <x:si>
    <x:t xml:space="preserve">+N/-N (on Auras)</x:t>
  </x:si>
  <x:si>
    <x:t xml:space="preserve">Primary: Black | Secondary: Red</x:t>
  </x:si>
  <x:si>
    <x:t xml:space="preserve">Push your luck cards that can double as creature kill</x:t>
  </x:si>
  <x:si>
    <x:t xml:space="preserve">o:"+N/-N (on Auras)"</x:t>
  </x:si>
  <x:si>
    <x:t xml:space="preserve">ColorPie!A48:E48</x:t>
  </x:si>
  <x:si>
    <x:t xml:space="preserve">-N/+N (on creatures)</x:t>
  </x:si>
  <x:si>
    <x:t xml:space="preserve">Blue on Elementals/Shapeshifters; white rare defensive</x:t>
  </x:si>
  <x:si>
    <x:t xml:space="preserve">o:"-N/+N (on creatures)"</x:t>
  </x:si>
  <x:si>
    <x:t xml:space="preserve">ColorPie!A49:E49</x:t>
  </x:si>
  <x:si>
    <x:t xml:space="preserve">-N/-N (on creatures)</x:t>
  </x:si>
  <x:si>
    <x:t xml:space="preserve">Used almost exclusively by creatures on other creatures</x:t>
  </x:si>
  <x:si>
    <x:t xml:space="preserve">o:"-N/-N (on creatures)"</x:t>
  </x:si>
  <x:si>
    <x:t xml:space="preserve">ColorPie!A50:E50</x:t>
  </x:si>
  <x:si>
    <x:t xml:space="preserve">-N/-N (on spells)</x:t>
  </x:si>
  <x:si>
    <x:t xml:space="preserve">Primary: Black | Tertiary: White, Blue, Red, Green</x:t>
  </x:si>
  <x:si>
    <x:t xml:space="preserve">Black only; others put -1/-1 counters in those sets</x:t>
  </x:si>
  <x:si>
    <x:t xml:space="preserve">o:"-N/-N (on spells)"</x:t>
  </x:si>
  <x:si>
    <x:t xml:space="preserve">ColorPie!A51:E51</x:t>
  </x:si>
  <x:si>
    <x:t xml:space="preserve">-N/-N (on Auras)</x:t>
  </x:si>
  <x:si>
    <x:t xml:space="preserve">Used on opponent's creatures; sometimes paired with positive</x:t>
  </x:si>
  <x:si>
    <x:t xml:space="preserve">o:"-N/-N (on Auras)"</x:t>
  </x:si>
  <x:si>
    <x:t xml:space="preserve">ColorPie!A52:E52</x:t>
  </x:si>
  <x:si>
    <x:t xml:space="preserve">-N/-0 (on spells)</x:t>
  </x:si>
  <x:si>
    <x:t xml:space="preserve">Primary: Blue | Secondary: Black</x:t>
  </x:si>
  <x:si>
    <x:t xml:space="preserve">Blue shrinks; black torture flavor</x:t>
  </x:si>
  <x:si>
    <x:t xml:space="preserve">o:"-N/-0 (on spells)"</x:t>
  </x:si>
  <x:si>
    <x:t xml:space="preserve">ColorPie!A53:E53</x:t>
  </x:si>
  <x:si>
    <x:t xml:space="preserve">-N/-0 (on Auras)</x:t>
  </x:si>
  <x:si>
    <x:t xml:space="preserve">Treated similarly to spells</x:t>
  </x:si>
  <x:si>
    <x:t xml:space="preserve">o:"-N/-0 (on Auras)"</x:t>
  </x:si>
  <x:si>
    <x:t xml:space="preserve">ColorPie!A54:E54</x:t>
  </x:si>
  <x:si>
    <x:t xml:space="preserve">+0/+N (on creatures)</x:t>
  </x:si>
  <x:si>
    <x:t xml:space="preserve">Primary: White | Secondary: Green</x:t>
  </x:si>
  <x:si>
    <x:t xml:space="preserve">White backed off; clogs board</x:t>
  </x:si>
  <x:si>
    <x:t xml:space="preserve">o:"+0/+N (on creatures)"</x:t>
  </x:si>
  <x:si>
    <x:t xml:space="preserve">ColorPie!A55:E55</x:t>
  </x:si>
  <x:si>
    <x:t xml:space="preserve">+0/+N (on spells)</x:t>
  </x:si>
  <x:si>
    <x:t xml:space="preserve">White/green do this less often now</x:t>
  </x:si>
  <x:si>
    <x:t xml:space="preserve">o:"+0/+N (on spells)"</x:t>
  </x:si>
  <x:si>
    <x:t xml:space="preserve">ColorPie!A56:E56</x:t>
  </x:si>
  <x:si>
    <x:t xml:space="preserve">+0/+N (on Auras)</x:t>
  </x:si>
  <x:si>
    <x:t xml:space="preserve">Primary: White | Secondary: Blue, Green</x:t>
  </x:si>
  <x:si>
    <x:t xml:space="preserve">Not done often; white, blue, green when used</x:t>
  </x:si>
  <x:si>
    <x:t xml:space="preserve">o:"+0/+N (on Auras)"</x:t>
  </x:si>
  <x:si>
    <x:t xml:space="preserve">ColorPie!A57:E57</x:t>
  </x:si>
  <x:si>
    <x:t xml:space="preserve">+N/+N to your team, one-shot</x:t>
  </x:si>
  <x:si>
    <x:t xml:space="preserve">White +1/+1 or +2/+2; green starts at +3/+3 often with trample</x:t>
  </x:si>
  <x:si>
    <x:t xml:space="preserve">o:"+N/+N to your team, one-shot"</x:t>
  </x:si>
  <x:si>
    <x:t xml:space="preserve">ColorPie!A58:E58</x:t>
  </x:si>
  <x:si>
    <x:t xml:space="preserve">+N/+0 to your team, one-shot</x:t>
  </x:si>
  <x:si>
    <x:t xml:space="preserve">Primary: Red | Secondary: White</x:t>
  </x:si>
  <x:si>
    <x:t xml:space="preserve">Red affects attacking creatures; white sometimes</x:t>
  </x:si>
  <x:si>
    <x:t xml:space="preserve">o:"+N/+0 to your team, one-shot"</x:t>
  </x:si>
  <x:si>
    <x:t xml:space="preserve">ColorPie!A59:E59</x:t>
  </x:si>
  <x:si>
    <x:t xml:space="preserve">-N/-N to their team, one-shot</x:t>
  </x:si>
  <x:si>
    <x:t xml:space="preserve">Common way for black to kill creatures</x:t>
  </x:si>
  <x:si>
    <x:t xml:space="preserve">o:"-N/-N to their team, one-shot"</x:t>
  </x:si>
  <x:si>
    <x:t xml:space="preserve">ColorPie!A60:E60</x:t>
  </x:si>
  <x:si>
    <x:t xml:space="preserve">-N/-0 to their team, one-shot</x:t>
  </x:si>
  <x:si>
    <x:t xml:space="preserve">Blue can shrink an entire team</x:t>
  </x:si>
  <x:si>
    <x:t xml:space="preserve">o:"-N/-0 to their team, one-shot"</x:t>
  </x:si>
  <x:si>
    <x:t xml:space="preserve">ColorPie!A61:E61</x:t>
  </x:si>
  <x:si>
    <x:t xml:space="preserve">+N/+N to your team, ongoing</x:t>
  </x:si>
  <x:si>
    <x:t xml:space="preserve">Primary: White | Secondary: Green | Tertiary: Blue, Black, Red</x:t>
  </x:si>
  <x:si>
    <x:t xml:space="preserve">White +1/+1; green bigger; all colors for tribal lords</x:t>
  </x:si>
  <x:si>
    <x:t xml:space="preserve">o:"+N/+N to your team, ongoing"</x:t>
  </x:si>
  <x:si>
    <x:t xml:space="preserve">ColorPie!A62:E62</x:t>
  </x:si>
  <x:si>
    <x:t xml:space="preserve">+N/+0 to your team, ongoing</x:t>
  </x:si>
  <x:si>
    <x:t xml:space="preserve">Primary: Red | Tertiary: Black</x:t>
  </x:si>
  <x:si>
    <x:t xml:space="preserve">Red pumps power; often on attack</x:t>
  </x:si>
  <x:si>
    <x:t xml:space="preserve">o:"+N/+0 to your team, ongoing"</x:t>
  </x:si>
  <x:si>
    <x:t xml:space="preserve">ColorPie!A63:E63</x:t>
  </x:si>
  <x:si>
    <x:t xml:space="preserve">-N/-N to their team, ongoing</x:t>
  </x:si>
  <x:si>
    <x:t xml:space="preserve">Black lowers opponent's creatures, usually -1/-1</x:t>
  </x:si>
  <x:si>
    <x:t xml:space="preserve">o:"-N/-N to their team, ongoing"</x:t>
  </x:si>
  <x:si>
    <x:t xml:space="preserve">ColorPie!A64:E64</x:t>
  </x:si>
  <x:si>
    <x:t xml:space="preserve">Creature sacrifice, forced repeatable</x:t>
  </x:si>
  <x:si>
    <x:t xml:space="preserve">All players/opponents must sacrifice a creature each turn</x:t>
  </x:si>
  <x:si>
    <x:t xml:space="preserve">o:"Creature sacrifice, forced repeatable"</x:t>
  </x:si>
  <x:si>
    <x:t xml:space="preserve">ColorPie!A65:E65</x:t>
  </x:si>
  <x:si>
    <x:t xml:space="preserve">"Curiosity"</x:t>
  </x:si>
  <x:si>
    <x:t xml:space="preserve">Whenever this creature deals combat damage to opponent, draw a card</x:t>
  </x:si>
  <x:si>
    <x:t xml:space="preserve">o:"\"Curiosity\""</x:t>
  </x:si>
  <x:si>
    <x:t xml:space="preserve">ColorPie!A66:E66</x:t>
  </x:si>
  <x:si>
    <x:t xml:space="preserve">Damage prevention</x:t>
  </x:si>
  <x:si>
    <x:t xml:space="preserve">Prevent the next N damage that would be dealt</x:t>
  </x:si>
  <x:si>
    <x:t xml:space="preserve">o:"Damage prevention"</x:t>
  </x:si>
  <x:si>
    <x:t xml:space="preserve">ColorPie!A67:E67</x:t>
  </x:si>
  <x:si>
    <x:t xml:space="preserve">Damage redirection</x:t>
  </x:si>
  <x:si>
    <x:t xml:space="preserve">Prevent damage and deal that much to another target</x:t>
  </x:si>
  <x:si>
    <x:t xml:space="preserve">o:"Damage redirection"</x:t>
  </x:si>
  <x:si>
    <x:t xml:space="preserve">ColorPie!A68:E68</x:t>
  </x:si>
  <x:si>
    <x:t xml:space="preserve">"Daunt"</x:t>
  </x:si>
  <x:si>
    <x:t xml:space="preserve">Can't be blocked by creatures with power 2 or less</x:t>
  </x:si>
  <x:si>
    <x:t xml:space="preserve">o:"\"Daunt\""</x:t>
  </x:si>
  <x:si>
    <x:t xml:space="preserve">ColorPie!A69:E69</x:t>
  </x:si>
  <x:si>
    <x:t xml:space="preserve">Deal damage when blocked</x:t>
  </x:si>
  <x:si>
    <x:t xml:space="preserve">Primary: Red | Secondary: Black | Tertiary: Blue</x:t>
  </x:si>
  <x:si>
    <x:t xml:space="preserve">Red primary; black loss of life; blue for afflict mechanic</x:t>
  </x:si>
  <x:si>
    <x:t xml:space="preserve">o:"Deal damage when blocked"</x:t>
  </x:si>
  <x:si>
    <x:t xml:space="preserve">ColorPie!A70:E70</x:t>
  </x:si>
  <x:si>
    <x:t xml:space="preserve">Black has more need and flavorful ways</x:t>
  </x:si>
  <x:si>
    <x:t xml:space="preserve">ColorPie!A71:E71</x:t>
  </x:si>
  <x:si>
    <x:t xml:space="preserve">Primary: White, Blue | Secondary: Black, Red, Green</x:t>
  </x:si>
  <x:si>
    <x:t xml:space="preserve">All can have it; white/blue most defensive</x:t>
  </x:si>
  <x:si>
    <x:t xml:space="preserve">ColorPie!A72:E72</x:t>
  </x:si>
  <x:si>
    <x:t xml:space="preserve">"Devil's Deal" permanents</x:t>
  </x:si>
  <x:si>
    <x:t xml:space="preserve">Cards that grant power but at a cost</x:t>
  </x:si>
  <x:si>
    <x:t xml:space="preserve">o:"\"Devil's Deal\" permanents"</x:t>
  </x:si>
  <x:si>
    <x:t xml:space="preserve">ColorPie!A73:E73</x:t>
  </x:si>
  <x:si>
    <x:t xml:space="preserve">Direct damage, single target</x:t>
  </x:si>
  <x:si>
    <x:t xml:space="preserve">Primary: Red | Secondary: White, Black</x:t>
  </x:si>
  <x:si>
    <x:t xml:space="preserve">Red is king; white based on creature count; black drains</x:t>
  </x:si>
  <x:si>
    <x:t xml:space="preserve">o:"Direct damage, single target"</x:t>
  </x:si>
  <x:si>
    <x:t xml:space="preserve">ColorPie!A74:E74</x:t>
  </x:si>
  <x:si>
    <x:t xml:space="preserve">Direct damage to damaged creature</x:t>
  </x:si>
  <x:si>
    <x:t xml:space="preserve">Primary: Red | Secondary: Black</x:t>
  </x:si>
  <x:si>
    <x:t xml:space="preserve">Black and red prey on the weak</x:t>
  </x:si>
  <x:si>
    <x:t xml:space="preserve">o:"Direct damage to damaged creature"</x:t>
  </x:si>
  <x:si>
    <x:t xml:space="preserve">ColorPie!A75:E75</x:t>
  </x:si>
  <x:si>
    <x:t xml:space="preserve">Sacrifice creature and deal its power damage</x:t>
  </x:si>
  <x:si>
    <x:t xml:space="preserve">Red throws creatures; black sacrifices for ritual</x:t>
  </x:si>
  <x:si>
    <x:t xml:space="preserve">o:"Sacrifice creature and deal its power damage"</x:t>
  </x:si>
  <x:si>
    <x:t xml:space="preserve">ColorPie!A76:E76</x:t>
  </x:si>
  <x:si>
    <x:t xml:space="preserve">Direct damage based on cards in hand</x:t>
  </x:si>
  <x:si>
    <x:t xml:space="preserve">Primary: Red</x:t>
  </x:si>
  <x:si>
    <x:t xml:space="preserve">Done in sets with spell-based theme</x:t>
  </x:si>
  <x:si>
    <x:t xml:space="preserve">o:"Direct damage based on cards in hand"</x:t>
  </x:si>
  <x:si>
    <x:t xml:space="preserve">ColorPie!A77:E77</x:t>
  </x:si>
  <x:si>
    <x:t xml:space="preserve">Direct damage to attacking/blocking creature</x:t>
  </x:si>
  <x:si>
    <x:t xml:space="preserve">White's direct damage only shows up in combat</x:t>
  </x:si>
  <x:si>
    <x:t xml:space="preserve">o:"Direct damage to attacking/blocking creature"</x:t>
  </x:si>
  <x:si>
    <x:t xml:space="preserve">ColorPie!A78:E78</x:t>
  </x:si>
  <x:si>
    <x:t xml:space="preserve">Deal damage to creature with flying</x:t>
  </x:si>
  <x:si>
    <x:t xml:space="preserve">Primary: Green | Tertiary: Red</x:t>
  </x:si>
  <x:si>
    <x:t xml:space="preserve">Green does significantly more; any red damage can hit fliers</x:t>
  </x:si>
  <x:si>
    <x:t xml:space="preserve">o:"Deal damage to creature with flying"</x:t>
  </x:si>
  <x:si>
    <x:t xml:space="preserve">ColorPie!A79:E79</x:t>
  </x:si>
  <x:si>
    <x:t xml:space="preserve">Direct damage, multiple targets</x:t>
  </x:si>
  <x:si>
    <x:t xml:space="preserve">Red to all/subset; white to attackers/blockers</x:t>
  </x:si>
  <x:si>
    <x:t xml:space="preserve">o:"Direct damage, multiple targets"</x:t>
  </x:si>
  <x:si>
    <x:t xml:space="preserve">ColorPie!A80:E80</x:t>
  </x:si>
  <x:si>
    <x:t xml:space="preserve">Discard as a cost</x:t>
  </x:si>
  <x:si>
    <x:t xml:space="preserve">Primary: Black | Secondary: Red | Tertiary: White, Blue, Green</x:t>
  </x:si>
  <x:si>
    <x:t xml:space="preserve">Black most; red second most</x:t>
  </x:si>
  <x:si>
    <x:t xml:space="preserve">o:"Discard as a cost"</x:t>
  </x:si>
  <x:si>
    <x:t xml:space="preserve">ColorPie!A81:E81</x:t>
  </x:si>
  <x:si>
    <x:t xml:space="preserve">Discard as effect</x:t>
  </x:si>
  <x:si>
    <x:t xml:space="preserve">One of few abilities contained to just one color</x:t>
  </x:si>
  <x:si>
    <x:t xml:space="preserve">o:"Discard as effect"</x:t>
  </x:si>
  <x:si>
    <x:t xml:space="preserve">ColorPie!A82:E82</x:t>
  </x:si>
  <x:si>
    <x:t xml:space="preserve">Primary: White, Red</x:t>
  </x:si>
  <x:si>
    <x:t xml:space="preserve">Primary colors for first strike; black doesn't get double strike</x:t>
  </x:si>
  <x:si>
    <x:t xml:space="preserve">ColorPie!A83:E83</x:t>
  </x:si>
  <x:si>
    <x:t xml:space="preserve">"Drain life"</x:t>
  </x:si>
  <x:si>
    <x:t xml:space="preserve">Primary: Black | Tertiary: White</x:t>
  </x:si>
  <x:si>
    <x:t xml:space="preserve">Deal damage and gain life equal; white in Orzhov sets</x:t>
  </x:si>
  <x:si>
    <x:t xml:space="preserve">o:"\"Drain life\""</x:t>
  </x:si>
  <x:si>
    <x:t xml:space="preserve">ColorPie!A84:E84</x:t>
  </x:si>
  <x:si>
    <x:t xml:space="preserve">Enchantment destruction</x:t>
  </x:si>
  <x:si>
    <x:t xml:space="preserve">Primary: White, Green | Secondary: Black</x:t>
  </x:si>
  <x:si>
    <x:t xml:space="preserve">Green usually also destroys artifacts; black lower power level</x:t>
  </x:si>
  <x:si>
    <x:t xml:space="preserve">o:"Enchantment destruction"</x:t>
  </x:si>
  <x:si>
    <x:t xml:space="preserve">ColorPie!A85:E85</x:t>
  </x:si>
  <x:si>
    <x:t xml:space="preserve">"Enchantress" ability</x:t>
  </x:si>
  <x:si>
    <x:t xml:space="preserve">Primary: White, Green</x:t>
  </x:si>
  <x:si>
    <x:t xml:space="preserve">Whenever you play an enchantment, draw a card</x:t>
  </x:si>
  <x:si>
    <x:t xml:space="preserve">o:"\"Enchantress\" ability"</x:t>
  </x:si>
  <x:si>
    <x:t xml:space="preserve">ColorPie!A86:E86</x:t>
  </x:si>
  <x:si>
    <x:t xml:space="preserve">Exiling cards from graveyard</x:t>
  </x:si>
  <x:si>
    <x:t xml:space="preserve">Primary: Black | Secondary: White, Green</x:t>
  </x:si>
  <x:si>
    <x:t xml:space="preserve">Get rid of cards with effects/activations</x:t>
  </x:si>
  <x:si>
    <x:t xml:space="preserve">o:"Exiling cards from graveyard"</x:t>
  </x:si>
  <x:si>
    <x:t xml:space="preserve">ColorPie!A87:E87</x:t>
  </x:si>
  <x:si>
    <x:t xml:space="preserve">Extra attack</x:t>
  </x:si>
  <x:si>
    <x:t xml:space="preserve">Primary: Red | Tertiary: White</x:t>
  </x:si>
  <x:si>
    <x:t xml:space="preserve">Attacking twice; thematically makes sense for white</x:t>
  </x:si>
  <x:si>
    <x:t xml:space="preserve">o:"Extra attack"</x:t>
  </x:si>
  <x:si>
    <x:t xml:space="preserve">ColorPie!A88:E88</x:t>
  </x:si>
  <x:si>
    <x:t xml:space="preserve">Green's primary creature destruction; red uses occasionally</x:t>
  </x:si>
  <x:si>
    <x:t xml:space="preserve">ColorPie!A89:E89</x:t>
  </x:si>
  <x:si>
    <x:t xml:space="preserve">Primary: White, Red | Tertiary: Black</x:t>
  </x:si>
  <x:si>
    <x:t xml:space="preserve">White has army; red impulsive fighters; black on Knights</x:t>
  </x:si>
  <x:si>
    <x:t xml:space="preserve">ColorPie!A90:E90</x:t>
  </x:si>
  <x:si>
    <x:t xml:space="preserve">Primary: Blue | Secondary: White, Black, Green | Tertiary: Red</x:t>
  </x:si>
  <x:si>
    <x:t xml:space="preserve">Blue most reactive; white cheap/defensive; black surprise kill; green bigger</x:t>
  </x:si>
  <x:si>
    <x:t xml:space="preserve">ColorPie!A91:E91</x:t>
  </x:si>
  <x:si>
    <x:t xml:space="preserve">"Flicker"</x:t>
  </x:si>
  <x:si>
    <x:t xml:space="preserve">Primary: White, Blue</x:t>
  </x:si>
  <x:si>
    <x:t xml:space="preserve">Exile creature/permanent, return to battlefield</x:t>
  </x:si>
  <x:si>
    <x:t xml:space="preserve">o:"\"Flicker\""</x:t>
  </x:si>
  <x:si>
    <x:t xml:space="preserve">ColorPie!A92:E92</x:t>
  </x:si>
  <x:si>
    <x:t xml:space="preserve">Primary: White, Blue | Secondary: Black, Red | Tertiary: Green</x:t>
  </x:si>
  <x:si>
    <x:t xml:space="preserve">Blue most fliers; white efficient small; red Dragons/Phoenixes; green very infrequent</x:t>
  </x:si>
  <x:si>
    <x:t xml:space="preserve">ColorPie!A93:E93</x:t>
  </x:si>
  <x:si>
    <x:t xml:space="preserve">"Fog"</x:t>
  </x:si>
  <x:si>
    <x:t xml:space="preserve">Primary: Green | Tertiary: White</x:t>
  </x:si>
  <x:si>
    <x:t xml:space="preserve">Prevent all combat damage this turn</x:t>
  </x:si>
  <x:si>
    <x:t xml:space="preserve">o:"\"Fog\""</x:t>
  </x:si>
  <x:si>
    <x:t xml:space="preserve">ColorPie!A94:E94</x:t>
  </x:si>
  <x:si>
    <x:t xml:space="preserve">Forced attack</x:t>
  </x:si>
  <x:si>
    <x:t xml:space="preserve">Red emotional tampering; blue mind control</x:t>
  </x:si>
  <x:si>
    <x:t xml:space="preserve">o:"Forced attack"</x:t>
  </x:si>
  <x:si>
    <x:t xml:space="preserve">ColorPie!A95:E95</x:t>
  </x:si>
  <x:si>
    <x:t xml:space="preserve">Forced block</x:t>
  </x:si>
  <x:si>
    <x:t xml:space="preserve">Target creature must block this turn</x:t>
  </x:si>
  <x:si>
    <x:t xml:space="preserve">o:"Forced block"</x:t>
  </x:si>
  <x:si>
    <x:t xml:space="preserve">ColorPie!A96:E96</x:t>
  </x:si>
  <x:si>
    <x:t xml:space="preserve">Forced sacrifice, creature</x:t>
  </x:si>
  <x:si>
    <x:t xml:space="preserve">Sometimes black makes you sacrifice</x:t>
  </x:si>
  <x:si>
    <x:t xml:space="preserve">o:"Forced sacrifice, creature"</x:t>
  </x:si>
  <x:si>
    <x:t xml:space="preserve">ColorPie!A97:E97</x:t>
  </x:si>
  <x:si>
    <x:t xml:space="preserve">Forced sacrifice, artifact</x:t>
  </x:si>
  <x:si>
    <x:t xml:space="preserve">Red can force you to sacrifice artifacts</x:t>
  </x:si>
  <x:si>
    <x:t xml:space="preserve">o:"Forced sacrifice, artifact"</x:t>
  </x:si>
  <x:si>
    <x:t xml:space="preserve">ColorPie!A98:E98</x:t>
  </x:si>
  <x:si>
    <x:t xml:space="preserve">Forced sacrifice, permanent</x:t>
  </x:si>
  <x:si>
    <x:t xml:space="preserve">Red can force any permanent; black doing more</x:t>
  </x:si>
  <x:si>
    <x:t xml:space="preserve">o:"Forced sacrifice, permanent"</x:t>
  </x:si>
  <x:si>
    <x:t xml:space="preserve">ColorPie!A99:E99</x:t>
  </x:si>
  <x:si>
    <x:t xml:space="preserve">"Freeze" creature</x:t>
  </x:si>
  <x:si>
    <x:t xml:space="preserve">Tap target creature; doesn't untap during next untap step</x:t>
  </x:si>
  <x:si>
    <x:t xml:space="preserve">o:"\"Freeze\" creature"</x:t>
  </x:si>
  <x:si>
    <x:t xml:space="preserve">ColorPie!A100:E100</x:t>
  </x:si>
  <x:si>
    <x:t xml:space="preserve">Friendly to artifacts</x:t>
  </x:si>
  <x:si>
    <x:t xml:space="preserve">Primary: White, Blue | Secondary: Red</x:t>
  </x:si>
  <x:si>
    <x:t xml:space="preserve">White/blue civilization colors; red Equipment/Vehicles</x:t>
  </x:si>
  <x:si>
    <x:t xml:space="preserve">o:"Friendly to artifacts"</x:t>
  </x:si>
  <x:si>
    <x:t xml:space="preserve">ColorPie!A101:E101</x:t>
  </x:si>
  <x:si>
    <x:t xml:space="preserve">Friendly to creatures</x:t>
  </x:si>
  <x:si>
    <x:t xml:space="preserve">Primary: Green | Secondary: White</x:t>
  </x:si>
  <x:si>
    <x:t xml:space="preserve">Green/white main creature colors</x:t>
  </x:si>
  <x:si>
    <x:t xml:space="preserve">o:"Friendly to creatures"</x:t>
  </x:si>
  <x:si>
    <x:t xml:space="preserve">ColorPie!A102:E102</x:t>
  </x:si>
  <x:si>
    <x:t xml:space="preserve">Friendly to enchantments</x:t>
  </x:si>
  <x:si>
    <x:t xml:space="preserve">Primary: White, Green | Tertiary: Black</x:t>
  </x:si>
  <x:si>
    <x:t xml:space="preserve">Black sometimes in enchantment-themed sets</x:t>
  </x:si>
  <x:si>
    <x:t xml:space="preserve">o:"Friendly to enchantments"</x:t>
  </x:si>
  <x:si>
    <x:t xml:space="preserve">ColorPie!A103:E103</x:t>
  </x:si>
  <x:si>
    <x:t xml:space="preserve">Friendly to instants and sorceries</x:t>
  </x:si>
  <x:si>
    <x:t xml:space="preserve">Primary: Blue | Secondary: Red</x:t>
  </x:si>
  <x:si>
    <x:t xml:space="preserve">Spell colors like instants and sorceries</x:t>
  </x:si>
  <x:si>
    <x:t xml:space="preserve">o:"Friendly to instants and sorceries"</x:t>
  </x:si>
  <x:si>
    <x:t xml:space="preserve">ColorPie!A104:E104</x:t>
  </x:si>
  <x:si>
    <x:t xml:space="preserve">Friendly to lands</x:t>
  </x:si>
  <x:si>
    <x:t xml:space="preserve">Primary: Green | Secondary: White, Blue, Black, Red</x:t>
  </x:si>
  <x:si>
    <x:t xml:space="preserve">Green loves lands most; every color loves its basic land type</x:t>
  </x:si>
  <x:si>
    <x:t xml:space="preserve">o:"Friendly to lands"</x:t>
  </x:si>
  <x:si>
    <x:t xml:space="preserve">ColorPie!A105:E105</x:t>
  </x:si>
  <x:si>
    <x:t xml:space="preserve">Friendly to planeswalkers</x:t>
  </x:si>
  <x:si>
    <x:t xml:space="preserve">White searches/returns planeswalkers</x:t>
  </x:si>
  <x:si>
    <x:t xml:space="preserve">o:"Friendly to planeswalkers"</x:t>
  </x:si>
  <x:si>
    <x:t xml:space="preserve">ColorPie!A106:E106</x:t>
  </x:si>
  <x:si>
    <x:t xml:space="preserve">Friendly to legendary permanents</x:t>
  </x:si>
  <x:si>
    <x:t xml:space="preserve">White searches/returns legendary permanents</x:t>
  </x:si>
  <x:si>
    <x:t xml:space="preserve">o:"Friendly to legendary permanents"</x:t>
  </x:si>
  <x:si>
    <x:t xml:space="preserve">ColorPie!A107:E107</x:t>
  </x:si>
  <x:si>
    <x:t xml:space="preserve">Friendly to low mana value cards</x:t>
  </x:si>
  <x:si>
    <x:t xml:space="preserve">White interacts with mana value 3 or less cards</x:t>
  </x:si>
  <x:si>
    <x:t xml:space="preserve">o:"Friendly to low mana value cards"</x:t>
  </x:si>
  <x:si>
    <x:t xml:space="preserve">ColorPie!A108:E108</x:t>
  </x:si>
  <x:si>
    <x:t xml:space="preserve">Gain control of target player's turn</x:t>
  </x:si>
  <x:si>
    <x:t xml:space="preserve">Most often colorless; black in color pie</x:t>
  </x:si>
  <x:si>
    <x:t xml:space="preserve">o:"Gain control of target player's turn"</x:t>
  </x:si>
  <x:si>
    <x:t xml:space="preserve">ColorPie!A109:E109</x:t>
  </x:si>
  <x:si>
    <x:t xml:space="preserve">"Gaseous Form"</x:t>
  </x:si>
  <x:si>
    <x:t xml:space="preserve">Creature neither deals nor receives damage</x:t>
  </x:si>
  <x:si>
    <x:t xml:space="preserve">o:"\"Gaseous Form\""</x:t>
  </x:si>
  <x:si>
    <x:t xml:space="preserve">ColorPie!A110:E110</x:t>
  </x:si>
  <x:si>
    <x:t xml:space="preserve">Primary: Red | Secondary: Black, Green</x:t>
  </x:si>
  <x:si>
    <x:t xml:space="preserve">Red most often; green moved to second; black less often</x:t>
  </x:si>
  <x:si>
    <x:t xml:space="preserve">ColorPie!A111:E111</x:t>
  </x:si>
  <x:si>
    <x:t xml:space="preserve">Primary: Blue | Secondary: Green | Tertiary: White</x:t>
  </x:si>
  <x:si>
    <x:t xml:space="preserve">Blue most often grants; green on larger creatures; white infrequently</x:t>
  </x:si>
  <x:si>
    <x:t xml:space="preserve">ColorPie!A112:E112</x:t>
  </x:si>
  <x:si>
    <x:t xml:space="preserve">"Illusion ability"</x:t>
  </x:si>
  <x:si>
    <x:t xml:space="preserve">Sacrifice creature if targeted by a spell</x:t>
  </x:si>
  <x:si>
    <x:t xml:space="preserve">o:"\"Illusion ability\""</x:t>
  </x:si>
  <x:si>
    <x:t xml:space="preserve">ColorPie!A113:E113</x:t>
  </x:si>
  <x:si>
    <x:t xml:space="preserve">"Impulsive draw"</x:t>
  </x:si>
  <x:si>
    <x:t xml:space="preserve">Exile top N cards; may play until end of turn</x:t>
  </x:si>
  <x:si>
    <x:t xml:space="preserve">o:"\"Impulsive draw\""</x:t>
  </x:si>
  <x:si>
    <x:t xml:space="preserve">ColorPie!A114:E114</x:t>
  </x:si>
  <x:si>
    <x:t xml:space="preserve">Increasing counters and/or tokens</x:t>
  </x:si>
  <x:si>
    <x:t xml:space="preserve">Primary: Blue, Green | Secondary: White</x:t>
  </x:si>
  <x:si>
    <x:t xml:space="preserve">Makes more counters/tokens as made or after</x:t>
  </x:si>
  <x:si>
    <x:t xml:space="preserve">o:"Increasing counters and/or tokens"</x:t>
  </x:si>
  <x:si>
    <x:t xml:space="preserve">ColorPie!A115:E115</x:t>
  </x:si>
  <x:si>
    <x:t xml:space="preserve">Primary: White | Secondary: Black, Green | Tertiary: Blue, Red</x:t>
  </x:si>
  <x:si>
    <x:t xml:space="preserve">White/green naturally; black/green replacement for regeneration</x:t>
  </x:si>
  <x:si>
    <x:t xml:space="preserve">ColorPie!A116:E116</x:t>
  </x:si>
  <x:si>
    <x:t xml:space="preserve">Instant/sorcery triggers</x:t>
  </x:si>
  <x:si>
    <x:t xml:space="preserve">Primary: Blue, Red</x:t>
  </x:si>
  <x:si>
    <x:t xml:space="preserve">Whenever you cast an instant and/or sorcery</x:t>
  </x:si>
  <x:si>
    <x:t xml:space="preserve">o:"Instant/sorcery triggers"</x:t>
  </x:si>
  <x:si>
    <x:t xml:space="preserve">ColorPie!A117:E117</x:t>
  </x:si>
  <x:si>
    <x:t xml:space="preserve">Land destruction</x:t>
  </x:si>
  <x:si>
    <x:t xml:space="preserve">Primary: Red | Tertiary: Black, Green</x:t>
  </x:si>
  <x:si>
    <x:t xml:space="preserve">Red regularly; black/green very infrequently</x:t>
  </x:si>
  <x:si>
    <x:t xml:space="preserve">o:"Land destruction"</x:t>
  </x:si>
  <x:si>
    <x:t xml:space="preserve">ColorPie!A118:E118</x:t>
  </x:si>
  <x:si>
    <x:t xml:space="preserve">"Lhurgoyf"</x:t>
  </x:si>
  <x:si>
    <x:t xml:space="preserve">Primary: Green | Secondary: Black | Tertiary: White, Blue, Red</x:t>
  </x:si>
  <x:si>
    <x:t xml:space="preserve">Power/toughness equal to cards in graveyards</x:t>
  </x:si>
  <x:si>
    <x:t xml:space="preserve">o:"\"Lhurgoyf\""</x:t>
  </x:si>
  <x:si>
    <x:t xml:space="preserve">ColorPie!A119:E119</x:t>
  </x:si>
  <x:si>
    <x:t xml:space="preserve">Life gain</x:t>
  </x:si>
  <x:si>
    <x:t xml:space="preserve">White/green simply gain; black only with sacrifice/lifelink/damage</x:t>
  </x:si>
  <x:si>
    <x:t xml:space="preserve">o:"Life gain"</x:t>
  </x:si>
  <x:si>
    <x:t xml:space="preserve">ColorPie!A120:E120</x:t>
  </x:si>
  <x:si>
    <x:t xml:space="preserve">Life loss as an effect</x:t>
  </x:si>
  <x:si>
    <x:t xml:space="preserve">Black makes players lose life without drain</x:t>
  </x:si>
  <x:si>
    <x:t xml:space="preserve">o:"Life loss as an effect"</x:t>
  </x:si>
  <x:si>
    <x:t xml:space="preserve">ColorPie!A121:E121</x:t>
  </x:si>
  <x:si>
    <x:t xml:space="preserve">Life loss as a cost</x:t>
  </x:si>
  <x:si>
    <x:t xml:space="preserve">Black most often; all colors rare access</x:t>
  </x:si>
  <x:si>
    <x:t xml:space="preserve">o:"Life loss as a cost"</x:t>
  </x:si>
  <x:si>
    <x:t xml:space="preserve">ColorPie!A122:E122</x:t>
  </x:si>
  <x:si>
    <x:t xml:space="preserve">Primary: White, Black</x:t>
  </x:si>
  <x:si>
    <x:t xml:space="preserve">Different flavor rationales; both use almost every set</x:t>
  </x:si>
  <x:si>
    <x:t xml:space="preserve">ColorPie!A123:E123</x:t>
  </x:si>
  <x:si>
    <x:t xml:space="preserve">"Lockdown"</x:t>
  </x:si>
  <x:si>
    <x:t xml:space="preserve">Enchanted creature doesn't untap; usually on Auras</x:t>
  </x:si>
  <x:si>
    <x:t xml:space="preserve">o:"\"Lockdown\""</x:t>
  </x:si>
  <x:si>
    <x:t xml:space="preserve">ColorPie!A124:E124</x:t>
  </x:si>
  <x:si>
    <x:t xml:space="preserve">"Lobotomy"</x:t>
  </x:si>
  <x:si>
    <x:t xml:space="preserve">Search player's graveyard, hand, library for named card and exile</x:t>
  </x:si>
  <x:si>
    <x:t xml:space="preserve">o:"\"Lobotomy\""</x:t>
  </x:si>
  <x:si>
    <x:t xml:space="preserve">ColorPie!A125:E125</x:t>
  </x:si>
  <x:si>
    <x:t xml:space="preserve">Looking at opponent's hand</x:t>
  </x:si>
  <x:si>
    <x:t xml:space="preserve">Blue simply does it; black with discard choice</x:t>
  </x:si>
  <x:si>
    <x:t xml:space="preserve">o:"Looking at opponent's hand"</x:t>
  </x:si>
  <x:si>
    <x:t xml:space="preserve">ColorPie!A126:E126</x:t>
  </x:si>
  <x:si>
    <x:t xml:space="preserve">"Looting"</x:t>
  </x:si>
  <x:si>
    <x:t xml:space="preserve">Draw a card and discard a card</x:t>
  </x:si>
  <x:si>
    <x:t xml:space="preserve">o:"\"Looting\""</x:t>
  </x:si>
  <x:si>
    <x:t xml:space="preserve">ColorPie!A127:E127</x:t>
  </x:si>
  <x:si>
    <x:t xml:space="preserve">"Lure"</x:t>
  </x:si>
  <x:si>
    <x:t xml:space="preserve">All creatures able to block this creature must do so</x:t>
  </x:si>
  <x:si>
    <x:t xml:space="preserve">o:"\"Lure\""</x:t>
  </x:si>
  <x:si>
    <x:t xml:space="preserve">ColorPie!A128:E128</x:t>
  </x:si>
  <x:si>
    <x:t xml:space="preserve">"Lure," limited</x:t>
  </x:si>
  <x:si>
    <x:t xml:space="preserve">This creature must be blocked this turn if able</x:t>
  </x:si>
  <x:si>
    <x:t xml:space="preserve">o:"\"Lure,\" limited"</x:t>
  </x:si>
  <x:si>
    <x:t xml:space="preserve">ColorPie!A129:E129</x:t>
  </x:si>
  <x:si>
    <x:t xml:space="preserve">Mana production, permanent</x:t>
  </x:si>
  <x:si>
    <x:t xml:space="preserve">Primary: Green | Secondary: Blue | Tertiary: Black</x:t>
  </x:si>
  <x:si>
    <x:t xml:space="preserve">Green ramps; black pays cost; blue colorless</x:t>
  </x:si>
  <x:si>
    <x:t xml:space="preserve">o:"Mana production, permanent"</x:t>
  </x:si>
  <x:si>
    <x:t xml:space="preserve">ColorPie!A130:E130</x:t>
  </x:si>
  <x:si>
    <x:t xml:space="preserve">Mana production, temporary</x:t>
  </x:si>
  <x:si>
    <x:t xml:space="preserve">Red bursts; black requires cost usually sacrifice</x:t>
  </x:si>
  <x:si>
    <x:t xml:space="preserve">o:"Mana production, temporary"</x:t>
  </x:si>
  <x:si>
    <x:t xml:space="preserve">ColorPie!A131:E131</x:t>
  </x:si>
  <x:si>
    <x:t xml:space="preserve">"Manipulate time"</x:t>
  </x:si>
  <x:si>
    <x:t xml:space="preserve">Primary: Blue | Tertiary: Red</x:t>
  </x:si>
  <x:si>
    <x:t xml:space="preserve">End the turn; red with lose at end rider</x:t>
  </x:si>
  <x:si>
    <x:t xml:space="preserve">o:"\"Manipulate time\""</x:t>
  </x:si>
  <x:si>
    <x:t xml:space="preserve">ColorPie!A132:E132</x:t>
  </x:si>
  <x:si>
    <x:t xml:space="preserve">"Maro" ability</x:t>
  </x:si>
  <x:si>
    <x:t xml:space="preserve">Power/toughness equal to cards in hand</x:t>
  </x:si>
  <x:si>
    <x:t xml:space="preserve">o:"\"Maro\" ability"</x:t>
  </x:si>
  <x:si>
    <x:t xml:space="preserve">ColorPie!A133:E133</x:t>
  </x:si>
  <x:si>
    <x:t xml:space="preserve">"Meddling"</x:t>
  </x:si>
  <x:si>
    <x:t xml:space="preserve">Name a spell that can't be played while permanent on battlefield</x:t>
  </x:si>
  <x:si>
    <x:t xml:space="preserve">o:"\"Meddling\""</x:t>
  </x:si>
  <x:si>
    <x:t xml:space="preserve">ColorPie!A134:E134</x:t>
  </x:si>
  <x:si>
    <x:t xml:space="preserve">Started in red; added to black when intimidate gone</x:t>
  </x:si>
  <x:si>
    <x:t xml:space="preserve">ColorPie!A135:E135</x:t>
  </x:si>
  <x:si>
    <x:t xml:space="preserve">Milling</x:t>
  </x:si>
  <x:si>
    <x:t xml:space="preserve">Put top N cards from library into graveyard</x:t>
  </x:si>
  <x:si>
    <x:t xml:space="preserve">o:"Milling"</x:t>
  </x:si>
  <x:si>
    <x:t xml:space="preserve">ColorPie!A136:E136</x:t>
  </x:si>
  <x:si>
    <x:t xml:space="preserve">Moving enchantments/counters</x:t>
  </x:si>
  <x:si>
    <x:t xml:space="preserve">Blue moves attached things</x:t>
  </x:si>
  <x:si>
    <x:t xml:space="preserve">o:"Moving enchantments/counters"</x:t>
  </x:si>
  <x:si>
    <x:t xml:space="preserve">ColorPie!A137:E137</x:t>
  </x:si>
  <x:si>
    <x:t xml:space="preserve">Must attack</x:t>
  </x:si>
  <x:si>
    <x:t xml:space="preserve">Flavor great but gameplay not always; doing less</x:t>
  </x:si>
  <x:si>
    <x:t xml:space="preserve">o:"Must attack"</x:t>
  </x:si>
  <x:si>
    <x:t xml:space="preserve">ColorPie!A138:E138</x:t>
  </x:si>
  <x:si>
    <x:t xml:space="preserve">Pacifism-like effect</x:t>
  </x:si>
  <x:si>
    <x:t xml:space="preserve">Enchanted creature cannot attack or block</x:t>
  </x:si>
  <x:si>
    <x:t xml:space="preserve">o:"Pacifism-like effect"</x:t>
  </x:si>
  <x:si>
    <x:t xml:space="preserve">ColorPie!A139:E139</x:t>
  </x:si>
  <x:si>
    <x:t xml:space="preserve">"Panic"</x:t>
  </x:si>
  <x:si>
    <x:t xml:space="preserve">Target creature can't block this turn</x:t>
  </x:si>
  <x:si>
    <x:t xml:space="preserve">o:"\"Panic\""</x:t>
  </x:si>
  <x:si>
    <x:t xml:space="preserve">ColorPie!A140:E140</x:t>
  </x:si>
  <x:si>
    <x:t xml:space="preserve">Planeswalker destruction</x:t>
  </x:si>
  <x:si>
    <x:t xml:space="preserve">Primary: Black | Tertiary: Green</x:t>
  </x:si>
  <x:si>
    <x:t xml:space="preserve">Black destroys; green destroy noncreature; red uses damage</x:t>
  </x:si>
  <x:si>
    <x:t xml:space="preserve">o:"Planeswalker destruction"</x:t>
  </x:si>
  <x:si>
    <x:t xml:space="preserve">ColorPie!A141:E141</x:t>
  </x:si>
  <x:si>
    <x:t xml:space="preserve">Playing cards off top of library (paying cost)</x:t>
  </x:si>
  <x:si>
    <x:t xml:space="preserve">Secondary: White, Blue, Black, Red, Green</x:t>
  </x:si>
  <x:si>
    <x:t xml:space="preserve">No primary; any color subset that makes sense; blue any card</x:t>
  </x:si>
  <x:si>
    <x:t xml:space="preserve">o:"Playing cards off top of library (paying cost)"</x:t>
  </x:si>
  <x:si>
    <x:t xml:space="preserve">ColorPie!A142:E142</x:t>
  </x:si>
  <x:si>
    <x:t xml:space="preserve">Playing cards off top of library (for free)</x:t>
  </x:si>
  <x:si>
    <x:t xml:space="preserve">Moved from blue; chaotic feel</x:t>
  </x:si>
  <x:si>
    <x:t xml:space="preserve">o:"Playing cards off top of library (for free)"</x:t>
  </x:si>
  <x:si>
    <x:t xml:space="preserve">ColorPie!A143:E143</x:t>
  </x:si>
  <x:si>
    <x:t xml:space="preserve">Playing cards off top of opponent's library</x:t>
  </x:si>
  <x:si>
    <x:t xml:space="preserve">Primary: Blue, Black | Secondary: Red</x:t>
  </x:si>
  <x:si>
    <x:t xml:space="preserve">Blue/black sneaky; red short duration</x:t>
  </x:si>
  <x:si>
    <x:t xml:space="preserve">o:"Playing cards off top of opponent's library"</x:t>
  </x:si>
  <x:si>
    <x:t xml:space="preserve">ColorPie!A144:E144</x:t>
  </x:si>
  <x:si>
    <x:t xml:space="preserve">Play extra lands</x:t>
  </x:si>
  <x:si>
    <x:t xml:space="preserve">Put a land from hand onto the battlefield</x:t>
  </x:si>
  <x:si>
    <x:t xml:space="preserve">o:"Play extra lands"</x:t>
  </x:si>
  <x:si>
    <x:t xml:space="preserve">ColorPie!A145:E145</x:t>
  </x:si>
  <x:si>
    <x:t xml:space="preserve">"Polymorph"</x:t>
  </x:si>
  <x:si>
    <x:t xml:space="preserve">Red random outcome; blue known outcome</x:t>
  </x:si>
  <x:si>
    <x:t xml:space="preserve">o:"\"Polymorph\""</x:t>
  </x:si>
  <x:si>
    <x:t xml:space="preserve">ColorPie!A146:E146</x:t>
  </x:si>
  <x:si>
    <x:t xml:space="preserve">Preventing actions</x:t>
  </x:si>
  <x:si>
    <x:t xml:space="preserve">Your opponents can't cast spells this turn</x:t>
  </x:si>
  <x:si>
    <x:t xml:space="preserve">o:"Preventing actions"</x:t>
  </x:si>
  <x:si>
    <x:t xml:space="preserve">ColorPie!A147:E147</x:t>
  </x:si>
  <x:si>
    <x:t xml:space="preserve">Primary: White | Tertiary: Blue, Black, Red, Green</x:t>
  </x:si>
  <x:si>
    <x:t xml:space="preserve">Mostly white; others from disliked things</x:t>
  </x:si>
  <x:si>
    <x:t xml:space="preserve">ColorPie!A148:E148</x:t>
  </x:si>
  <x:si>
    <x:t xml:space="preserve">Primary: Blue | Secondary: Red | Tertiary: White</x:t>
  </x:si>
  <x:si>
    <x:t xml:space="preserve">Started Jeskai; deciduous now</x:t>
  </x:si>
  <x:si>
    <x:t xml:space="preserve">ColorPie!A149:E149</x:t>
  </x:si>
  <x:si>
    <x:t xml:space="preserve">"Punisher" effects</x:t>
  </x:si>
  <x:si>
    <x:t xml:space="preserve">Opponent chooses: thing X or Y happens</x:t>
  </x:si>
  <x:si>
    <x:t xml:space="preserve">o:"\"Punisher\" effects"</x:t>
  </x:si>
  <x:si>
    <x:t xml:space="preserve">ColorPie!A150:E150</x:t>
  </x:si>
  <x:si>
    <x:t xml:space="preserve">Putting artifacts from hand onto battlefield</x:t>
  </x:si>
  <x:si>
    <x:t xml:space="preserve">Primary: Blue | Secondary: White</x:t>
  </x:si>
  <x:si>
    <x:t xml:space="preserve">Blue friendly to artifacts; white Equipment</x:t>
  </x:si>
  <x:si>
    <x:t xml:space="preserve">o:"Putting artifacts from hand onto battlefield"</x:t>
  </x:si>
  <x:si>
    <x:t xml:space="preserve">ColorPie!A151:E151</x:t>
  </x:si>
  <x:si>
    <x:t xml:space="preserve">Putting creatures from hand onto battlefield</x:t>
  </x:si>
  <x:si>
    <x:t xml:space="preserve">Primary: Green | Secondary: Blue, Red | Tertiary: White, Black</x:t>
  </x:si>
  <x:si>
    <x:t xml:space="preserve">Green most; blue transformation; red sacrifices at end</x:t>
  </x:si>
  <x:si>
    <x:t xml:space="preserve">o:"Putting creatures from hand onto battlefield"</x:t>
  </x:si>
  <x:si>
    <x:t xml:space="preserve">ColorPie!A152:E152</x:t>
  </x:si>
  <x:si>
    <x:t xml:space="preserve">Putting enchantments from hand onto battlefield</x:t>
  </x:si>
  <x:si>
    <x:t xml:space="preserve">Primary: White | Secondary: Green | Tertiary: Blue</x:t>
  </x:si>
  <x:si>
    <x:t xml:space="preserve">White/blue tied to Auras; green any enchantment</x:t>
  </x:si>
  <x:si>
    <x:t xml:space="preserve">o:"Putting enchantments from hand onto battlefield"</x:t>
  </x:si>
  <x:si>
    <x:t xml:space="preserve">ColorPie!A153:E153</x:t>
  </x:si>
  <x:si>
    <x:t xml:space="preserve">Putting lands from hand onto battlefield</x:t>
  </x:si>
  <x:si>
    <x:t xml:space="preserve">Green still does it but not as often</x:t>
  </x:si>
  <x:si>
    <x:t xml:space="preserve">o:"Putting lands from hand onto battlefield"</x:t>
  </x:si>
  <x:si>
    <x:t xml:space="preserve">ColorPie!A154:E154</x:t>
  </x:si>
  <x:si>
    <x:t xml:space="preserve">Putting planeswalkers from hand onto battlefield</x:t>
  </x:si>
  <x:si>
    <x:t xml:space="preserve">Not yet done; best guess is white</x:t>
  </x:si>
  <x:si>
    <x:t xml:space="preserve">o:"Putting planeswalkers from hand onto battlefield"</x:t>
  </x:si>
  <x:si>
    <x:t xml:space="preserve">ColorPie!A155:E155</x:t>
  </x:si>
  <x:si>
    <x:t xml:space="preserve">Random destruction effects</x:t>
  </x:si>
  <x:si>
    <x:t xml:space="preserve">Color of chaos; random nonenchantment permanents</x:t>
  </x:si>
  <x:si>
    <x:t xml:space="preserve">o:"Random destruction effects"</x:t>
  </x:si>
  <x:si>
    <x:t xml:space="preserve">ColorPie!A156:E156</x:t>
  </x:si>
  <x:si>
    <x:t xml:space="preserve">Primary: Green | Secondary: Red | Tertiary: White</x:t>
  </x:si>
  <x:si>
    <x:t xml:space="preserve">Green no flying tool; recently secondary in red; white archers</x:t>
  </x:si>
  <x:si>
    <x:t xml:space="preserve">ColorPie!A157:E157</x:t>
  </x:si>
  <x:si>
    <x:t xml:space="preserve">"Reanimate" permanent</x:t>
  </x:si>
  <x:si>
    <x:t xml:space="preserve">White can reanimate any permanent type</x:t>
  </x:si>
  <x:si>
    <x:t xml:space="preserve">o:"\"Reanimate\" permanent"</x:t>
  </x:si>
  <x:si>
    <x:t xml:space="preserve">ColorPie!A158:E158</x:t>
  </x:si>
  <x:si>
    <x:t xml:space="preserve">"Reanimation" (creatures)</x:t>
  </x:si>
  <x:si>
    <x:t xml:space="preserve">Primary: White, Black | Secondary: Red, Green</x:t>
  </x:si>
  <x:si>
    <x:t xml:space="preserve">Black no restrictions; white smaller; red Phoenixes; green self</x:t>
  </x:si>
  <x:si>
    <x:t xml:space="preserve">o:"\"Reanimation\" (creatures)"</x:t>
  </x:si>
  <x:si>
    <x:t xml:space="preserve">ColorPie!A159:E159</x:t>
  </x:si>
  <x:si>
    <x:t xml:space="preserve">Removing counters</x:t>
  </x:si>
  <x:si>
    <x:t xml:space="preserve">Gets rid of counters from battlefield permanents</x:t>
  </x:si>
  <x:si>
    <x:t xml:space="preserve">o:"Removing counters"</x:t>
  </x:si>
  <x:si>
    <x:t xml:space="preserve">ColorPie!A160:E160</x:t>
  </x:si>
  <x:si>
    <x:t xml:space="preserve">"Restocking"</x:t>
  </x:si>
  <x:si>
    <x:t xml:space="preserve">Primary: Green, Blue</x:t>
  </x:si>
  <x:si>
    <x:t xml:space="preserve">Putting cards from graveyard back into library</x:t>
  </x:si>
  <x:si>
    <x:t xml:space="preserve">o:"\"Restocking\""</x:t>
  </x:si>
  <x:si>
    <x:t xml:space="preserve">ColorPie!A161:E161</x:t>
  </x:si>
  <x:si>
    <x:t xml:space="preserve">Return target card from graveyard to hand</x:t>
  </x:si>
  <x:si>
    <x:t xml:space="preserve">Any card; uncommon or higher</x:t>
  </x:si>
  <x:si>
    <x:t xml:space="preserve">o:"Return target card from graveyard to hand"</x:t>
  </x:si>
  <x:si>
    <x:t xml:space="preserve">ColorPie!A162:E162</x:t>
  </x:si>
  <x:si>
    <x:t xml:space="preserve">Return target artifact from graveyard to hand</x:t>
  </x:si>
  <x:si>
    <x:t xml:space="preserve">Moved from blue to white</x:t>
  </x:si>
  <x:si>
    <x:t xml:space="preserve">o:"Return target artifact from graveyard to hand"</x:t>
  </x:si>
  <x:si>
    <x:t xml:space="preserve">ColorPie!A163:E163</x:t>
  </x:si>
  <x:si>
    <x:t xml:space="preserve">Return target creature from graveyard to hand</x:t>
  </x:si>
  <x:si>
    <x:t xml:space="preserve">Black any creature; white smaller mana costs</x:t>
  </x:si>
  <x:si>
    <x:t xml:space="preserve">o:"Return target creature from graveyard to hand"</x:t>
  </x:si>
  <x:si>
    <x:t xml:space="preserve">ColorPie!A164:E164</x:t>
  </x:si>
  <x:si>
    <x:t xml:space="preserve">Return target enchantment from graveyard to hand</x:t>
  </x:si>
  <x:si>
    <x:t xml:space="preserve">Getting back enchantments primarily white</x:t>
  </x:si>
  <x:si>
    <x:t xml:space="preserve">o:"Return target enchantment from graveyard to hand"</x:t>
  </x:si>
  <x:si>
    <x:t xml:space="preserve">ColorPie!A165:E165</x:t>
  </x:si>
  <x:si>
    <x:t xml:space="preserve">Return target instant from graveyard to hand</x:t>
  </x:si>
  <x:si>
    <x:t xml:space="preserve">Spell colors; blue leans instants</x:t>
  </x:si>
  <x:si>
    <x:t xml:space="preserve">o:"Return target instant from graveyard to hand"</x:t>
  </x:si>
  <x:si>
    <x:t xml:space="preserve">ColorPie!A166:E166</x:t>
  </x:si>
  <x:si>
    <x:t xml:space="preserve">Return target land from graveyard to hand</x:t>
  </x:si>
  <x:si>
    <x:t xml:space="preserve">Green often gets back lands</x:t>
  </x:si>
  <x:si>
    <x:t xml:space="preserve">o:"Return target land from graveyard to hand"</x:t>
  </x:si>
  <x:si>
    <x:t xml:space="preserve">ColorPie!A167:E167</x:t>
  </x:si>
  <x:si>
    <x:t xml:space="preserve">Return target sorcery from graveyard to hand</x:t>
  </x:si>
  <x:si>
    <x:t xml:space="preserve">Same as instants; red leans sorceries</x:t>
  </x:si>
  <x:si>
    <x:t xml:space="preserve">o:"Return target sorcery from graveyard to hand"</x:t>
  </x:si>
  <x:si>
    <x:t xml:space="preserve">ColorPie!A168:E168</x:t>
  </x:si>
  <x:si>
    <x:t xml:space="preserve">"Return to hand"</x:t>
  </x:si>
  <x:si>
    <x:t xml:space="preserve">Return target nonland permanent/creature to owner's hand</x:t>
  </x:si>
  <x:si>
    <x:t xml:space="preserve">o:"\"Return to hand\""</x:t>
  </x:si>
  <x:si>
    <x:t xml:space="preserve">ColorPie!A169:E169</x:t>
  </x:si>
  <x:si>
    <x:t xml:space="preserve">"Rewards for death"</x:t>
  </x:si>
  <x:si>
    <x:t xml:space="preserve">Primary: Black | Secondary: White | Tertiary: Green</x:t>
  </x:si>
  <x:si>
    <x:t xml:space="preserve">Black whenever creature dies; white your creatures; green creature-triggered</x:t>
  </x:si>
  <x:si>
    <x:t xml:space="preserve">o:"\"Rewards for death\""</x:t>
  </x:si>
  <x:si>
    <x:t xml:space="preserve">ColorPie!A170:E170</x:t>
  </x:si>
  <x:si>
    <x:t xml:space="preserve">Rules setting</x:t>
  </x:si>
  <x:si>
    <x:t xml:space="preserve">Card says players can or can't do something</x:t>
  </x:si>
  <x:si>
    <x:t xml:space="preserve">o:"Rules setting"</x:t>
  </x:si>
  <x:si>
    <x:t xml:space="preserve">ColorPie!A171:E171</x:t>
  </x:si>
  <x:si>
    <x:t xml:space="preserve">"Rummaging"</x:t>
  </x:si>
  <x:si>
    <x:t xml:space="preserve">Discard a card, then draw a card (red looting)</x:t>
  </x:si>
  <x:si>
    <x:t xml:space="preserve">o:"\"Rummaging\""</x:t>
  </x:si>
  <x:si>
    <x:t xml:space="preserve">ColorPie!A172:E172</x:t>
  </x:si>
  <x:si>
    <x:t xml:space="preserve">Sacrifice an artifact</x:t>
  </x:si>
  <x:si>
    <x:t xml:space="preserve">Black can sacrifice permanents; red very artifact-friendly</x:t>
  </x:si>
  <x:si>
    <x:t xml:space="preserve">o:"Sacrifice an artifact"</x:t>
  </x:si>
  <x:si>
    <x:t xml:space="preserve">ColorPie!A173:E173</x:t>
  </x:si>
  <x:si>
    <x:t xml:space="preserve">Sacrifice a creature</x:t>
  </x:si>
  <x:si>
    <x:t xml:space="preserve">Black most common; red started with Goblins</x:t>
  </x:si>
  <x:si>
    <x:t xml:space="preserve">o:"Sacrifice a creature"</x:t>
  </x:si>
  <x:si>
    <x:t xml:space="preserve">ColorPie!A174:E174</x:t>
  </x:si>
  <x:si>
    <x:t xml:space="preserve">Sacrifice an enchantment</x:t>
  </x:si>
  <x:si>
    <x:t xml:space="preserve">Black any permanent; green recently added</x:t>
  </x:si>
  <x:si>
    <x:t xml:space="preserve">o:"Sacrifice an enchantment"</x:t>
  </x:si>
  <x:si>
    <x:t xml:space="preserve">ColorPie!A175:E175</x:t>
  </x:si>
  <x:si>
    <x:t xml:space="preserve">Sacrifice a land</x:t>
  </x:si>
  <x:si>
    <x:t xml:space="preserve">Primary: Black | Secondary: Red | Tertiary: Green</x:t>
  </x:si>
  <x:si>
    <x:t xml:space="preserve">Black any permanent; red tied to land destruction</x:t>
  </x:si>
  <x:si>
    <x:t xml:space="preserve">o:"Sacrifice a land"</x:t>
  </x:si>
  <x:si>
    <x:t xml:space="preserve">ColorPie!A176:E176</x:t>
  </x:si>
  <x:si>
    <x:t xml:space="preserve">Sacrifice a permanent</x:t>
  </x:si>
  <x:si>
    <x:t xml:space="preserve">Primary: Black | Secondary: Red | Tertiary: White</x:t>
  </x:si>
  <x:si>
    <x:t xml:space="preserve">Black most common; red doing more; white rare tax</x:t>
  </x:si>
  <x:si>
    <x:t xml:space="preserve">o:"Sacrifice a permanent"</x:t>
  </x:si>
  <x:si>
    <x:t xml:space="preserve">ColorPie!A177:E177</x:t>
  </x:si>
  <x:si>
    <x:t xml:space="preserve">No primary; deciduous in all colors</x:t>
  </x:si>
  <x:si>
    <x:t xml:space="preserve">ColorPie!A178:E178</x:t>
  </x:si>
  <x:si>
    <x:t xml:space="preserve">"Sengir" ability</x:t>
  </x:si>
  <x:si>
    <x:t xml:space="preserve">Whenever creature dealt damage by this creature dies, get +1/+1 counter</x:t>
  </x:si>
  <x:si>
    <x:t xml:space="preserve">o:"\"Sengir\" ability"</x:t>
  </x:si>
  <x:si>
    <x:t xml:space="preserve">ColorPie!A179:E179</x:t>
  </x:si>
  <x:si>
    <x:t xml:space="preserve">"Specter" ability</x:t>
  </x:si>
  <x:si>
    <x:t xml:space="preserve">Whenever this creature deals combat damage to a player, that player discards</x:t>
  </x:si>
  <x:si>
    <x:t xml:space="preserve">o:"\"Specter\" ability"</x:t>
  </x:si>
  <x:si>
    <x:t xml:space="preserve">ColorPie!A180:E180</x:t>
  </x:si>
  <x:si>
    <x:t xml:space="preserve">Spell copying</x:t>
  </x:si>
  <x:si>
    <x:t xml:space="preserve">Red copies things you control; blue copies anything</x:t>
  </x:si>
  <x:si>
    <x:t xml:space="preserve">o:"Spell copying"</x:t>
  </x:si>
  <x:si>
    <x:t xml:space="preserve">ColorPie!A181:E181</x:t>
  </x:si>
  <x:si>
    <x:t xml:space="preserve">Spell redirection</x:t>
  </x:si>
  <x:si>
    <x:t xml:space="preserve">Blue redirect; red same but red spells</x:t>
  </x:si>
  <x:si>
    <x:t xml:space="preserve">o:"Spell redirection"</x:t>
  </x:si>
  <x:si>
    <x:t xml:space="preserve">ColorPie!A182:E182</x:t>
  </x:si>
  <x:si>
    <x:t xml:space="preserve">"Stalking"</x:t>
  </x:si>
  <x:si>
    <x:t xml:space="preserve">Can only be blocked by N or more creatures</x:t>
  </x:si>
  <x:si>
    <x:t xml:space="preserve">o:"\"Stalking\""</x:t>
  </x:si>
  <x:si>
    <x:t xml:space="preserve">ColorPie!A183:E183</x:t>
  </x:si>
  <x:si>
    <x:t xml:space="preserve">Stealing permanents, temporarily</x:t>
  </x:si>
  <x:si>
    <x:t xml:space="preserve">Until end of turn; blue anything; red creature/artifact/land</x:t>
  </x:si>
  <x:si>
    <x:t xml:space="preserve">o:"Stealing permanents, temporarily"</x:t>
  </x:si>
  <x:si>
    <x:t xml:space="preserve">ColorPie!A184:E184</x:t>
  </x:si>
  <x:si>
    <x:t xml:space="preserve">Stealing permanents, permanently</x:t>
  </x:si>
  <x:si>
    <x:t xml:space="preserve">Indefinite control</x:t>
  </x:si>
  <x:si>
    <x:t xml:space="preserve">o:"Stealing permanents, permanently"</x:t>
  </x:si>
  <x:si>
    <x:t xml:space="preserve">ColorPie!A185:E185</x:t>
  </x:si>
  <x:si>
    <x:t xml:space="preserve">"Super trample"</x:t>
  </x:si>
  <x:si>
    <x:t xml:space="preserve">Unblocked damage dealt to defending planeswalker or opponent</x:t>
  </x:si>
  <x:si>
    <x:t xml:space="preserve">o:"\"Super trample\""</x:t>
  </x:si>
  <x:si>
    <x:t xml:space="preserve">ColorPie!A186:E186</x:t>
  </x:si>
  <x:si>
    <x:t xml:space="preserve">Switching power/toughness</x:t>
  </x:si>
  <x:si>
    <x:t xml:space="preserve">Blue can swap P/T</x:t>
  </x:si>
  <x:si>
    <x:t xml:space="preserve">o:"Switching power/toughness"</x:t>
  </x:si>
  <x:si>
    <x:t xml:space="preserve">ColorPie!A187:E187</x:t>
  </x:si>
  <x:si>
    <x:t xml:space="preserve">Tapping creatures</x:t>
  </x:si>
  <x:si>
    <x:t xml:space="preserve">Primary: White | Tertiary: Blue</x:t>
  </x:si>
  <x:si>
    <x:t xml:space="preserve">White taps opposing creatures; blue more freeze</x:t>
  </x:si>
  <x:si>
    <x:t xml:space="preserve">o:"Tapping creatures"</x:t>
  </x:si>
  <x:si>
    <x:t xml:space="preserve">ColorPie!A188:E188</x:t>
  </x:si>
  <x:si>
    <x:t xml:space="preserve">Taxing</x:t>
  </x:si>
  <x:si>
    <x:t xml:space="preserve">White taxes actions; blue usually spells</x:t>
  </x:si>
  <x:si>
    <x:t xml:space="preserve">o:"Taxing"</x:t>
  </x:si>
  <x:si>
    <x:t xml:space="preserve">ColorPie!A189:E189</x:t>
  </x:si>
  <x:si>
    <x:t xml:space="preserve">"Time Walk"</x:t>
  </x:si>
  <x:si>
    <x:t xml:space="preserve">Take an extra turn after this one</x:t>
  </x:si>
  <x:si>
    <x:t xml:space="preserve">o:"\"Time Walk\""</x:t>
  </x:si>
  <x:si>
    <x:t xml:space="preserve">ColorPie!A190:E190</x:t>
  </x:si>
  <x:si>
    <x:t xml:space="preserve">Token generation</x:t>
  </x:si>
  <x:si>
    <x:t xml:space="preserve">Primary: White | Secondary: All Colors</x:t>
  </x:si>
  <x:si>
    <x:t xml:space="preserve">Primary in white; secondary in all based on creature type</x:t>
  </x:si>
  <x:si>
    <x:t xml:space="preserve">o:"Token generation"</x:t>
  </x:si>
  <x:si>
    <x:t xml:space="preserve">ColorPie!A191:E191</x:t>
  </x:si>
  <x:si>
    <x:t xml:space="preserve">Green most; red moved from tertiary to secondary</x:t>
  </x:si>
  <x:si>
    <x:t xml:space="preserve">ColorPie!A192:E192</x:t>
  </x:si>
  <x:si>
    <x:t xml:space="preserve">"Transformation"</x:t>
  </x:si>
  <x:si>
    <x:t xml:space="preserve">Turn creature into different creature; blue magical; green natural</x:t>
  </x:si>
  <x:si>
    <x:t xml:space="preserve">o:"\"Transformation\""</x:t>
  </x:si>
  <x:si>
    <x:t xml:space="preserve">ColorPie!A193:E193</x:t>
  </x:si>
  <x:si>
    <x:t xml:space="preserve">Treasure creation</x:t>
  </x:si>
  <x:si>
    <x:t xml:space="preserve">Primary: Red | Secondary: Black, Blue, Green | Tertiary: White</x:t>
  </x:si>
  <x:si>
    <x:t xml:space="preserve">Red most often; tied to permanent mana production</x:t>
  </x:si>
  <x:si>
    <x:t xml:space="preserve">o:"Treasure creation"</x:t>
  </x:si>
  <x:si>
    <x:t xml:space="preserve">ColorPie!A194:E194</x:t>
  </x:si>
  <x:si>
    <x:t xml:space="preserve">"Torment"</x:t>
  </x:si>
  <x:si>
    <x:t xml:space="preserve">Enchanted creature's controller loses life</x:t>
  </x:si>
  <x:si>
    <x:t xml:space="preserve">o:"\"Torment\""</x:t>
  </x:si>
  <x:si>
    <x:t xml:space="preserve">ColorPie!A195:E195</x:t>
  </x:si>
  <x:si>
    <x:t xml:space="preserve">Tutoring (for any card)</x:t>
  </x:si>
  <x:si>
    <x:t xml:space="preserve">Black does this on rare occasions</x:t>
  </x:si>
  <x:si>
    <x:t xml:space="preserve">o:"Tutoring (for any card)"</x:t>
  </x:si>
  <x:si>
    <x:t xml:space="preserve">ColorPie!A196:E196</x:t>
  </x:si>
  <x:si>
    <x:t xml:space="preserve">Tutoring (for a creature)</x:t>
  </x:si>
  <x:si>
    <x:t xml:space="preserve">Primary: Green | Secondary: Black</x:t>
  </x:si>
  <x:si>
    <x:t xml:space="preserve">Green main; black sometimes vampires/zombies</x:t>
  </x:si>
  <x:si>
    <x:t xml:space="preserve">o:"Tutoring (for a creature)"</x:t>
  </x:si>
  <x:si>
    <x:t xml:space="preserve">ColorPie!A197:E197</x:t>
  </x:si>
  <x:si>
    <x:t xml:space="preserve">Tutoring (for an artifact)</x:t>
  </x:si>
  <x:si>
    <x:t xml:space="preserve">Blue civilization color; white moved up</x:t>
  </x:si>
  <x:si>
    <x:t xml:space="preserve">o:"Tutoring (for an artifact)"</x:t>
  </x:si>
  <x:si>
    <x:t xml:space="preserve">ColorPie!A198:E198</x:t>
  </x:si>
  <x:si>
    <x:t xml:space="preserve">Tutoring (for an enchantment)</x:t>
  </x:si>
  <x:si>
    <x:t xml:space="preserve">White strong enchantment component</x:t>
  </x:si>
  <x:si>
    <x:t xml:space="preserve">o:"Tutoring (for an enchantment)"</x:t>
  </x:si>
  <x:si>
    <x:t xml:space="preserve">ColorPie!A199:E199</x:t>
  </x:si>
  <x:si>
    <x:t xml:space="preserve">Tutoring (for an instant or sorcery)</x:t>
  </x:si>
  <x:si>
    <x:t xml:space="preserve">Blue spell color</x:t>
  </x:si>
  <x:si>
    <x:t xml:space="preserve">o:"Tutoring (for an instant or sorcery)"</x:t>
  </x:si>
  <x:si>
    <x:t xml:space="preserve">ColorPie!A200:E200</x:t>
  </x:si>
  <x:si>
    <x:t xml:space="preserve">Tutoring (for a land)</x:t>
  </x:si>
  <x:si>
    <x:t xml:space="preserve">Primary: Green, Black</x:t>
  </x:si>
  <x:si>
    <x:t xml:space="preserve">Green ramp focused; black secondary Swamps</x:t>
  </x:si>
  <x:si>
    <x:t xml:space="preserve">o:"Tutoring (for a land)"</x:t>
  </x:si>
  <x:si>
    <x:t xml:space="preserve">ColorPie!A201:E201</x:t>
  </x:si>
  <x:si>
    <x:t xml:space="preserve">Tutoring (for a planeswalker)</x:t>
  </x:si>
  <x:si>
    <x:t xml:space="preserve">White most allied</x:t>
  </x:si>
  <x:si>
    <x:t xml:space="preserve">o:"Tutoring (for a planeswalker)"</x:t>
  </x:si>
  <x:si>
    <x:t xml:space="preserve">ColorPie!A202:E202</x:t>
  </x:si>
  <x:si>
    <x:t xml:space="preserve">"Twiddle"</x:t>
  </x:si>
  <x:si>
    <x:t xml:space="preserve">Tap or untap target permanent</x:t>
  </x:si>
  <x:si>
    <x:t xml:space="preserve">o:"\"Twiddle\""</x:t>
  </x:si>
  <x:si>
    <x:t xml:space="preserve">ColorPie!A203:E203</x:t>
  </x:si>
  <x:si>
    <x:t xml:space="preserve">Untapping creatures</x:t>
  </x:si>
  <x:si>
    <x:t xml:space="preserve">White rewards attacking; green gaining vigilance</x:t>
  </x:si>
  <x:si>
    <x:t xml:space="preserve">o:"Untapping creatures"</x:t>
  </x:si>
  <x:si>
    <x:t xml:space="preserve">ColorPie!A204:E204</x:t>
  </x:si>
  <x:si>
    <x:t xml:space="preserve">Untapping lands</x:t>
  </x:si>
  <x:si>
    <x:t xml:space="preserve">Green permanent mana; blue one-shot refund</x:t>
  </x:si>
  <x:si>
    <x:t xml:space="preserve">o:"Untapping lands"</x:t>
  </x:si>
  <x:si>
    <x:t xml:space="preserve">ColorPie!A205:E205</x:t>
  </x:si>
  <x:si>
    <x:t xml:space="preserve">White rewards attacking; green big creatures attacking</x:t>
  </x:si>
  <x:si>
    <x:t xml:space="preserve">ColorPie!A206:E206</x:t>
  </x:si>
  <x:si>
    <x:t xml:space="preserve">Variable creature</x:t>
  </x:si>
  <x:si>
    <x:t xml:space="preserve">Creature that can change power and/or toughness on its own</x:t>
  </x:si>
  <x:si>
    <x:t xml:space="preserve">o:"Variable creature"</x:t>
  </x:si>
  <x:si>
    <x:t xml:space="preserve">ColorPie!A207:E207</x:t>
  </x:si>
  <x:si>
    <x:t xml:space="preserve">Primary: Blue, White | Secondary: Black, Red, Green</x:t>
  </x:si>
  <x:si>
    <x:t xml:space="preserve">Deciduous now; all colors can have it</x:t>
  </x:si>
  <x:si>
    <x:t xml:space="preserve">ColorPie!A208:E208</x:t>
  </x:si>
  <x:si>
    <x:t xml:space="preserve">"Warlord" ability</x:t>
  </x:si>
  <x:si>
    <x:t xml:space="preserve">Power/toughness equal to number of creatures you control</x:t>
  </x:si>
  <x:si>
    <x:t xml:space="preserve">o:"\"Warlord\" ability"</x:t>
  </x:si>
  <x:si>
    <x:t xml:space="preserve">ColorPie!A209:E209</x:t>
  </x:si>
  <x:si>
    <x:t xml:space="preserve">"Wheeling"</x:t>
  </x:si>
  <x:si>
    <x:t xml:space="preserve">Each player discards hand, draws N cards</x:t>
  </x:si>
  <x:si>
    <x:t xml:space="preserve">o:"\"Wheeling\""</x:t>
  </x:si>
  <x:si>
    <x:t xml:space="preserve">ColorPie!A210:E210</x:t>
  </x:si>
  <x:si>
    <x:t xml:space="preserve">"Word" changing</x:t>
  </x:si>
  <x:si>
    <x:t xml:space="preserve">Changes text on a card from one word to another</x:t>
  </x:si>
  <x:si>
    <x:t xml:space="preserve">o:"\"Word\" changing"</x:t>
  </x:si>
  <x:si>
    <x:t xml:space="preserve">ColorPie!A211:E211</x:t>
  </x:si>
  <x:si>
    <x:t xml:space="preserve">"You don't lose"</x:t>
  </x:si>
  <x:si>
    <x:t xml:space="preserve">Game doesn't end even though it should</x:t>
  </x:si>
  <x:si>
    <x:t xml:space="preserve">o:"\"You don't lose\""</x:t>
  </x:si>
  <x:si>
    <x:t xml:space="preserve">DeckArchetypes!B2</x:t>
  </x:si>
  <x:si>
    <x:t xml:space="preserve">Deck Archetype</x:t>
  </x:si>
  <x:si>
    <x:t xml:space="preserve">Tokens</x:t>
  </x:si>
  <x:si>
    <x:t xml:space="preserve">Archetype column only</x:t>
  </x:si>
  <x:si>
    <x:t xml:space="preserve">otag:"Tokens"</x:t>
  </x:si>
  <x:si>
    <x:t xml:space="preserve">Tag-dependent</x:t>
  </x:si>
  <x:si>
    <x:t xml:space="preserve">DeckArchetypes!B3</x:t>
  </x:si>
  <x:si>
    <x:t xml:space="preserve">+1/+1 Counters</x:t>
  </x:si>
  <x:si>
    <x:t xml:space="preserve">otag:"+1/+1 Counters"</x:t>
  </x:si>
  <x:si>
    <x:t xml:space="preserve">DeckArchetypes!B4</x:t>
  </x:si>
  <x:si>
    <x:t xml:space="preserve">Artifacts</x:t>
  </x:si>
  <x:si>
    <x:t xml:space="preserve">otag:"Artifacts"</x:t>
  </x:si>
  <x:si>
    <x:t xml:space="preserve">DeckArchetypes!B5</x:t>
  </x:si>
  <x:si>
    <x:t xml:space="preserve">Combo</x:t>
  </x:si>
  <x:si>
    <x:t xml:space="preserve">otag:"Combo"</x:t>
  </x:si>
  <x:si>
    <x:t xml:space="preserve">DeckArchetypes!B6</x:t>
  </x:si>
  <x:si>
    <x:t xml:space="preserve">Lifegain</x:t>
  </x:si>
  <x:si>
    <x:t xml:space="preserve">otag:"Lifegain"</x:t>
  </x:si>
  <x:si>
    <x:t xml:space="preserve">DeckArchetypes!B7</x:t>
  </x:si>
  <x:si>
    <x:t xml:space="preserve">Spellslinger</x:t>
  </x:si>
  <x:si>
    <x:t xml:space="preserve">otag:"Spellslinger"</x:t>
  </x:si>
  <x:si>
    <x:t xml:space="preserve">DeckArchetypes!B8</x:t>
  </x:si>
  <x:si>
    <x:t xml:space="preserve">Aristocrats</x:t>
  </x:si>
  <x:si>
    <x:t xml:space="preserve">otag:"Aristocrats"</x:t>
  </x:si>
  <x:si>
    <x:t xml:space="preserve">DeckArchetypes!B9</x:t>
  </x:si>
  <x:si>
    <x:t xml:space="preserve">Reanimator</x:t>
  </x:si>
  <x:si>
    <x:t xml:space="preserve">otag:"Reanimator"</x:t>
  </x:si>
  <x:si>
    <x:t xml:space="preserve">DeckArchetypes!B10</x:t>
  </x:si>
  <x:si>
    <x:t xml:space="preserve">Ramp</x:t>
  </x:si>
  <x:si>
    <x:t xml:space="preserve">otag:"Ramp"</x:t>
  </x:si>
  <x:si>
    <x:t xml:space="preserve">DeckArchetypes!B11</x:t>
  </x:si>
  <x:si>
    <x:t xml:space="preserve">Lands Matter</x:t>
  </x:si>
  <x:si>
    <x:t xml:space="preserve">otag:"Lands Matter"</x:t>
  </x:si>
  <x:si>
    <x:t xml:space="preserve">DeckArchetypes!B12</x:t>
  </x:si>
  <x:si>
    <x:t xml:space="preserve">otag:"Landfall"</x:t>
  </x:si>
  <x:si>
    <x:t xml:space="preserve">DeckArchetypes!B13</x:t>
  </x:si>
  <x:si>
    <x:t xml:space="preserve">otag:"Treasure"</x:t>
  </x:si>
  <x:si>
    <x:t xml:space="preserve">DeckArchetypes!B14</x:t>
  </x:si>
  <x:si>
    <x:t xml:space="preserve">otag:"Equipment"</x:t>
  </x:si>
  <x:si>
    <x:t xml:space="preserve">DeckArchetypes!B15</x:t>
  </x:si>
  <x:si>
    <x:t xml:space="preserve">Enchantress</x:t>
  </x:si>
  <x:si>
    <x:t xml:space="preserve">otag:"Enchantress"</x:t>
  </x:si>
  <x:si>
    <x:t xml:space="preserve">DeckArchetypes!B16</x:t>
  </x:si>
  <x:si>
    <x:t xml:space="preserve">Control</x:t>
  </x:si>
  <x:si>
    <x:t xml:space="preserve">otag:"Control"</x:t>
  </x:si>
  <x:si>
    <x:t xml:space="preserve">DeckArchetypes!B17</x:t>
  </x:si>
  <x:si>
    <x:t xml:space="preserve">Voltron</x:t>
  </x:si>
  <x:si>
    <x:t xml:space="preserve">otag:"Voltron"</x:t>
  </x:si>
  <x:si>
    <x:t xml:space="preserve">DeckArchetypes!B18</x:t>
  </x:si>
  <x:si>
    <x:t xml:space="preserve">Blink / Flicker</x:t>
  </x:si>
  <x:si>
    <x:t xml:space="preserve">otag:"Blink / Flicker"</x:t>
  </x:si>
  <x:si>
    <x:t xml:space="preserve">DeckArchetypes!B19</x:t>
  </x:si>
  <x:si>
    <x:t xml:space="preserve">Graveyard Value</x:t>
  </x:si>
  <x:si>
    <x:t xml:space="preserve">otag:"Graveyard Value"</x:t>
  </x:si>
  <x:si>
    <x:t xml:space="preserve">DeckArchetypes!B20</x:t>
  </x:si>
  <x:si>
    <x:t xml:space="preserve">otag:"Mill"</x:t>
  </x:si>
  <x:si>
    <x:t xml:space="preserve">DeckArchetypes!B21</x:t>
  </x:si>
  <x:si>
    <x:t xml:space="preserve">Big Mana / Stompy</x:t>
  </x:si>
  <x:si>
    <x:t xml:space="preserve">otag:"Big Mana / Stompy"</x:t>
  </x:si>
  <x:si>
    <x:t xml:space="preserve">DeckArchetypes!B22</x:t>
  </x:si>
  <x:si>
    <x:t xml:space="preserve">Typal</x:t>
  </x:si>
  <x:si>
    <x:t xml:space="preserve">otag:"Typal"</x:t>
  </x:si>
  <x:si>
    <x:t xml:space="preserve">DeckArchetypes!B23</x:t>
  </x:si>
  <x:si>
    <x:t xml:space="preserve">Midrange Value</x:t>
  </x:si>
  <x:si>
    <x:t xml:space="preserve">otag:"Midrange Value"</x:t>
  </x:si>
  <x:si>
    <x:t xml:space="preserve">DeckArchetypes!B24</x:t>
  </x:si>
  <x:si>
    <x:t xml:space="preserve">Politics / Deals</x:t>
  </x:si>
  <x:si>
    <x:t xml:space="preserve">otag:"Politics / Deals"</x:t>
  </x:si>
  <x:si>
    <x:t xml:space="preserve">DeckArchetypes!B25</x:t>
  </x:si>
  <x:si>
    <x:t xml:space="preserve">Auras</x:t>
  </x:si>
  <x:si>
    <x:t xml:space="preserve">otag:"Auras"</x:t>
  </x:si>
  <x:si>
    <x:t xml:space="preserve">DeckArchetypes!B26</x:t>
  </x:si>
  <x:si>
    <x:t xml:space="preserve">Burn</x:t>
  </x:si>
  <x:si>
    <x:t xml:space="preserve">otag:"Burn"</x:t>
  </x:si>
  <x:si>
    <x:t xml:space="preserve">DeckArchetypes!B27</x:t>
  </x:si>
  <x:si>
    <x:t xml:space="preserve">Wheels</x:t>
  </x:si>
  <x:si>
    <x:t xml:space="preserve">otag:"Wheels"</x:t>
  </x:si>
  <x:si>
    <x:t xml:space="preserve">DeckArchetypes!B28</x:t>
  </x:si>
  <x:si>
    <x:t xml:space="preserve">otag:"Discard"</x:t>
  </x:si>
  <x:si>
    <x:t xml:space="preserve">DeckArchetypes!B29</x:t>
  </x:si>
  <x:si>
    <x:t xml:space="preserve">Clones</x:t>
  </x:si>
  <x:si>
    <x:t xml:space="preserve">otag:"Clones"</x:t>
  </x:si>
  <x:si>
    <x:t xml:space="preserve">DeckArchetypes!B30</x:t>
  </x:si>
  <x:si>
    <x:t xml:space="preserve">Theft / Copy</x:t>
  </x:si>
  <x:si>
    <x:t xml:space="preserve">otag:"Theft / Copy"</x:t>
  </x:si>
  <x:si>
    <x:t xml:space="preserve">DeckArchetypes!B31</x:t>
  </x:si>
  <x:si>
    <x:t xml:space="preserve">otag:"Sacrifice"</x:t>
  </x:si>
  <x:si>
    <x:t xml:space="preserve">DeckArchetypes!B32</x:t>
  </x:si>
  <x:si>
    <x:t xml:space="preserve">otag:"Storm"</x:t>
  </x:si>
  <x:si>
    <x:t xml:space="preserve">DeckArchetypes!B33</x:t>
  </x:si>
  <x:si>
    <x:t xml:space="preserve">Stax / Resource Denial</x:t>
  </x:si>
  <x:si>
    <x:t xml:space="preserve">otag:"Stax / Resource Denial"</x:t>
  </x:si>
  <x:si>
    <x:t xml:space="preserve">DeckArchetypes!B34</x:t>
  </x:si>
  <x:si>
    <x:t xml:space="preserve">Group Slug</x:t>
  </x:si>
  <x:si>
    <x:t xml:space="preserve">otag:"Group Slug"</x:t>
  </x:si>
  <x:si>
    <x:t xml:space="preserve">DeckArchetypes!B35</x:t>
  </x:si>
  <x:si>
    <x:t xml:space="preserve">Group Hug</x:t>
  </x:si>
  <x:si>
    <x:t xml:space="preserve">otag:"Group Hug"</x:t>
  </x:si>
  <x:si>
    <x:t xml:space="preserve">DeckArchetypes!B36</x:t>
  </x:si>
  <x:si>
    <x:t xml:space="preserve">Pillow Fort</x:t>
  </x:si>
  <x:si>
    <x:t xml:space="preserve">otag:"Pillow Fort"</x:t>
  </x:si>
  <x:si>
    <x:t xml:space="preserve">DeckArchetypes!B37</x:t>
  </x:si>
  <x:si>
    <x:t xml:space="preserve">Superfriends</x:t>
  </x:si>
  <x:si>
    <x:t xml:space="preserve">otag:"Superfriends"</x:t>
  </x:si>
  <x:si>
    <x:t xml:space="preserve">DeckArchetypes!B38</x:t>
  </x:si>
  <x:si>
    <x:t xml:space="preserve">Vehicles</x:t>
  </x:si>
  <x:si>
    <x:t xml:space="preserve">otag:"Vehicles"</x:t>
  </x:si>
  <x:si>
    <x:t xml:space="preserve">DeckArchetypes!B39</x:t>
  </x:si>
  <x:si>
    <x:t xml:space="preserve">Forced Combat / Goad</x:t>
  </x:si>
  <x:si>
    <x:t xml:space="preserve">otag:"Forced Combat / Goad"</x:t>
  </x:si>
  <x:si>
    <x:t xml:space="preserve">DeckArchetypes!B40</x:t>
  </x:si>
  <x:si>
    <x:t xml:space="preserve">Extra Turns</x:t>
  </x:si>
  <x:si>
    <x:t xml:space="preserve">otag:"Extra Turns"</x:t>
  </x:si>
  <x:si>
    <x:t xml:space="preserve">DeckArchetypes!B41</x:t>
  </x:si>
  <x:si>
    <x:t xml:space="preserve">otag:"Proliferate"</x:t>
  </x:si>
  <x:si>
    <x:t xml:space="preserve">DeckArchetypes!B42</x:t>
  </x:si>
  <x:si>
    <x:t xml:space="preserve">Hatebears</x:t>
  </x:si>
  <x:si>
    <x:t xml:space="preserve">otag:"Hatebears"</x:t>
  </x:si>
  <x:si>
    <x:t xml:space="preserve">DeckArchetypes!B43</x:t>
  </x:si>
  <x:si>
    <x:t xml:space="preserve">Topdeck</x:t>
  </x:si>
  <x:si>
    <x:t xml:space="preserve">otag:"Topdeck"</x:t>
  </x:si>
  <x:si>
    <x:t xml:space="preserve">DeckArchetypes!B44</x:t>
  </x:si>
  <x:si>
    <x:t xml:space="preserve">X Spells</x:t>
  </x:si>
  <x:si>
    <x:t xml:space="preserve">otag:"X Spells"</x:t>
  </x:si>
  <x:si>
    <x:t xml:space="preserve">DeckArchetypes!B45</x:t>
  </x:si>
  <x:si>
    <x:t xml:space="preserve">Cascade / Discover</x:t>
  </x:si>
  <x:si>
    <x:t xml:space="preserve">otag:"Cascade / Discover"</x:t>
  </x:si>
  <x:si>
    <x:t xml:space="preserve">DeckArchetypes!B46</x:t>
  </x:si>
  <x:si>
    <x:t xml:space="preserve">Commander Matters</x:t>
  </x:si>
  <x:si>
    <x:t xml:space="preserve">otag:"Commander Matters"</x:t>
  </x:si>
  <x:si>
    <x:t xml:space="preserve">DeckArchetypes!B47</x:t>
  </x:si>
  <x:si>
    <x:t xml:space="preserve">otag:"Ninjutsu"</x:t>
  </x:si>
  <x:si>
    <x:t xml:space="preserve">DeckArchetypes!B48</x:t>
  </x:si>
  <x:si>
    <x:t xml:space="preserve">otag:"Prowess"</x:t>
  </x:si>
  <x:si>
    <x:t xml:space="preserve">DeckArchetypes!B49</x:t>
  </x:si>
  <x:si>
    <x:t xml:space="preserve">Legends Matter</x:t>
  </x:si>
  <x:si>
    <x:t xml:space="preserve">otag:"Legends Matter"</x:t>
  </x:si>
  <x:si>
    <x:t xml:space="preserve">DeckArchetypes!B50</x:t>
  </x:si>
  <x:si>
    <x:t xml:space="preserve">ETB Value</x:t>
  </x:si>
  <x:si>
    <x:t xml:space="preserve">otag:"ETB Value"</x:t>
  </x:si>
  <x:si>
    <x:t xml:space="preserve">DeckArchetypes!B51</x:t>
  </x:si>
  <x:si>
    <x:t xml:space="preserve">Infect / Toxic</x:t>
  </x:si>
  <x:si>
    <x:t xml:space="preserve">otag:"Infect / Toxic"</x:t>
  </x:si>
  <x:si>
    <x:t xml:space="preserve">DeckArchetypes!B52</x:t>
  </x:si>
  <x:si>
    <x:t xml:space="preserve">Toolbox / Tutors</x:t>
  </x:si>
  <x:si>
    <x:t xml:space="preserve">otag:"Toolbox / Tutors"</x:t>
  </x:si>
  <x:si>
    <x:t xml:space="preserve">DeckArchetypes!B53</x:t>
  </x:si>
  <x:si>
    <x:t xml:space="preserve">Land Destruction</x:t>
  </x:si>
  <x:si>
    <x:t xml:space="preserve">otag:"Land Destruction"</x:t>
  </x:si>
  <x:si>
    <x:t xml:space="preserve">DeckArchetypes!B54</x:t>
  </x:si>
  <x:si>
    <x:t xml:space="preserve">Chaos</x:t>
  </x:si>
  <x:si>
    <x:t xml:space="preserve">otag:"Chaos"</x:t>
  </x:si>
  <x:si>
    <x:t xml:space="preserve">DeckArchetypes!B55</x:t>
  </x:si>
  <x:si>
    <x:t xml:space="preserve">Goodstuff</x:t>
  </x:si>
  <x:si>
    <x:t xml:space="preserve">otag:"Goodstuff"</x:t>
  </x:si>
  <x:si>
    <x:t xml:space="preserve">DeckArchetypes!B56</x:t>
  </x:si>
  <x:si>
    <x:t xml:space="preserve">Sneak and Show</x:t>
  </x:si>
  <x:si>
    <x:t xml:space="preserve">otag:"Sneak and Show"</x:t>
  </x:si>
  <x:si>
    <x:t xml:space="preserve">DeckArchetypes!B57</x:t>
  </x:si>
  <x:si>
    <x:t xml:space="preserve">Self-Mill</x:t>
  </x:si>
  <x:si>
    <x:t xml:space="preserve">otag:"Self-Mill"</x:t>
  </x:si>
  <x:si>
    <x:t xml:space="preserve">DeckArchetypes!B58</x:t>
  </x:si>
  <x:si>
    <x:t xml:space="preserve">-1/-1 Counters</x:t>
  </x:si>
  <x:si>
    <x:t xml:space="preserve">otag:"-1/-1 Counters"</x:t>
  </x:si>
  <x:si>
    <x:t xml:space="preserve">DeckArchetypes!B59</x:t>
  </x:si>
  <x:si>
    <x:t xml:space="preserve">Energy</x:t>
  </x:si>
  <x:si>
    <x:t xml:space="preserve">otag:"Energy"</x:t>
  </x:si>
</x:sst>
</file>

<file path=xl/styles.xml><?xml version="1.0" encoding="utf-8"?>
<x:styleSheet xmlns:x="http://schemas.openxmlformats.org/spreadsheetml/2006/main">
  <x:numFmts count="1">
    <x:numFmt numFmtId="200" formatCode="0%"/>
  </x:numFmts>
  <x:fonts count="7">
    <x:font>
      <x:sz val="11"/>
      <x:color theme="1"/>
      <x:name val="Aptos Narrow"/>
    </x:font>
    <x:font>
      <x:b/>
      <x:sz val="18"/>
      <x:color rgb="FFFFFFFF"/>
      <x:name val="Aptos Narrow"/>
    </x:font>
    <x:font>
      <x:i/>
      <x:sz val="11"/>
      <x:color rgb="FF666666"/>
      <x:name val="Aptos Narrow"/>
    </x:font>
    <x:font>
      <x:b/>
      <x:sz val="16"/>
      <x:color rgb="FFFFFFFF"/>
      <x:name val="Aptos Narrow"/>
    </x:font>
    <x:font>
      <x:i/>
      <x:sz val="10"/>
      <x:color rgb="FF5B6573"/>
      <x:name val="Aptos Narrow"/>
    </x:font>
    <x:font>
      <x:b/>
      <x:sz val="11"/>
      <x:color rgb="FFFFFFFF"/>
      <x:name val="Aptos Narrow"/>
    </x:font>
    <x:font>
      <x:sz val="10"/>
      <x:color rgb="FF1F2937"/>
      <x:name val="Aptos Narrow"/>
    </x:font>
  </x:fonts>
  <x:fills count="5">
    <x:fill>
      <x:patternFill patternType="none"/>
    </x:fill>
    <x:fill>
      <x:patternFill patternType="gray125"/>
    </x:fill>
    <x:fill>
      <x:patternFill patternType="solid">
        <x:fgColor rgb="FF17365D"/>
      </x:patternFill>
    </x:fill>
    <x:fill>
      <x:patternFill patternType="solid">
        <x:fgColor rgb="FF1E3A5F"/>
      </x:patternFill>
    </x:fill>
    <x:fill>
      <x:patternFill patternType="solid">
        <x:fgColor rgb="FF116B8A"/>
      </x:patternFill>
    </x:fill>
  </x:fills>
  <x:borders count="4">
    <x:border/>
    <x:border/>
    <x:border>
      <x:bottom style="thin">
        <x:color rgb="FFD7E2EA"/>
      </x:bottom>
    </x:border>
    <x:border>
      <x:bottom style="thin">
        <x:color rgb="FFD7E2EA"/>
      </x:bottom>
    </x:border>
  </x:borders>
  <x:cellStyleXfs count="1">
    <x:xf numFmtId="0" fontId="0" fillId="0" borderId="0"/>
  </x:cellStyleXfs>
  <x:cellXfs count="47">
    <x:xf numFmtId="0" fontId="0" fillId="0" borderId="0" xfId="0"/>
    <x:xf numFmtId="0" fontId="1" fillId="2" borderId="0" xfId="0" applyFont="1" applyFill="1"/>
    <x:xf numFmtId="0" fontId="2" fillId="0" borderId="0" xfId="0" applyFont="1"/>
    <x:xf numFmtId="0" fontId="0" fillId="0" borderId="0" xfId="0" applyAlignment="1">
      <x:alignment vertical="top"/>
    </x:xf>
    <x:xf numFmtId="0" fontId="0" fillId="0" borderId="0" xfId="0" applyAlignment="1">
      <x:alignment vertical="top" wrapText="1"/>
    </x:xf>
    <x:xf numFmtId="0" fontId="0" fillId="0" borderId="1" xfId="0" applyNumberFormat="1" applyFont="1" applyFill="1" applyBorder="1"/>
    <x:xf numFmtId="0" fontId="1" fillId="2" borderId="1" xfId="0" applyNumberFormat="1" applyFont="1" applyFill="1" applyBorder="1"/>
    <x:xf numFmtId="0" fontId="2" fillId="0" borderId="1" xfId="0" applyNumberFormat="1" applyFont="1" applyFill="1" applyBorder="1"/>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5" fillId="4" borderId="2" xfId="0" applyNumberFormat="1" applyFont="1" applyFill="1" applyBorder="1"/>
    <x:xf numFmtId="0" fontId="5" fillId="4" borderId="2" xfId="0" applyNumberFormat="1" applyFont="1" applyFill="1" applyBorder="1" applyAlignment="1">
      <x:alignment wrapText="1"/>
    </x:xf>
    <x:xf numFmtId="0" fontId="5" fillId="4" borderId="2" xfId="0" applyNumberFormat="1" applyFont="1" applyFill="1" applyBorder="1" applyAlignment="1">
      <x:alignment vertical="center" wrapText="1"/>
    </x:xf>
    <x:xf numFmtId="0" fontId="5" fillId="4" borderId="3" xfId="0" applyNumberFormat="1" applyFont="1" applyFill="1" applyBorder="1"/>
    <x:xf numFmtId="0" fontId="5" fillId="4" borderId="3" xfId="0" applyNumberFormat="1" applyFont="1" applyFill="1" applyBorder="1" applyAlignment="1">
      <x:alignment wrapText="1"/>
    </x:xf>
    <x:xf numFmtId="0" fontId="5" fillId="4" borderId="3" xfId="0" applyNumberFormat="1" applyFont="1" applyFill="1" applyBorder="1" applyAlignment="1">
      <x:alignment vertical="center"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dxfs count="18">
    <x:dxf/>
    <x:dxf/>
    <x:dxf/>
    <x:dxf/>
    <x:dxf/>
    <x:dxf/>
    <x:dxf/>
    <x:dxf/>
    <x:dxf>
      <x:font>
        <x:color rgb="FF166534"/>
      </x:font>
      <x:fill>
        <x:patternFill patternType="solid">
          <x:bgColor rgb="FFDDF4E4"/>
        </x:patternFill>
      </x:fill>
    </x:dxf>
    <x:dxf>
      <x:font>
        <x:color rgb="FF854D0E"/>
      </x:font>
      <x:fill>
        <x:patternFill patternType="solid">
          <x:bgColor rgb="FFFFF4CC"/>
        </x:patternFill>
      </x:fill>
    </x:dxf>
    <x:dxf>
      <x:font>
        <x:color rgb="FF991B1B"/>
      </x:font>
      <x:fill>
        <x:patternFill patternType="solid">
          <x:bgColor rgb="FFFDE2E2"/>
        </x:patternFill>
      </x:fill>
    </x:dxf>
    <x:dxf>
      <x:fill>
        <x:patternFill patternType="solid">
          <x:bgColor rgb="FFDDF4E4"/>
        </x:patternFill>
      </x:fill>
    </x:dxf>
    <x:dxf>
      <x:fill>
        <x:patternFill patternType="solid">
          <x:bgColor rgb="FFFFF4CC"/>
        </x:patternFill>
      </x:fill>
    </x:dxf>
    <x:dxf>
      <x:fill>
        <x:patternFill patternType="solid">
          <x:bgColor rgb="FFFDE2E2"/>
        </x:patternFill>
      </x:fill>
    </x:dxf>
    <x:dxf>
      <x:font>
        <x:b/>
        <x:color rgb="FF991B1B"/>
      </x:font>
      <x:fill>
        <x:patternFill patternType="solid">
          <x:bgColor rgb="FFFDE2E2"/>
        </x:patternFill>
      </x:fill>
    </x:dxf>
    <x:dxf>
      <x:font>
        <x:color rgb="FF854D0E"/>
      </x:font>
      <x:fill>
        <x:patternFill patternType="solid">
          <x:bgColor rgb="FFFFF4CC"/>
        </x:patternFill>
      </x:fill>
    </x:dxf>
    <x:dxf>
      <x:font>
        <x:color rgb="FF166534"/>
      </x:font>
      <x:fill>
        <x:patternFill patternType="solid">
          <x:bgColor rgb="FFDDF4E4"/>
        </x:patternFill>
      </x:fill>
    </x:dxf>
    <x:dxf>
      <x:font>
        <x:color rgb="FF854D0E"/>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7b21801b9c40ca" /><Relationship Type="http://schemas.openxmlformats.org/officeDocument/2006/relationships/theme" Target="/xl/theme/theme1.xml" Id="R8607796030f74068" /><Relationship Type="http://schemas.openxmlformats.org/officeDocument/2006/relationships/sharedStrings" Target="/xl/sharedStrings.xml" Id="R377c8130c6ec49d1" /><Relationship Type="http://schemas.openxmlformats.org/officeDocument/2006/relationships/worksheet" Target="/xl/worksheets/sheet1.xml" Id="Rdfed0529f36941b4" /><Relationship Type="http://schemas.openxmlformats.org/officeDocument/2006/relationships/worksheet" Target="/xl/worksheets/sheet2.xml" Id="Rea68af5bdee94aca" /><Relationship Type="http://schemas.openxmlformats.org/officeDocument/2006/relationships/worksheet" Target="/xl/worksheets/sheet3.xml" Id="Rba3f8bb2d0a94648" /><Relationship Type="http://schemas.openxmlformats.org/officeDocument/2006/relationships/worksheet" Target="/xl/worksheets/sheet4.xml" Id="R0f0300b9ca4d4a62" /><Relationship Type="http://schemas.openxmlformats.org/officeDocument/2006/relationships/worksheet" Target="/xl/worksheets/sheet5.xml" Id="Rb16e3acf6d4446ae" /><Relationship Type="http://schemas.openxmlformats.org/officeDocument/2006/relationships/worksheet" Target="/xl/worksheets/sheet6.xml" Id="R0559db28d0d8466d" /><Relationship Type="http://schemas.openxmlformats.org/officeDocument/2006/relationships/worksheet" Target="/xl/worksheets/sheet7.xml" Id="Rc7cdbd92bbdc43c1" /><Relationship Type="http://schemas.openxmlformats.org/officeDocument/2006/relationships/worksheet" Target="/xl/worksheets/sheet8.xml" Id="R547aa2582b094749" /><Relationship Type="http://schemas.openxmlformats.org/officeDocument/2006/relationships/worksheet" Target="/xl/worksheets/sheet9.xml" Id="Rfc1f725ccfce459d" /><Relationship Type="http://schemas.openxmlformats.org/officeDocument/2006/relationships/worksheet" Target="/xl/worksheets/sheet10.xml" Id="Rb0d556c4362144e4" /><Relationship Type="http://schemas.openxmlformats.org/officeDocument/2006/relationships/worksheet" Target="/xl/worksheets/sheet11.xml" Id="Rb79006118fa243d5" /><Relationship Type="http://schemas.openxmlformats.org/officeDocument/2006/relationships/worksheet" Target="/xl/worksheets/sheet12.xml" Id="R6a49b5938daa440e" /><Relationship Type="http://schemas.openxmlformats.org/officeDocument/2006/relationships/worksheet" Target="/xl/worksheets/sheet13.xml" Id="Read2fe181f6049be" /><Relationship Type="http://schemas.openxmlformats.org/officeDocument/2006/relationships/worksheet" Target="/xl/worksheets/sheet14.xml" Id="Rd34ef787677d490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a13b3a632247e2" /><Relationship Type="http://schemas.openxmlformats.org/officeDocument/2006/relationships/chart" Target="/xl/drawings/charts/chart2.xml" Id="R4ae693b1451d41b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Lexicon Readiness</a:t>
            </a:r>
          </a:p>
        </c:rich>
      </c:tx>
    </c:title>
    <c:plotArea>
      <c:barChart>
        <c:barDir val="col"/>
        <c:grouping val="clustered"/>
        <c:varyColors val="0"/>
        <c:ser>
          <c:idx val="0"/>
          <c:order val="0"/>
          <c:tx>
            <c:v>Rows</c:v>
          </c:tx>
          <c:cat>
            <c:strRef>
              <c:f>'Dashboard'!$A$16:$A$18</c:f>
              <c:strCache>
                <c:ptCount val="0"/>
              </c:strCache>
            </c:strRef>
          </c:cat>
          <c:val>
            <c:numRef>
              <c:f>'Dashboard'!$B$16:$B$18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Raw Corpus by Source Category</a:t>
            </a:r>
          </a:p>
        </c:rich>
      </c:tx>
    </c:title>
    <c:plotArea>
      <c:barChart>
        <c:barDir val="col"/>
        <c:varyColors val="0"/>
        <c:ser>
          <c:idx val="0"/>
          <c:order val="0"/>
          <c:tx>
            <c:v>Rows</c:v>
          </c:tx>
          <c:cat>
            <c:strRef>
              <c:f>'Dashboard'!$D$16:$D$35</c:f>
              <c:strCache>
                <c:ptCount val="0"/>
              </c:strCache>
            </c:strRef>
          </c:cat>
          <c:val>
            <c:numRef>
              <c:f>'Dashboard'!$E$16:$E$35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a13b3a632247e2"/>
        </a:graphicData>
      </a:graphic>
    </xdr:graphicFrame>
    <xdr:clientData/>
  </xdr:twoCellAnchor>
  <xdr:twoCellAnchor>
    <xdr:from>
      <xdr:col>6</xdr:col>
      <xdr:colOff>0</xdr:colOff>
      <xdr:row>19</xdr:row>
      <xdr:rowOff>0</xdr:rowOff>
    </xdr:from>
    <xdr:to>
      <xdr:col>14</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e693b1451d41bf"/>
        </a:graphicData>
      </a:graphic>
    </xdr:graphicFrame>
    <xdr:clientData/>
  </xdr:twoCellAnchor>
</xdr:wsDr>
</file>

<file path=xl/tables/table1.xml><?xml version="1.0" encoding="utf-8"?>
<x:table xmlns:x="http://schemas.openxmlformats.org/spreadsheetml/2006/main" id="1" name="ScryfallDataAccumulation" displayName="ScryfallDataAccumulation" ref="A4:G1142" totalsRowShown="0" dataDxfId="7">
  <x:autoFilter ref="A4:G1142"/>
  <x:tableColumns count="7">
    <x:tableColumn id="1" name="Source Location" dataDxfId="6"/>
    <x:tableColumn id="2" name="Source Category" dataDxfId="5"/>
    <x:tableColumn id="3" name="Term / Archetype" dataDxfId="4"/>
    <x:tableColumn id="4" name="Source Attributes" dataDxfId="3"/>
    <x:tableColumn id="5" name="Description / Notes" dataDxfId="2"/>
    <x:tableColumn id="6" name="Suggested Scryfall Search" dataDxfId="1"/>
    <x:tableColumn id="7" name="Search Reliability" dataDxfId="0"/>
  </x:tableColumns>
  <x:tableStyleInfo name="TableStyleMedium2" showFirstColumn="0" showLastColumn="0" showRowStripes="1" showColumnStripes="0"/>
</x:table>
</file>

<file path=xl/tables/table2.xml><?xml version="1.0" encoding="utf-8"?>
<x:table xmlns:x="http://schemas.openxmlformats.org/spreadsheetml/2006/main" id="2" name="tblReadme" displayName="tblReadme" ref="A4:D17" headerRowCount="1" totalsRowCount="0" totalsRowShown="0">
  <x:tableColumns count="4">
    <x:tableColumn id="1" name="Sheet"/>
    <x:tableColumn id="2" name="Role"/>
    <x:tableColumn id="3" name="Use It For"/>
    <x:tableColumn id="4" name="Production Guidance"/>
  </x:tableColumns>
  <x:tableStyleInfo name="TableStyleMedium2" showFirstColumn="0" showLastColumn="0" showRowStripes="1" showColumnStripes="0"/>
</x:table>
</file>

<file path=xl/tables/table3.xml><?xml version="1.0" encoding="utf-8"?>
<x:table xmlns:x="http://schemas.openxmlformats.org/spreadsheetml/2006/main" id="3" name="tblMasterLexicon" displayName="tblMasterLexicon" ref="A4:R1142" headerRowCount="1" totalsRowCount="0" totalsRowShown="0">
  <x:tableColumns count="18">
    <x:tableColumn id="1" name="Source Location"/>
    <x:tableColumn id="2" name="Source Category"/>
    <x:tableColumn id="3" name="Term / Archetype"/>
    <x:tableColumn id="4" name="Source Attributes"/>
    <x:tableColumn id="5" name="Description / Notes"/>
    <x:tableColumn id="6" name="Original Suggested Search"/>
    <x:tableColumn id="7" name="Original Reliability"/>
    <x:tableColumn id="8" name="Intent Class"/>
    <x:tableColumn id="9" name="Preferred Strategy"/>
    <x:tableColumn id="10" name="Master Query Fragment"/>
    <x:tableColumn id="11" name="Fallback / Alternate"/>
    <x:tableColumn id="12" name="Plain-Language Triggers"/>
    <x:tableColumn id="13" name="Translator Behavior"/>
    <x:tableColumn id="14" name="Master Status"/>
    <x:tableColumn id="15" name="Confidence"/>
    <x:tableColumn id="16" name="Ambiguity / Guardrail"/>
    <x:tableColumn id="17" name="Authority"/>
    <x:tableColumn id="18" name="Last Reviewed"/>
  </x:tableColumns>
  <x:tableStyleInfo name="TableStyleMedium2" showFirstColumn="0" showLastColumn="0" showRowStripes="1" showColumnStripes="0"/>
</x:table>
</file>

<file path=xl/tables/table4.xml><?xml version="1.0" encoding="utf-8"?>
<x:table xmlns:x="http://schemas.openxmlformats.org/spreadsheetml/2006/main" id="4" name="tblOperators" displayName="tblOperators" ref="A4:K135" headerRowCount="1" totalsRowCount="0" totalsRowShown="0">
  <x:tableColumns count="11">
    <x:tableColumn id="1" name="Category"/>
    <x:tableColumn id="2" name="Canonical Syntax"/>
    <x:tableColumn id="3" name="Aliases / Compatibility"/>
    <x:tableColumn id="4" name="Scope"/>
    <x:tableColumn id="5" name="Value Type"/>
    <x:tableColumn id="6" name="Comparisons"/>
    <x:tableColumn id="7" name="Plain-Language Intent"/>
    <x:tableColumn id="8" name="Example"/>
    <x:tableColumn id="9" name="Meaning / Guardrail"/>
    <x:tableColumn id="10" name="Source"/>
    <x:tableColumn id="11" name="Status"/>
  </x:tableColumns>
  <x:tableStyleInfo name="TableStyleMedium2" showFirstColumn="0" showLastColumn="0" showRowStripes="1" showColumnStripes="0"/>
</x:table>
</file>

<file path=xl/tables/table5.xml><?xml version="1.0" encoding="utf-8"?>
<x:table xmlns:x="http://schemas.openxmlformats.org/spreadsheetml/2006/main" id="5" name="tblPlainLanguage" displayName="tblPlainLanguage" ref="A4:J54" headerRowCount="1" totalsRowCount="0" totalsRowShown="0">
  <x:tableColumns count="10">
    <x:tableColumn id="1" name="Phrase / Alias"/>
    <x:tableColumn id="2" name="Canonical Concept"/>
    <x:tableColumn id="3" name="Intent Class"/>
    <x:tableColumn id="4" name="Normalized Value"/>
    <x:tableColumn id="5" name="Query Template / Recipe"/>
    <x:tableColumn id="6" name="Context Rule"/>
    <x:tableColumn id="7" name="Ambiguity Policy"/>
    <x:tableColumn id="8" name="Translator Action"/>
    <x:tableColumn id="9" name="Confidence"/>
    <x:tableColumn id="10" name="Source"/>
  </x:tableColumns>
  <x:tableStyleInfo name="TableStyleMedium2" showFirstColumn="0" showLastColumn="0" showRowStripes="1" showColumnStripes="0"/>
</x:table>
</file>

<file path=xl/tables/table6.xml><?xml version="1.0" encoding="utf-8"?>
<x:table xmlns:x="http://schemas.openxmlformats.org/spreadsheetml/2006/main" id="6" name="tblArchetypes" displayName="tblArchetypes" ref="A4:H62" headerRowCount="1" totalsRowCount="0" totalsRowShown="0">
  <x:tableColumns count="8">
    <x:tableColumn id="1" name="Archetype"/>
    <x:tableColumn id="2" name="Intent Class"/>
    <x:tableColumn id="3" name="Preferred Query / Recipe"/>
    <x:tableColumn id="4" name="Fallback / Alternate"/>
    <x:tableColumn id="5" name="Plain-Language Triggers"/>
    <x:tableColumn id="6" name="Master Status"/>
    <x:tableColumn id="7" name="Confidence"/>
    <x:tableColumn id="8" name="Guardrail"/>
  </x:tableColumns>
  <x:tableStyleInfo name="TableStyleMedium2" showFirstColumn="0" showLastColumn="0" showRowStripes="1" showColumnStripes="0"/>
</x:table>
</file>

<file path=xl/tables/table7.xml><?xml version="1.0" encoding="utf-8"?>
<x:table xmlns:x="http://schemas.openxmlformats.org/spreadsheetml/2006/main" id="7" name="tblRecipes" displayName="tblRecipes" ref="A4:G61" headerRowCount="1" totalsRowCount="0" totalsRowShown="0">
  <x:tableColumns count="7">
    <x:tableColumn id="1" name="User Goal"/>
    <x:tableColumn id="2" name="Canonical Query / Template"/>
    <x:tableColumn id="3" name="Primary Technique"/>
    <x:tableColumn id="4" name="Assumption / Scope"/>
    <x:tableColumn id="5" name="Reliability"/>
    <x:tableColumn id="6" name="Translator Note"/>
    <x:tableColumn id="7" name="Source"/>
  </x:tableColumns>
  <x:tableStyleInfo name="TableStyleMedium2" showFirstColumn="0" showLastColumn="0" showRowStripes="1" showColumnStripes="0"/>
</x:table>
</file>

<file path=xl/tables/table8.xml><?xml version="1.0" encoding="utf-8"?>
<x:table xmlns:x="http://schemas.openxmlformats.org/spreadsheetml/2006/main" id="8" name="tblRegex" displayName="tblRegex" ref="A4:H36" headerRowCount="1" totalsRowCount="0" totalsRowShown="0">
  <x:tableColumns count="8">
    <x:tableColumn id="1" name="Pattern Name"/>
    <x:tableColumn id="2" name="Use Case"/>
    <x:tableColumn id="3" name="Scryfall Query"/>
    <x:tableColumn id="4" name="Read It As"/>
    <x:tableColumn id="5" name="Precision / Recall"/>
    <x:tableColumn id="6" name="Known Caveat"/>
    <x:tableColumn id="7" name="Recommended Use"/>
    <x:tableColumn id="8" name="Source"/>
  </x:tableColumns>
  <x:tableStyleInfo name="TableStyleMedium2" showFirstColumn="0" showLastColumn="0" showRowStripes="1" showColumnStripes="0"/>
</x:table>
</file>

<file path=xl/tables/table9.xml><?xml version="1.0" encoding="utf-8"?>
<x:table xmlns:x="http://schemas.openxmlformats.org/spreadsheetml/2006/main" id="9" name="tblParserSchema" displayName="tblParserSchema" ref="A4:F37" headerRowCount="1" totalsRowCount="0" totalsRowShown="0">
  <x:tableColumns count="6">
    <x:tableColumn id="1" name="Field"/>
    <x:tableColumn id="2" name="Purpose"/>
    <x:tableColumn id="3" name="Allowed / Example Values"/>
    <x:tableColumn id="4" name="Required?"/>
    <x:tableColumn id="5" name="Generation Rule"/>
    <x:tableColumn id="6" name="UX Surface"/>
  </x:tableColumns>
  <x:tableStyleInfo name="TableStyleMedium2" showFirstColumn="0" showLastColumn="0" showRowStripes="1" showColumnStripes="0"/>
</x:table>
</file>

<file path=xl/tables/table10.xml><?xml version="1.0" encoding="utf-8"?>
<x:table xmlns:x="http://schemas.openxmlformats.org/spreadsheetml/2006/main" id="10" name="tblQAEvals" displayName="tblQAEvals" ref="A4:J63" headerRowCount="1" totalsRowCount="0" totalsRowShown="0">
  <x:tableColumns count="10">
    <x:tableColumn id="1" name="Eval ID"/>
    <x:tableColumn id="2" name="Category"/>
    <x:tableColumn id="3" name="Plain-Language Input"/>
    <x:tableColumn id="4" name="Context"/>
    <x:tableColumn id="5" name="Expected Canonical Query"/>
    <x:tableColumn id="6" name="Expected Assumption / Explanation"/>
    <x:tableColumn id="7" name="Expected Unresolved / Alternatives"/>
    <x:tableColumn id="8" name="Must NOT Generate"/>
    <x:tableColumn id="9" name="Priority"/>
    <x:tableColumn id="10" name="Expected Tier"/>
  </x:tableColumns>
  <x:tableStyleInfo name="TableStyleMedium2" showFirstColumn="0" showLastColumn="0" showRowStripes="1" showColumnStripes="0"/>
</x:table>
</file>

<file path=xl/tables/table11.xml><?xml version="1.0" encoding="utf-8"?>
<x:table xmlns:x="http://schemas.openxmlformats.org/spreadsheetml/2006/main" id="11" name="tblReconciliation" displayName="tblReconciliation" ref="A4:F22" headerRowCount="1" totalsRowCount="0" totalsRowShown="0">
  <x:tableColumns count="6">
    <x:tableColumn id="1" name="Source / Claim"/>
    <x:tableColumn id="2" name="Issue Type"/>
    <x:tableColumn id="3" name="Canonical Treatment"/>
    <x:tableColumn id="4" name="Production Policy"/>
    <x:tableColumn id="5" name="Status"/>
    <x:tableColumn id="6" name="Source / Evidence"/>
  </x:tableColumns>
  <x:tableStyleInfo name="TableStyleMedium2" showFirstColumn="0" showLastColumn="0" showRowStripes="1" showColumnStripes="0"/>
</x:table>
</file>

<file path=xl/tables/table12.xml><?xml version="1.0" encoding="utf-8"?>
<x:table xmlns:x="http://schemas.openxmlformats.org/spreadsheetml/2006/main" id="12" name="tblSources" displayName="tblSources" ref="A4:H12" headerRowCount="1" totalsRowCount="0" totalsRowShown="0">
  <x:tableColumns count="8">
    <x:tableColumn id="1" name="Priority"/>
    <x:tableColumn id="2" name="Source"/>
    <x:tableColumn id="3" name="URL"/>
    <x:tableColumn id="4" name="Authority Role"/>
    <x:tableColumn id="5" name="Use In Implicit Maze"/>
    <x:tableColumn id="6" name="Known Limitation"/>
    <x:tableColumn id="7" name="Maintenance Rule"/>
    <x:tableColumn id="8" name="Reviewed"/>
  </x:tableColumns>
  <x:tableStyleInfo name="TableStyleMedium2" showFirstColumn="0" showLastColumn="0" showRowStripes="1" showColumnStripes="0"/>
</x:table>
</file>

<file path=xl/tables/table13.xml><?xml version="1.0" encoding="utf-8"?>
<x:table xmlns:x="http://schemas.openxmlformats.org/spreadsheetml/2006/main" id="13" name="tblGovernance" displayName="tblGovernance" ref="A15:E27" headerRowCount="1" totalsRowCount="0" totalsRowShown="0">
  <x:tableColumns count="5">
    <x:tableColumn id="1" name="Rule ID"/>
    <x:tableColumn id="2" name="Governance Rule"/>
    <x:tableColumn id="3" name="Why It Exists"/>
    <x:tableColumn id="4" name="Implementation Requirement"/>
    <x:tableColumn id="5" name="QA Evidence"/>
  </x:tableColumns>
  <x:tableStyleInfo name="TableStyleMedium2" showFirstColumn="0" showLastColumn="0" showRowStripes="1" showColumnStripes="0"/>
</x:table>
</file>

<file path=xl/tables/table14.xml><?xml version="1.0" encoding="utf-8"?>
<x:table xmlns:x="http://schemas.openxmlformats.org/spreadsheetml/2006/main" id="14" name="tblTaggerAllowlist" displayName="tblTaggerAllowlist" ref="A4:I21" headerRowCount="1" totalsRowCount="0" totalsRowShown="0">
  <x:tableColumns count="9">
    <x:tableColumn id="1" name="Exact Tag"/>
    <x:tableColumn id="2" name="Domain"/>
    <x:tableColumn id="3" name="Plain-Language Aliases"/>
    <x:tableColumn id="4" name="Production Status"/>
    <x:tableColumn id="5" name="Primary Use"/>
    <x:tableColumn id="6" name="Fallback / Alternate"/>
    <x:tableColumn id="7" name="Verification Source"/>
    <x:tableColumn id="8" name="Last Verified"/>
    <x:tableColumn id="9" name="Guardrail"/>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fa0b88956447fa" /></Relationships>
</file>

<file path=xl/worksheets/_rels/sheet2.xml.rels>&#65279;<?xml version="1.0" encoding="utf-8"?><Relationships xmlns="http://schemas.openxmlformats.org/package/2006/relationships"><Relationship Type="http://schemas.openxmlformats.org/officeDocument/2006/relationships/table" Target="/xl/tables/table2.xml" Id="R473472deb7164c05" /></Relationships>
</file>

<file path=xl/worksheets/_rels/sheet3.xml.rels>&#65279;<?xml version="1.0" encoding="utf-8"?><Relationships xmlns="http://schemas.openxmlformats.org/package/2006/relationships"><Relationship Type="http://schemas.openxmlformats.org/officeDocument/2006/relationships/table" Target="/xl/tables/table3.xml" Id="Rd46dc067eeb8448c" /></Relationships>
</file>

<file path=xl/worksheets/_rels/sheet4.xml.rels>&#65279;<?xml version="1.0" encoding="utf-8"?><Relationships xmlns="http://schemas.openxmlformats.org/package/2006/relationships"><Relationship Type="http://schemas.openxmlformats.org/officeDocument/2006/relationships/table" Target="/xl/tables/table4.xml" Id="R1637094411484ddc" /></Relationships>
</file>

<file path=xl/worksheets/_rels/sheet5.xml.rels>&#65279;<?xml version="1.0" encoding="utf-8"?><Relationships xmlns="http://schemas.openxmlformats.org/package/2006/relationships"><Relationship Type="http://schemas.openxmlformats.org/officeDocument/2006/relationships/table" Target="/xl/tables/table5.xml" Id="Ree5f885727c741bd" /></Relationships>
</file>

<file path=xl/worksheets/_rels/sheet6.xml.rels>&#65279;<?xml version="1.0" encoding="utf-8"?><Relationships xmlns="http://schemas.openxmlformats.org/package/2006/relationships"><Relationship Type="http://schemas.openxmlformats.org/officeDocument/2006/relationships/table" Target="/xl/tables/table6.xml" Id="R8838310d9c2b4306" /></Relationships>
</file>

<file path=xl/worksheets/_rels/sheet7.xml.rels>&#65279;<?xml version="1.0" encoding="utf-8"?><Relationships xmlns="http://schemas.openxmlformats.org/package/2006/relationships"><Relationship Type="http://schemas.openxmlformats.org/officeDocument/2006/relationships/table" Target="/xl/tables/table7.xml" Id="R1e196cf7e9a148be" /></Relationships>
</file>

<file path=xl/worksheets/_rels/sheet8.xml.rels>&#65279;<?xml version="1.0" encoding="utf-8"?><Relationships xmlns="http://schemas.openxmlformats.org/package/2006/relationships"><Relationship Type="http://schemas.openxmlformats.org/officeDocument/2006/relationships/table" Target="/xl/tables/table8.xml" Id="R20e7a9d32a20464c" /></Relationships>
</file>

<file path=xl/worksheets/_rels/sheet9.xml.rels>&#65279;<?xml version="1.0" encoding="utf-8"?><Relationships xmlns="http://schemas.openxmlformats.org/package/2006/relationships"><Relationship Type="http://schemas.openxmlformats.org/officeDocument/2006/relationships/table" Target="/xl/tables/table9.xml" Id="R83f59cacee834ea2" /></Relationships>
</file>

<file path=xl/worksheets/_rels/sheet10.xml.rels>&#65279;<?xml version="1.0" encoding="utf-8"?><Relationships xmlns="http://schemas.openxmlformats.org/package/2006/relationships"><Relationship Type="http://schemas.openxmlformats.org/officeDocument/2006/relationships/table" Target="/xl/tables/table10.xml" Id="R9b999c265e95458f" /></Relationships>
</file>

<file path=xl/worksheets/_rels/sheet11.xml.rels>&#65279;<?xml version="1.0" encoding="utf-8"?><Relationships xmlns="http://schemas.openxmlformats.org/package/2006/relationships"><Relationship Type="http://schemas.openxmlformats.org/officeDocument/2006/relationships/table" Target="/xl/tables/table11.xml" Id="R65693016a3b249b9" /></Relationships>
</file>

<file path=xl/worksheets/_rels/sheet12.xml.rels>&#65279;<?xml version="1.0" encoding="utf-8"?><Relationships xmlns="http://schemas.openxmlformats.org/package/2006/relationships"><Relationship Type="http://schemas.openxmlformats.org/officeDocument/2006/relationships/table" Target="/xl/tables/table12.xml" Id="Rb174b852e1cc44c4" /><Relationship Type="http://schemas.openxmlformats.org/officeDocument/2006/relationships/table" Target="/xl/tables/table13.xml" Id="R88195568983a4587" /></Relationships>
</file>

<file path=xl/worksheets/_rels/sheet13.xml.rels>&#65279;<?xml version="1.0" encoding="utf-8"?><Relationships xmlns="http://schemas.openxmlformats.org/package/2006/relationships"><Relationship Type="http://schemas.openxmlformats.org/officeDocument/2006/relationships/drawing" Target="/xl/drawings/drawing1.xml" Id="R5a19817315b14a3e" /></Relationships>
</file>

<file path=xl/worksheets/_rels/sheet14.xml.rels>&#65279;<?xml version="1.0" encoding="utf-8"?><Relationships xmlns="http://schemas.openxmlformats.org/package/2006/relationships"><Relationship Type="http://schemas.openxmlformats.org/officeDocument/2006/relationships/table" Target="/xl/tables/table14.xml" Id="R459acda10d3f49cb" /></Relationships>
</file>

<file path=xl/worksheets/sheet1.xml><?xml version="1.0" encoding="utf-8"?>
<x:worksheet xmlns:x="http://schemas.openxmlformats.org/spreadsheetml/2006/main">
  <x:sheetFormatPr defaultRowHeight="15"/>
  <x:cols>
    <x:col min="1" max="1" width="18.140625" customWidth="1"/>
    <x:col min="2" max="2" width="20" customWidth="1"/>
    <x:col min="3" max="3" width="26.7109375" customWidth="1"/>
    <x:col min="4" max="4" width="28.5703125" customWidth="1"/>
    <x:col min="5" max="5" width="38.140625" customWidth="1"/>
    <x:col min="6" max="6" width="34.28515625" customWidth="1"/>
    <x:col min="7" max="7" width="17.140625" customWidth="1"/>
  </x:cols>
  <x:sheetData>
    <x:row r="1" ht="30" customHeight="1">
      <x:c r="A1" s="1" t="s">
        <x:v>0</x:v>
      </x:c>
      <x:c r="B1" s="1"/>
      <x:c r="C1" s="1"/>
      <x:c r="D1" s="1"/>
      <x:c r="E1" s="1"/>
      <x:c r="F1" s="1"/>
      <x:c r="G1" s="1"/>
    </x:row>
    <x:row r="2" ht="21.950000762939453" customHeight="1">
      <x:c r="A2" s="2" t="s">
        <x:v>1</x:v>
      </x:c>
      <x:c r="B2" s="2"/>
      <x:c r="C2" s="2"/>
      <x:c r="D2" s="2"/>
      <x:c r="E2" s="2"/>
      <x:c r="F2" s="2"/>
      <x:c r="G2" s="2"/>
    </x:row>
    <x:row r="4">
      <x:c r="A4" t="s">
        <x:v>2</x:v>
      </x:c>
      <x:c r="B4" t="s">
        <x:v>3</x:v>
      </x:c>
      <x:c r="C4" t="s">
        <x:v>4</x:v>
      </x:c>
      <x:c r="D4" t="s">
        <x:v>5</x:v>
      </x:c>
      <x:c r="E4" t="s">
        <x:v>6</x:v>
      </x:c>
      <x:c r="F4" t="s">
        <x:v>7</x:v>
      </x:c>
      <x:c r="G4" t="s">
        <x:v>8</x:v>
      </x:c>
    </x:row>
    <x:row r="5">
      <x:c r="A5" s="3" t="s">
        <x:v>9</x:v>
      </x:c>
      <x:c r="B5" s="3" t="s">
        <x:v>10</x:v>
      </x:c>
      <x:c r="C5" s="3" t="s">
        <x:v>11</x:v>
      </x:c>
      <x:c r="D5" s="4" t="s">
        <x:v>12</x:v>
      </x:c>
      <x:c r="E5" s="4"/>
      <x:c r="F5" s="4" t="s">
        <x:v>13</x:v>
      </x:c>
      <x:c r="G5" s="3" t="s">
        <x:v>14</x:v>
      </x:c>
    </x:row>
    <x:row r="6">
      <x:c r="A6" s="3" t="s">
        <x:v>15</x:v>
      </x:c>
      <x:c r="B6" s="3" t="s">
        <x:v>10</x:v>
      </x:c>
      <x:c r="C6" s="3" t="s">
        <x:v>16</x:v>
      </x:c>
      <x:c r="D6" s="4" t="s">
        <x:v>12</x:v>
      </x:c>
      <x:c r="E6" s="4"/>
      <x:c r="F6" s="4" t="s">
        <x:v>17</x:v>
      </x:c>
      <x:c r="G6" s="3" t="s">
        <x:v>14</x:v>
      </x:c>
    </x:row>
    <x:row r="7">
      <x:c r="A7" s="3" t="s">
        <x:v>18</x:v>
      </x:c>
      <x:c r="B7" s="3" t="s">
        <x:v>10</x:v>
      </x:c>
      <x:c r="C7" s="3" t="s">
        <x:v>19</x:v>
      </x:c>
      <x:c r="D7" s="4" t="s">
        <x:v>12</x:v>
      </x:c>
      <x:c r="E7" s="4"/>
      <x:c r="F7" s="4" t="s">
        <x:v>20</x:v>
      </x:c>
      <x:c r="G7" s="3" t="s">
        <x:v>14</x:v>
      </x:c>
    </x:row>
    <x:row r="8">
      <x:c r="A8" s="3" t="s">
        <x:v>21</x:v>
      </x:c>
      <x:c r="B8" s="3" t="s">
        <x:v>10</x:v>
      </x:c>
      <x:c r="C8" s="3" t="s">
        <x:v>22</x:v>
      </x:c>
      <x:c r="D8" s="4" t="s">
        <x:v>12</x:v>
      </x:c>
      <x:c r="E8" s="4"/>
      <x:c r="F8" s="4" t="s">
        <x:v>23</x:v>
      </x:c>
      <x:c r="G8" s="3" t="s">
        <x:v>14</x:v>
      </x:c>
    </x:row>
    <x:row r="9">
      <x:c r="A9" s="3" t="s">
        <x:v>24</x:v>
      </x:c>
      <x:c r="B9" s="3" t="s">
        <x:v>10</x:v>
      </x:c>
      <x:c r="C9" s="3" t="s">
        <x:v>25</x:v>
      </x:c>
      <x:c r="D9" s="4" t="s">
        <x:v>12</x:v>
      </x:c>
      <x:c r="E9" s="4"/>
      <x:c r="F9" s="4" t="s">
        <x:v>26</x:v>
      </x:c>
      <x:c r="G9" s="3" t="s">
        <x:v>14</x:v>
      </x:c>
    </x:row>
    <x:row r="10">
      <x:c r="A10" s="3" t="s">
        <x:v>27</x:v>
      </x:c>
      <x:c r="B10" s="3" t="s">
        <x:v>10</x:v>
      </x:c>
      <x:c r="C10" s="3" t="s">
        <x:v>28</x:v>
      </x:c>
      <x:c r="D10" s="4" t="s">
        <x:v>12</x:v>
      </x:c>
      <x:c r="E10" s="4"/>
      <x:c r="F10" s="4" t="s">
        <x:v>29</x:v>
      </x:c>
      <x:c r="G10" s="3" t="s">
        <x:v>14</x:v>
      </x:c>
    </x:row>
    <x:row r="11">
      <x:c r="A11" s="3" t="s">
        <x:v>30</x:v>
      </x:c>
      <x:c r="B11" s="3" t="s">
        <x:v>10</x:v>
      </x:c>
      <x:c r="C11" s="3" t="s">
        <x:v>31</x:v>
      </x:c>
      <x:c r="D11" s="4" t="s">
        <x:v>12</x:v>
      </x:c>
      <x:c r="E11" s="4"/>
      <x:c r="F11" s="4" t="s">
        <x:v>32</x:v>
      </x:c>
      <x:c r="G11" s="3" t="s">
        <x:v>14</x:v>
      </x:c>
    </x:row>
    <x:row r="12">
      <x:c r="A12" s="3" t="s">
        <x:v>33</x:v>
      </x:c>
      <x:c r="B12" s="3" t="s">
        <x:v>10</x:v>
      </x:c>
      <x:c r="C12" s="3" t="s">
        <x:v>34</x:v>
      </x:c>
      <x:c r="D12" s="4" t="s">
        <x:v>12</x:v>
      </x:c>
      <x:c r="E12" s="4"/>
      <x:c r="F12" s="4" t="s">
        <x:v>35</x:v>
      </x:c>
      <x:c r="G12" s="3" t="s">
        <x:v>14</x:v>
      </x:c>
    </x:row>
    <x:row r="13">
      <x:c r="A13" s="3" t="s">
        <x:v>36</x:v>
      </x:c>
      <x:c r="B13" s="3" t="s">
        <x:v>10</x:v>
      </x:c>
      <x:c r="C13" s="3" t="s">
        <x:v>37</x:v>
      </x:c>
      <x:c r="D13" s="4" t="s">
        <x:v>12</x:v>
      </x:c>
      <x:c r="E13" s="4"/>
      <x:c r="F13" s="4" t="s">
        <x:v>38</x:v>
      </x:c>
      <x:c r="G13" s="3" t="s">
        <x:v>14</x:v>
      </x:c>
    </x:row>
    <x:row r="14">
      <x:c r="A14" s="3" t="s">
        <x:v>39</x:v>
      </x:c>
      <x:c r="B14" s="3" t="s">
        <x:v>10</x:v>
      </x:c>
      <x:c r="C14" s="3" t="s">
        <x:v>40</x:v>
      </x:c>
      <x:c r="D14" s="4" t="s">
        <x:v>12</x:v>
      </x:c>
      <x:c r="E14" s="4"/>
      <x:c r="F14" s="4" t="s">
        <x:v>41</x:v>
      </x:c>
      <x:c r="G14" s="3" t="s">
        <x:v>14</x:v>
      </x:c>
    </x:row>
    <x:row r="15">
      <x:c r="A15" s="3" t="s">
        <x:v>42</x:v>
      </x:c>
      <x:c r="B15" s="3" t="s">
        <x:v>10</x:v>
      </x:c>
      <x:c r="C15" s="3" t="s">
        <x:v>43</x:v>
      </x:c>
      <x:c r="D15" s="4" t="s">
        <x:v>12</x:v>
      </x:c>
      <x:c r="E15" s="4"/>
      <x:c r="F15" s="4" t="s">
        <x:v>44</x:v>
      </x:c>
      <x:c r="G15" s="3" t="s">
        <x:v>14</x:v>
      </x:c>
    </x:row>
    <x:row r="16">
      <x:c r="A16" s="3" t="s">
        <x:v>45</x:v>
      </x:c>
      <x:c r="B16" s="3" t="s">
        <x:v>10</x:v>
      </x:c>
      <x:c r="C16" s="3" t="s">
        <x:v>46</x:v>
      </x:c>
      <x:c r="D16" s="4" t="s">
        <x:v>12</x:v>
      </x:c>
      <x:c r="E16" s="4"/>
      <x:c r="F16" s="4" t="s">
        <x:v>47</x:v>
      </x:c>
      <x:c r="G16" s="3" t="s">
        <x:v>14</x:v>
      </x:c>
    </x:row>
    <x:row r="17">
      <x:c r="A17" s="3" t="s">
        <x:v>48</x:v>
      </x:c>
      <x:c r="B17" s="3" t="s">
        <x:v>10</x:v>
      </x:c>
      <x:c r="C17" s="3" t="s">
        <x:v>49</x:v>
      </x:c>
      <x:c r="D17" s="4" t="s">
        <x:v>12</x:v>
      </x:c>
      <x:c r="E17" s="4"/>
      <x:c r="F17" s="4" t="s">
        <x:v>50</x:v>
      </x:c>
      <x:c r="G17" s="3" t="s">
        <x:v>14</x:v>
      </x:c>
    </x:row>
    <x:row r="18">
      <x:c r="A18" s="3" t="s">
        <x:v>51</x:v>
      </x:c>
      <x:c r="B18" s="3" t="s">
        <x:v>10</x:v>
      </x:c>
      <x:c r="C18" s="3" t="s">
        <x:v>52</x:v>
      </x:c>
      <x:c r="D18" s="4" t="s">
        <x:v>12</x:v>
      </x:c>
      <x:c r="E18" s="4"/>
      <x:c r="F18" s="4" t="s">
        <x:v>53</x:v>
      </x:c>
      <x:c r="G18" s="3" t="s">
        <x:v>14</x:v>
      </x:c>
    </x:row>
    <x:row r="19">
      <x:c r="A19" s="3" t="s">
        <x:v>54</x:v>
      </x:c>
      <x:c r="B19" s="3" t="s">
        <x:v>10</x:v>
      </x:c>
      <x:c r="C19" s="3" t="s">
        <x:v>55</x:v>
      </x:c>
      <x:c r="D19" s="4" t="s">
        <x:v>12</x:v>
      </x:c>
      <x:c r="E19" s="4"/>
      <x:c r="F19" s="4" t="s">
        <x:v>56</x:v>
      </x:c>
      <x:c r="G19" s="3" t="s">
        <x:v>14</x:v>
      </x:c>
    </x:row>
    <x:row r="20">
      <x:c r="A20" s="3" t="s">
        <x:v>57</x:v>
      </x:c>
      <x:c r="B20" s="3" t="s">
        <x:v>10</x:v>
      </x:c>
      <x:c r="C20" s="3" t="s">
        <x:v>58</x:v>
      </x:c>
      <x:c r="D20" s="4" t="s">
        <x:v>12</x:v>
      </x:c>
      <x:c r="E20" s="4"/>
      <x:c r="F20" s="4" t="s">
        <x:v>59</x:v>
      </x:c>
      <x:c r="G20" s="3" t="s">
        <x:v>14</x:v>
      </x:c>
    </x:row>
    <x:row r="21">
      <x:c r="A21" s="3" t="s">
        <x:v>60</x:v>
      </x:c>
      <x:c r="B21" s="3" t="s">
        <x:v>10</x:v>
      </x:c>
      <x:c r="C21" s="3" t="s">
        <x:v>61</x:v>
      </x:c>
      <x:c r="D21" s="4" t="s">
        <x:v>12</x:v>
      </x:c>
      <x:c r="E21" s="4"/>
      <x:c r="F21" s="4" t="s">
        <x:v>62</x:v>
      </x:c>
      <x:c r="G21" s="3" t="s">
        <x:v>14</x:v>
      </x:c>
    </x:row>
    <x:row r="22">
      <x:c r="A22" s="3" t="s">
        <x:v>63</x:v>
      </x:c>
      <x:c r="B22" s="3" t="s">
        <x:v>10</x:v>
      </x:c>
      <x:c r="C22" s="3" t="s">
        <x:v>64</x:v>
      </x:c>
      <x:c r="D22" s="4" t="s">
        <x:v>12</x:v>
      </x:c>
      <x:c r="E22" s="4"/>
      <x:c r="F22" s="4" t="s">
        <x:v>65</x:v>
      </x:c>
      <x:c r="G22" s="3" t="s">
        <x:v>14</x:v>
      </x:c>
    </x:row>
    <x:row r="23">
      <x:c r="A23" s="3" t="s">
        <x:v>66</x:v>
      </x:c>
      <x:c r="B23" s="3" t="s">
        <x:v>10</x:v>
      </x:c>
      <x:c r="C23" s="3" t="s">
        <x:v>67</x:v>
      </x:c>
      <x:c r="D23" s="4" t="s">
        <x:v>12</x:v>
      </x:c>
      <x:c r="E23" s="4"/>
      <x:c r="F23" s="4" t="s">
        <x:v>68</x:v>
      </x:c>
      <x:c r="G23" s="3" t="s">
        <x:v>14</x:v>
      </x:c>
    </x:row>
    <x:row r="24">
      <x:c r="A24" s="3" t="s">
        <x:v>69</x:v>
      </x:c>
      <x:c r="B24" s="3" t="s">
        <x:v>10</x:v>
      </x:c>
      <x:c r="C24" s="3" t="s">
        <x:v>70</x:v>
      </x:c>
      <x:c r="D24" s="4" t="s">
        <x:v>12</x:v>
      </x:c>
      <x:c r="E24" s="4"/>
      <x:c r="F24" s="4" t="s">
        <x:v>71</x:v>
      </x:c>
      <x:c r="G24" s="3" t="s">
        <x:v>14</x:v>
      </x:c>
    </x:row>
    <x:row r="25">
      <x:c r="A25" s="3" t="s">
        <x:v>72</x:v>
      </x:c>
      <x:c r="B25" s="3" t="s">
        <x:v>10</x:v>
      </x:c>
      <x:c r="C25" s="3" t="s">
        <x:v>73</x:v>
      </x:c>
      <x:c r="D25" s="4" t="s">
        <x:v>12</x:v>
      </x:c>
      <x:c r="E25" s="4"/>
      <x:c r="F25" s="4" t="s">
        <x:v>74</x:v>
      </x:c>
      <x:c r="G25" s="3" t="s">
        <x:v>14</x:v>
      </x:c>
    </x:row>
    <x:row r="26">
      <x:c r="A26" s="3" t="s">
        <x:v>75</x:v>
      </x:c>
      <x:c r="B26" s="3" t="s">
        <x:v>10</x:v>
      </x:c>
      <x:c r="C26" s="3" t="s">
        <x:v>76</x:v>
      </x:c>
      <x:c r="D26" s="4" t="s">
        <x:v>12</x:v>
      </x:c>
      <x:c r="E26" s="4"/>
      <x:c r="F26" s="4" t="s">
        <x:v>77</x:v>
      </x:c>
      <x:c r="G26" s="3" t="s">
        <x:v>14</x:v>
      </x:c>
    </x:row>
    <x:row r="27">
      <x:c r="A27" s="3" t="s">
        <x:v>78</x:v>
      </x:c>
      <x:c r="B27" s="3" t="s">
        <x:v>10</x:v>
      </x:c>
      <x:c r="C27" s="3" t="s">
        <x:v>79</x:v>
      </x:c>
      <x:c r="D27" s="4" t="s">
        <x:v>12</x:v>
      </x:c>
      <x:c r="E27" s="4"/>
      <x:c r="F27" s="4" t="s">
        <x:v>80</x:v>
      </x:c>
      <x:c r="G27" s="3" t="s">
        <x:v>14</x:v>
      </x:c>
    </x:row>
    <x:row r="28">
      <x:c r="A28" s="3" t="s">
        <x:v>81</x:v>
      </x:c>
      <x:c r="B28" s="3" t="s">
        <x:v>10</x:v>
      </x:c>
      <x:c r="C28" s="3" t="s">
        <x:v>82</x:v>
      </x:c>
      <x:c r="D28" s="4" t="s">
        <x:v>12</x:v>
      </x:c>
      <x:c r="E28" s="4"/>
      <x:c r="F28" s="4" t="s">
        <x:v>83</x:v>
      </x:c>
      <x:c r="G28" s="3" t="s">
        <x:v>14</x:v>
      </x:c>
    </x:row>
    <x:row r="29">
      <x:c r="A29" s="3" t="s">
        <x:v>84</x:v>
      </x:c>
      <x:c r="B29" s="3" t="s">
        <x:v>10</x:v>
      </x:c>
      <x:c r="C29" s="3" t="s">
        <x:v>85</x:v>
      </x:c>
      <x:c r="D29" s="4" t="s">
        <x:v>12</x:v>
      </x:c>
      <x:c r="E29" s="4"/>
      <x:c r="F29" s="4" t="s">
        <x:v>86</x:v>
      </x:c>
      <x:c r="G29" s="3" t="s">
        <x:v>14</x:v>
      </x:c>
    </x:row>
    <x:row r="30">
      <x:c r="A30" s="3" t="s">
        <x:v>87</x:v>
      </x:c>
      <x:c r="B30" s="3" t="s">
        <x:v>10</x:v>
      </x:c>
      <x:c r="C30" s="3" t="s">
        <x:v>88</x:v>
      </x:c>
      <x:c r="D30" s="4" t="s">
        <x:v>12</x:v>
      </x:c>
      <x:c r="E30" s="4"/>
      <x:c r="F30" s="4" t="s">
        <x:v>89</x:v>
      </x:c>
      <x:c r="G30" s="3" t="s">
        <x:v>14</x:v>
      </x:c>
    </x:row>
    <x:row r="31">
      <x:c r="A31" s="3" t="s">
        <x:v>90</x:v>
      </x:c>
      <x:c r="B31" s="3" t="s">
        <x:v>10</x:v>
      </x:c>
      <x:c r="C31" s="3" t="s">
        <x:v>91</x:v>
      </x:c>
      <x:c r="D31" s="4" t="s">
        <x:v>12</x:v>
      </x:c>
      <x:c r="E31" s="4"/>
      <x:c r="F31" s="4" t="s">
        <x:v>92</x:v>
      </x:c>
      <x:c r="G31" s="3" t="s">
        <x:v>14</x:v>
      </x:c>
    </x:row>
    <x:row r="32">
      <x:c r="A32" s="3" t="s">
        <x:v>93</x:v>
      </x:c>
      <x:c r="B32" s="3" t="s">
        <x:v>10</x:v>
      </x:c>
      <x:c r="C32" s="3" t="s">
        <x:v>94</x:v>
      </x:c>
      <x:c r="D32" s="4" t="s">
        <x:v>12</x:v>
      </x:c>
      <x:c r="E32" s="4"/>
      <x:c r="F32" s="4" t="s">
        <x:v>95</x:v>
      </x:c>
      <x:c r="G32" s="3" t="s">
        <x:v>14</x:v>
      </x:c>
    </x:row>
    <x:row r="33">
      <x:c r="A33" s="3" t="s">
        <x:v>96</x:v>
      </x:c>
      <x:c r="B33" s="3" t="s">
        <x:v>10</x:v>
      </x:c>
      <x:c r="C33" s="3" t="s">
        <x:v>97</x:v>
      </x:c>
      <x:c r="D33" s="4" t="s">
        <x:v>12</x:v>
      </x:c>
      <x:c r="E33" s="4"/>
      <x:c r="F33" s="4" t="s">
        <x:v>98</x:v>
      </x:c>
      <x:c r="G33" s="3" t="s">
        <x:v>14</x:v>
      </x:c>
    </x:row>
    <x:row r="34">
      <x:c r="A34" s="3" t="s">
        <x:v>99</x:v>
      </x:c>
      <x:c r="B34" s="3" t="s">
        <x:v>10</x:v>
      </x:c>
      <x:c r="C34" s="3" t="s">
        <x:v>100</x:v>
      </x:c>
      <x:c r="D34" s="4" t="s">
        <x:v>12</x:v>
      </x:c>
      <x:c r="E34" s="4"/>
      <x:c r="F34" s="4" t="s">
        <x:v>101</x:v>
      </x:c>
      <x:c r="G34" s="3" t="s">
        <x:v>14</x:v>
      </x:c>
    </x:row>
    <x:row r="35">
      <x:c r="A35" s="3" t="s">
        <x:v>102</x:v>
      </x:c>
      <x:c r="B35" s="3" t="s">
        <x:v>10</x:v>
      </x:c>
      <x:c r="C35" s="3" t="s">
        <x:v>103</x:v>
      </x:c>
      <x:c r="D35" s="4" t="s">
        <x:v>12</x:v>
      </x:c>
      <x:c r="E35" s="4"/>
      <x:c r="F35" s="4" t="s">
        <x:v>104</x:v>
      </x:c>
      <x:c r="G35" s="3" t="s">
        <x:v>14</x:v>
      </x:c>
    </x:row>
    <x:row r="36">
      <x:c r="A36" s="3" t="s">
        <x:v>105</x:v>
      </x:c>
      <x:c r="B36" s="3" t="s">
        <x:v>10</x:v>
      </x:c>
      <x:c r="C36" s="3" t="s">
        <x:v>106</x:v>
      </x:c>
      <x:c r="D36" s="4" t="s">
        <x:v>12</x:v>
      </x:c>
      <x:c r="E36" s="4"/>
      <x:c r="F36" s="4" t="s">
        <x:v>107</x:v>
      </x:c>
      <x:c r="G36" s="3" t="s">
        <x:v>14</x:v>
      </x:c>
    </x:row>
    <x:row r="37">
      <x:c r="A37" s="3" t="s">
        <x:v>108</x:v>
      </x:c>
      <x:c r="B37" s="3" t="s">
        <x:v>10</x:v>
      </x:c>
      <x:c r="C37" s="3" t="s">
        <x:v>109</x:v>
      </x:c>
      <x:c r="D37" s="4" t="s">
        <x:v>12</x:v>
      </x:c>
      <x:c r="E37" s="4"/>
      <x:c r="F37" s="4" t="s">
        <x:v>110</x:v>
      </x:c>
      <x:c r="G37" s="3" t="s">
        <x:v>14</x:v>
      </x:c>
    </x:row>
    <x:row r="38">
      <x:c r="A38" s="3" t="s">
        <x:v>111</x:v>
      </x:c>
      <x:c r="B38" s="3" t="s">
        <x:v>10</x:v>
      </x:c>
      <x:c r="C38" s="3" t="s">
        <x:v>112</x:v>
      </x:c>
      <x:c r="D38" s="4" t="s">
        <x:v>12</x:v>
      </x:c>
      <x:c r="E38" s="4"/>
      <x:c r="F38" s="4" t="s">
        <x:v>113</x:v>
      </x:c>
      <x:c r="G38" s="3" t="s">
        <x:v>14</x:v>
      </x:c>
    </x:row>
    <x:row r="39">
      <x:c r="A39" s="3" t="s">
        <x:v>114</x:v>
      </x:c>
      <x:c r="B39" s="3" t="s">
        <x:v>10</x:v>
      </x:c>
      <x:c r="C39" s="3" t="s">
        <x:v>115</x:v>
      </x:c>
      <x:c r="D39" s="4" t="s">
        <x:v>12</x:v>
      </x:c>
      <x:c r="E39" s="4"/>
      <x:c r="F39" s="4" t="s">
        <x:v>116</x:v>
      </x:c>
      <x:c r="G39" s="3" t="s">
        <x:v>14</x:v>
      </x:c>
    </x:row>
    <x:row r="40">
      <x:c r="A40" s="3" t="s">
        <x:v>117</x:v>
      </x:c>
      <x:c r="B40" s="3" t="s">
        <x:v>10</x:v>
      </x:c>
      <x:c r="C40" s="3" t="s">
        <x:v>118</x:v>
      </x:c>
      <x:c r="D40" s="4" t="s">
        <x:v>12</x:v>
      </x:c>
      <x:c r="E40" s="4"/>
      <x:c r="F40" s="4" t="s">
        <x:v>119</x:v>
      </x:c>
      <x:c r="G40" s="3" t="s">
        <x:v>14</x:v>
      </x:c>
    </x:row>
    <x:row r="41">
      <x:c r="A41" s="3" t="s">
        <x:v>120</x:v>
      </x:c>
      <x:c r="B41" s="3" t="s">
        <x:v>10</x:v>
      </x:c>
      <x:c r="C41" s="3" t="s">
        <x:v>121</x:v>
      </x:c>
      <x:c r="D41" s="4" t="s">
        <x:v>12</x:v>
      </x:c>
      <x:c r="E41" s="4"/>
      <x:c r="F41" s="4" t="s">
        <x:v>122</x:v>
      </x:c>
      <x:c r="G41" s="3" t="s">
        <x:v>14</x:v>
      </x:c>
    </x:row>
    <x:row r="42">
      <x:c r="A42" s="3" t="s">
        <x:v>123</x:v>
      </x:c>
      <x:c r="B42" s="3" t="s">
        <x:v>10</x:v>
      </x:c>
      <x:c r="C42" s="3" t="s">
        <x:v>124</x:v>
      </x:c>
      <x:c r="D42" s="4" t="s">
        <x:v>12</x:v>
      </x:c>
      <x:c r="E42" s="4"/>
      <x:c r="F42" s="4" t="s">
        <x:v>125</x:v>
      </x:c>
      <x:c r="G42" s="3" t="s">
        <x:v>14</x:v>
      </x:c>
    </x:row>
    <x:row r="43">
      <x:c r="A43" s="3" t="s">
        <x:v>126</x:v>
      </x:c>
      <x:c r="B43" s="3" t="s">
        <x:v>10</x:v>
      </x:c>
      <x:c r="C43" s="3" t="s">
        <x:v>127</x:v>
      </x:c>
      <x:c r="D43" s="4" t="s">
        <x:v>12</x:v>
      </x:c>
      <x:c r="E43" s="4"/>
      <x:c r="F43" s="4" t="s">
        <x:v>128</x:v>
      </x:c>
      <x:c r="G43" s="3" t="s">
        <x:v>14</x:v>
      </x:c>
    </x:row>
    <x:row r="44">
      <x:c r="A44" s="3" t="s">
        <x:v>129</x:v>
      </x:c>
      <x:c r="B44" s="3" t="s">
        <x:v>10</x:v>
      </x:c>
      <x:c r="C44" s="3" t="s">
        <x:v>130</x:v>
      </x:c>
      <x:c r="D44" s="4" t="s">
        <x:v>12</x:v>
      </x:c>
      <x:c r="E44" s="4"/>
      <x:c r="F44" s="4" t="s">
        <x:v>131</x:v>
      </x:c>
      <x:c r="G44" s="3" t="s">
        <x:v>14</x:v>
      </x:c>
    </x:row>
    <x:row r="45">
      <x:c r="A45" s="3" t="s">
        <x:v>132</x:v>
      </x:c>
      <x:c r="B45" s="3" t="s">
        <x:v>10</x:v>
      </x:c>
      <x:c r="C45" s="3" t="s">
        <x:v>133</x:v>
      </x:c>
      <x:c r="D45" s="4" t="s">
        <x:v>12</x:v>
      </x:c>
      <x:c r="E45" s="4"/>
      <x:c r="F45" s="4" t="s">
        <x:v>134</x:v>
      </x:c>
      <x:c r="G45" s="3" t="s">
        <x:v>14</x:v>
      </x:c>
    </x:row>
    <x:row r="46">
      <x:c r="A46" s="3" t="s">
        <x:v>135</x:v>
      </x:c>
      <x:c r="B46" s="3" t="s">
        <x:v>10</x:v>
      </x:c>
      <x:c r="C46" s="3" t="s">
        <x:v>136</x:v>
      </x:c>
      <x:c r="D46" s="4" t="s">
        <x:v>12</x:v>
      </x:c>
      <x:c r="E46" s="4"/>
      <x:c r="F46" s="4" t="s">
        <x:v>137</x:v>
      </x:c>
      <x:c r="G46" s="3" t="s">
        <x:v>14</x:v>
      </x:c>
    </x:row>
    <x:row r="47">
      <x:c r="A47" s="3" t="s">
        <x:v>138</x:v>
      </x:c>
      <x:c r="B47" s="3" t="s">
        <x:v>10</x:v>
      </x:c>
      <x:c r="C47" s="3" t="s">
        <x:v>139</x:v>
      </x:c>
      <x:c r="D47" s="4" t="s">
        <x:v>12</x:v>
      </x:c>
      <x:c r="E47" s="4"/>
      <x:c r="F47" s="4" t="s">
        <x:v>140</x:v>
      </x:c>
      <x:c r="G47" s="3" t="s">
        <x:v>14</x:v>
      </x:c>
    </x:row>
    <x:row r="48">
      <x:c r="A48" s="3" t="s">
        <x:v>141</x:v>
      </x:c>
      <x:c r="B48" s="3" t="s">
        <x:v>10</x:v>
      </x:c>
      <x:c r="C48" s="3" t="s">
        <x:v>142</x:v>
      </x:c>
      <x:c r="D48" s="4" t="s">
        <x:v>12</x:v>
      </x:c>
      <x:c r="E48" s="4"/>
      <x:c r="F48" s="4" t="s">
        <x:v>143</x:v>
      </x:c>
      <x:c r="G48" s="3" t="s">
        <x:v>14</x:v>
      </x:c>
    </x:row>
    <x:row r="49">
      <x:c r="A49" s="3" t="s">
        <x:v>144</x:v>
      </x:c>
      <x:c r="B49" s="3" t="s">
        <x:v>10</x:v>
      </x:c>
      <x:c r="C49" s="3" t="s">
        <x:v>145</x:v>
      </x:c>
      <x:c r="D49" s="4" t="s">
        <x:v>12</x:v>
      </x:c>
      <x:c r="E49" s="4"/>
      <x:c r="F49" s="4" t="s">
        <x:v>146</x:v>
      </x:c>
      <x:c r="G49" s="3" t="s">
        <x:v>14</x:v>
      </x:c>
    </x:row>
    <x:row r="50">
      <x:c r="A50" s="3" t="s">
        <x:v>147</x:v>
      </x:c>
      <x:c r="B50" s="3" t="s">
        <x:v>10</x:v>
      </x:c>
      <x:c r="C50" s="3" t="s">
        <x:v>148</x:v>
      </x:c>
      <x:c r="D50" s="4" t="s">
        <x:v>12</x:v>
      </x:c>
      <x:c r="E50" s="4"/>
      <x:c r="F50" s="4" t="s">
        <x:v>149</x:v>
      </x:c>
      <x:c r="G50" s="3" t="s">
        <x:v>14</x:v>
      </x:c>
    </x:row>
    <x:row r="51">
      <x:c r="A51" s="3" t="s">
        <x:v>150</x:v>
      </x:c>
      <x:c r="B51" s="3" t="s">
        <x:v>10</x:v>
      </x:c>
      <x:c r="C51" s="3" t="s">
        <x:v>151</x:v>
      </x:c>
      <x:c r="D51" s="4" t="s">
        <x:v>12</x:v>
      </x:c>
      <x:c r="E51" s="4"/>
      <x:c r="F51" s="4" t="s">
        <x:v>152</x:v>
      </x:c>
      <x:c r="G51" s="3" t="s">
        <x:v>14</x:v>
      </x:c>
    </x:row>
    <x:row r="52">
      <x:c r="A52" s="3" t="s">
        <x:v>153</x:v>
      </x:c>
      <x:c r="B52" s="3" t="s">
        <x:v>10</x:v>
      </x:c>
      <x:c r="C52" s="3" t="s">
        <x:v>154</x:v>
      </x:c>
      <x:c r="D52" s="4" t="s">
        <x:v>12</x:v>
      </x:c>
      <x:c r="E52" s="4"/>
      <x:c r="F52" s="4" t="s">
        <x:v>155</x:v>
      </x:c>
      <x:c r="G52" s="3" t="s">
        <x:v>14</x:v>
      </x:c>
    </x:row>
    <x:row r="53">
      <x:c r="A53" s="3" t="s">
        <x:v>156</x:v>
      </x:c>
      <x:c r="B53" s="3" t="s">
        <x:v>10</x:v>
      </x:c>
      <x:c r="C53" s="3" t="s">
        <x:v>157</x:v>
      </x:c>
      <x:c r="D53" s="4" t="s">
        <x:v>12</x:v>
      </x:c>
      <x:c r="E53" s="4"/>
      <x:c r="F53" s="4" t="s">
        <x:v>158</x:v>
      </x:c>
      <x:c r="G53" s="3" t="s">
        <x:v>14</x:v>
      </x:c>
    </x:row>
    <x:row r="54">
      <x:c r="A54" s="3" t="s">
        <x:v>159</x:v>
      </x:c>
      <x:c r="B54" s="3" t="s">
        <x:v>10</x:v>
      </x:c>
      <x:c r="C54" s="3" t="s">
        <x:v>160</x:v>
      </x:c>
      <x:c r="D54" s="4" t="s">
        <x:v>12</x:v>
      </x:c>
      <x:c r="E54" s="4"/>
      <x:c r="F54" s="4" t="s">
        <x:v>161</x:v>
      </x:c>
      <x:c r="G54" s="3" t="s">
        <x:v>14</x:v>
      </x:c>
    </x:row>
    <x:row r="55">
      <x:c r="A55" s="3" t="s">
        <x:v>162</x:v>
      </x:c>
      <x:c r="B55" s="3" t="s">
        <x:v>10</x:v>
      </x:c>
      <x:c r="C55" s="3" t="s">
        <x:v>163</x:v>
      </x:c>
      <x:c r="D55" s="4" t="s">
        <x:v>12</x:v>
      </x:c>
      <x:c r="E55" s="4"/>
      <x:c r="F55" s="4" t="s">
        <x:v>164</x:v>
      </x:c>
      <x:c r="G55" s="3" t="s">
        <x:v>14</x:v>
      </x:c>
    </x:row>
    <x:row r="56">
      <x:c r="A56" s="3" t="s">
        <x:v>165</x:v>
      </x:c>
      <x:c r="B56" s="3" t="s">
        <x:v>10</x:v>
      </x:c>
      <x:c r="C56" s="3" t="s">
        <x:v>166</x:v>
      </x:c>
      <x:c r="D56" s="4" t="s">
        <x:v>12</x:v>
      </x:c>
      <x:c r="E56" s="4"/>
      <x:c r="F56" s="4" t="s">
        <x:v>167</x:v>
      </x:c>
      <x:c r="G56" s="3" t="s">
        <x:v>14</x:v>
      </x:c>
    </x:row>
    <x:row r="57">
      <x:c r="A57" s="3" t="s">
        <x:v>168</x:v>
      </x:c>
      <x:c r="B57" s="3" t="s">
        <x:v>10</x:v>
      </x:c>
      <x:c r="C57" s="3" t="s">
        <x:v>169</x:v>
      </x:c>
      <x:c r="D57" s="4" t="s">
        <x:v>12</x:v>
      </x:c>
      <x:c r="E57" s="4"/>
      <x:c r="F57" s="4" t="s">
        <x:v>170</x:v>
      </x:c>
      <x:c r="G57" s="3" t="s">
        <x:v>14</x:v>
      </x:c>
    </x:row>
    <x:row r="58">
      <x:c r="A58" s="3" t="s">
        <x:v>171</x:v>
      </x:c>
      <x:c r="B58" s="3" t="s">
        <x:v>10</x:v>
      </x:c>
      <x:c r="C58" s="3" t="s">
        <x:v>172</x:v>
      </x:c>
      <x:c r="D58" s="4" t="s">
        <x:v>12</x:v>
      </x:c>
      <x:c r="E58" s="4"/>
      <x:c r="F58" s="4" t="s">
        <x:v>173</x:v>
      </x:c>
      <x:c r="G58" s="3" t="s">
        <x:v>14</x:v>
      </x:c>
    </x:row>
    <x:row r="59">
      <x:c r="A59" s="3" t="s">
        <x:v>174</x:v>
      </x:c>
      <x:c r="B59" s="3" t="s">
        <x:v>10</x:v>
      </x:c>
      <x:c r="C59" s="3" t="s">
        <x:v>175</x:v>
      </x:c>
      <x:c r="D59" s="4" t="s">
        <x:v>12</x:v>
      </x:c>
      <x:c r="E59" s="4"/>
      <x:c r="F59" s="4" t="s">
        <x:v>176</x:v>
      </x:c>
      <x:c r="G59" s="3" t="s">
        <x:v>14</x:v>
      </x:c>
    </x:row>
    <x:row r="60">
      <x:c r="A60" s="3" t="s">
        <x:v>177</x:v>
      </x:c>
      <x:c r="B60" s="3" t="s">
        <x:v>10</x:v>
      </x:c>
      <x:c r="C60" s="3" t="s">
        <x:v>178</x:v>
      </x:c>
      <x:c r="D60" s="4" t="s">
        <x:v>12</x:v>
      </x:c>
      <x:c r="E60" s="4"/>
      <x:c r="F60" s="4" t="s">
        <x:v>179</x:v>
      </x:c>
      <x:c r="G60" s="3" t="s">
        <x:v>14</x:v>
      </x:c>
    </x:row>
    <x:row r="61">
      <x:c r="A61" s="3" t="s">
        <x:v>180</x:v>
      </x:c>
      <x:c r="B61" s="3" t="s">
        <x:v>10</x:v>
      </x:c>
      <x:c r="C61" s="3" t="s">
        <x:v>181</x:v>
      </x:c>
      <x:c r="D61" s="4" t="s">
        <x:v>12</x:v>
      </x:c>
      <x:c r="E61" s="4"/>
      <x:c r="F61" s="4" t="s">
        <x:v>182</x:v>
      </x:c>
      <x:c r="G61" s="3" t="s">
        <x:v>14</x:v>
      </x:c>
    </x:row>
    <x:row r="62">
      <x:c r="A62" s="3" t="s">
        <x:v>183</x:v>
      </x:c>
      <x:c r="B62" s="3" t="s">
        <x:v>10</x:v>
      </x:c>
      <x:c r="C62" s="3" t="s">
        <x:v>184</x:v>
      </x:c>
      <x:c r="D62" s="4" t="s">
        <x:v>12</x:v>
      </x:c>
      <x:c r="E62" s="4"/>
      <x:c r="F62" s="4" t="s">
        <x:v>185</x:v>
      </x:c>
      <x:c r="G62" s="3" t="s">
        <x:v>14</x:v>
      </x:c>
    </x:row>
    <x:row r="63">
      <x:c r="A63" s="3" t="s">
        <x:v>186</x:v>
      </x:c>
      <x:c r="B63" s="3" t="s">
        <x:v>10</x:v>
      </x:c>
      <x:c r="C63" s="3" t="s">
        <x:v>187</x:v>
      </x:c>
      <x:c r="D63" s="4" t="s">
        <x:v>12</x:v>
      </x:c>
      <x:c r="E63" s="4"/>
      <x:c r="F63" s="4" t="s">
        <x:v>188</x:v>
      </x:c>
      <x:c r="G63" s="3" t="s">
        <x:v>14</x:v>
      </x:c>
    </x:row>
    <x:row r="64">
      <x:c r="A64" s="3" t="s">
        <x:v>189</x:v>
      </x:c>
      <x:c r="B64" s="3" t="s">
        <x:v>10</x:v>
      </x:c>
      <x:c r="C64" s="3" t="s">
        <x:v>190</x:v>
      </x:c>
      <x:c r="D64" s="4" t="s">
        <x:v>12</x:v>
      </x:c>
      <x:c r="E64" s="4"/>
      <x:c r="F64" s="4" t="s">
        <x:v>191</x:v>
      </x:c>
      <x:c r="G64" s="3" t="s">
        <x:v>14</x:v>
      </x:c>
    </x:row>
    <x:row r="65">
      <x:c r="A65" s="3" t="s">
        <x:v>192</x:v>
      </x:c>
      <x:c r="B65" s="3" t="s">
        <x:v>10</x:v>
      </x:c>
      <x:c r="C65" s="3" t="s">
        <x:v>193</x:v>
      </x:c>
      <x:c r="D65" s="4" t="s">
        <x:v>12</x:v>
      </x:c>
      <x:c r="E65" s="4"/>
      <x:c r="F65" s="4" t="s">
        <x:v>194</x:v>
      </x:c>
      <x:c r="G65" s="3" t="s">
        <x:v>14</x:v>
      </x:c>
    </x:row>
    <x:row r="66">
      <x:c r="A66" s="3" t="s">
        <x:v>195</x:v>
      </x:c>
      <x:c r="B66" s="3" t="s">
        <x:v>10</x:v>
      </x:c>
      <x:c r="C66" s="3" t="s">
        <x:v>196</x:v>
      </x:c>
      <x:c r="D66" s="4" t="s">
        <x:v>12</x:v>
      </x:c>
      <x:c r="E66" s="4"/>
      <x:c r="F66" s="4" t="s">
        <x:v>197</x:v>
      </x:c>
      <x:c r="G66" s="3" t="s">
        <x:v>14</x:v>
      </x:c>
    </x:row>
    <x:row r="67">
      <x:c r="A67" s="3" t="s">
        <x:v>198</x:v>
      </x:c>
      <x:c r="B67" s="3" t="s">
        <x:v>10</x:v>
      </x:c>
      <x:c r="C67" s="3" t="s">
        <x:v>199</x:v>
      </x:c>
      <x:c r="D67" s="4" t="s">
        <x:v>12</x:v>
      </x:c>
      <x:c r="E67" s="4"/>
      <x:c r="F67" s="4" t="s">
        <x:v>200</x:v>
      </x:c>
      <x:c r="G67" s="3" t="s">
        <x:v>14</x:v>
      </x:c>
    </x:row>
    <x:row r="68">
      <x:c r="A68" s="3" t="s">
        <x:v>201</x:v>
      </x:c>
      <x:c r="B68" s="3" t="s">
        <x:v>10</x:v>
      </x:c>
      <x:c r="C68" s="3" t="s">
        <x:v>202</x:v>
      </x:c>
      <x:c r="D68" s="4" t="s">
        <x:v>12</x:v>
      </x:c>
      <x:c r="E68" s="4"/>
      <x:c r="F68" s="4" t="s">
        <x:v>203</x:v>
      </x:c>
      <x:c r="G68" s="3" t="s">
        <x:v>14</x:v>
      </x:c>
    </x:row>
    <x:row r="69">
      <x:c r="A69" s="3" t="s">
        <x:v>204</x:v>
      </x:c>
      <x:c r="B69" s="3" t="s">
        <x:v>10</x:v>
      </x:c>
      <x:c r="C69" s="3" t="s">
        <x:v>205</x:v>
      </x:c>
      <x:c r="D69" s="4" t="s">
        <x:v>12</x:v>
      </x:c>
      <x:c r="E69" s="4"/>
      <x:c r="F69" s="4" t="s">
        <x:v>206</x:v>
      </x:c>
      <x:c r="G69" s="3" t="s">
        <x:v>14</x:v>
      </x:c>
    </x:row>
    <x:row r="70">
      <x:c r="A70" s="3" t="s">
        <x:v>207</x:v>
      </x:c>
      <x:c r="B70" s="3" t="s">
        <x:v>10</x:v>
      </x:c>
      <x:c r="C70" s="3" t="s">
        <x:v>208</x:v>
      </x:c>
      <x:c r="D70" s="4" t="s">
        <x:v>12</x:v>
      </x:c>
      <x:c r="E70" s="4"/>
      <x:c r="F70" s="4" t="s">
        <x:v>209</x:v>
      </x:c>
      <x:c r="G70" s="3" t="s">
        <x:v>14</x:v>
      </x:c>
    </x:row>
    <x:row r="71">
      <x:c r="A71" s="3" t="s">
        <x:v>210</x:v>
      </x:c>
      <x:c r="B71" s="3" t="s">
        <x:v>10</x:v>
      </x:c>
      <x:c r="C71" s="3" t="s">
        <x:v>211</x:v>
      </x:c>
      <x:c r="D71" s="4" t="s">
        <x:v>12</x:v>
      </x:c>
      <x:c r="E71" s="4"/>
      <x:c r="F71" s="4" t="s">
        <x:v>212</x:v>
      </x:c>
      <x:c r="G71" s="3" t="s">
        <x:v>14</x:v>
      </x:c>
    </x:row>
    <x:row r="72">
      <x:c r="A72" s="3" t="s">
        <x:v>213</x:v>
      </x:c>
      <x:c r="B72" s="3" t="s">
        <x:v>10</x:v>
      </x:c>
      <x:c r="C72" s="3" t="s">
        <x:v>214</x:v>
      </x:c>
      <x:c r="D72" s="4" t="s">
        <x:v>12</x:v>
      </x:c>
      <x:c r="E72" s="4"/>
      <x:c r="F72" s="4" t="s">
        <x:v>215</x:v>
      </x:c>
      <x:c r="G72" s="3" t="s">
        <x:v>14</x:v>
      </x:c>
    </x:row>
    <x:row r="73">
      <x:c r="A73" s="3" t="s">
        <x:v>216</x:v>
      </x:c>
      <x:c r="B73" s="3" t="s">
        <x:v>10</x:v>
      </x:c>
      <x:c r="C73" s="3" t="s">
        <x:v>217</x:v>
      </x:c>
      <x:c r="D73" s="4" t="s">
        <x:v>12</x:v>
      </x:c>
      <x:c r="E73" s="4"/>
      <x:c r="F73" s="4" t="s">
        <x:v>218</x:v>
      </x:c>
      <x:c r="G73" s="3" t="s">
        <x:v>14</x:v>
      </x:c>
    </x:row>
    <x:row r="74">
      <x:c r="A74" s="3" t="s">
        <x:v>219</x:v>
      </x:c>
      <x:c r="B74" s="3" t="s">
        <x:v>10</x:v>
      </x:c>
      <x:c r="C74" s="3" t="s">
        <x:v>220</x:v>
      </x:c>
      <x:c r="D74" s="4" t="s">
        <x:v>12</x:v>
      </x:c>
      <x:c r="E74" s="4"/>
      <x:c r="F74" s="4" t="s">
        <x:v>221</x:v>
      </x:c>
      <x:c r="G74" s="3" t="s">
        <x:v>14</x:v>
      </x:c>
    </x:row>
    <x:row r="75">
      <x:c r="A75" s="3" t="s">
        <x:v>222</x:v>
      </x:c>
      <x:c r="B75" s="3" t="s">
        <x:v>10</x:v>
      </x:c>
      <x:c r="C75" s="3" t="s">
        <x:v>223</x:v>
      </x:c>
      <x:c r="D75" s="4" t="s">
        <x:v>12</x:v>
      </x:c>
      <x:c r="E75" s="4"/>
      <x:c r="F75" s="4" t="s">
        <x:v>224</x:v>
      </x:c>
      <x:c r="G75" s="3" t="s">
        <x:v>14</x:v>
      </x:c>
    </x:row>
    <x:row r="76">
      <x:c r="A76" s="3" t="s">
        <x:v>225</x:v>
      </x:c>
      <x:c r="B76" s="3" t="s">
        <x:v>10</x:v>
      </x:c>
      <x:c r="C76" s="3" t="s">
        <x:v>226</x:v>
      </x:c>
      <x:c r="D76" s="4" t="s">
        <x:v>12</x:v>
      </x:c>
      <x:c r="E76" s="4"/>
      <x:c r="F76" s="4" t="s">
        <x:v>227</x:v>
      </x:c>
      <x:c r="G76" s="3" t="s">
        <x:v>14</x:v>
      </x:c>
    </x:row>
    <x:row r="77">
      <x:c r="A77" s="3" t="s">
        <x:v>228</x:v>
      </x:c>
      <x:c r="B77" s="3" t="s">
        <x:v>10</x:v>
      </x:c>
      <x:c r="C77" s="3" t="s">
        <x:v>229</x:v>
      </x:c>
      <x:c r="D77" s="4" t="s">
        <x:v>12</x:v>
      </x:c>
      <x:c r="E77" s="4"/>
      <x:c r="F77" s="4" t="s">
        <x:v>230</x:v>
      </x:c>
      <x:c r="G77" s="3" t="s">
        <x:v>14</x:v>
      </x:c>
    </x:row>
    <x:row r="78">
      <x:c r="A78" s="3" t="s">
        <x:v>231</x:v>
      </x:c>
      <x:c r="B78" s="3" t="s">
        <x:v>10</x:v>
      </x:c>
      <x:c r="C78" s="3" t="s">
        <x:v>232</x:v>
      </x:c>
      <x:c r="D78" s="4" t="s">
        <x:v>12</x:v>
      </x:c>
      <x:c r="E78" s="4"/>
      <x:c r="F78" s="4" t="s">
        <x:v>233</x:v>
      </x:c>
      <x:c r="G78" s="3" t="s">
        <x:v>14</x:v>
      </x:c>
    </x:row>
    <x:row r="79">
      <x:c r="A79" s="3" t="s">
        <x:v>234</x:v>
      </x:c>
      <x:c r="B79" s="3" t="s">
        <x:v>10</x:v>
      </x:c>
      <x:c r="C79" s="3" t="s">
        <x:v>235</x:v>
      </x:c>
      <x:c r="D79" s="4" t="s">
        <x:v>12</x:v>
      </x:c>
      <x:c r="E79" s="4"/>
      <x:c r="F79" s="4" t="s">
        <x:v>236</x:v>
      </x:c>
      <x:c r="G79" s="3" t="s">
        <x:v>14</x:v>
      </x:c>
    </x:row>
    <x:row r="80">
      <x:c r="A80" s="3" t="s">
        <x:v>237</x:v>
      </x:c>
      <x:c r="B80" s="3" t="s">
        <x:v>10</x:v>
      </x:c>
      <x:c r="C80" s="3" t="s">
        <x:v>238</x:v>
      </x:c>
      <x:c r="D80" s="4" t="s">
        <x:v>12</x:v>
      </x:c>
      <x:c r="E80" s="4"/>
      <x:c r="F80" s="4" t="s">
        <x:v>239</x:v>
      </x:c>
      <x:c r="G80" s="3" t="s">
        <x:v>14</x:v>
      </x:c>
    </x:row>
    <x:row r="81">
      <x:c r="A81" s="3" t="s">
        <x:v>240</x:v>
      </x:c>
      <x:c r="B81" s="3" t="s">
        <x:v>10</x:v>
      </x:c>
      <x:c r="C81" s="3" t="s">
        <x:v>241</x:v>
      </x:c>
      <x:c r="D81" s="4" t="s">
        <x:v>12</x:v>
      </x:c>
      <x:c r="E81" s="4"/>
      <x:c r="F81" s="4" t="s">
        <x:v>242</x:v>
      </x:c>
      <x:c r="G81" s="3" t="s">
        <x:v>14</x:v>
      </x:c>
    </x:row>
    <x:row r="82">
      <x:c r="A82" s="3" t="s">
        <x:v>243</x:v>
      </x:c>
      <x:c r="B82" s="3" t="s">
        <x:v>10</x:v>
      </x:c>
      <x:c r="C82" s="3" t="s">
        <x:v>244</x:v>
      </x:c>
      <x:c r="D82" s="4" t="s">
        <x:v>12</x:v>
      </x:c>
      <x:c r="E82" s="4"/>
      <x:c r="F82" s="4" t="s">
        <x:v>245</x:v>
      </x:c>
      <x:c r="G82" s="3" t="s">
        <x:v>14</x:v>
      </x:c>
    </x:row>
    <x:row r="83">
      <x:c r="A83" s="3" t="s">
        <x:v>246</x:v>
      </x:c>
      <x:c r="B83" s="3" t="s">
        <x:v>10</x:v>
      </x:c>
      <x:c r="C83" s="3" t="s">
        <x:v>247</x:v>
      </x:c>
      <x:c r="D83" s="4" t="s">
        <x:v>12</x:v>
      </x:c>
      <x:c r="E83" s="4"/>
      <x:c r="F83" s="4" t="s">
        <x:v>248</x:v>
      </x:c>
      <x:c r="G83" s="3" t="s">
        <x:v>14</x:v>
      </x:c>
    </x:row>
    <x:row r="84">
      <x:c r="A84" s="3" t="s">
        <x:v>249</x:v>
      </x:c>
      <x:c r="B84" s="3" t="s">
        <x:v>10</x:v>
      </x:c>
      <x:c r="C84" s="3" t="s">
        <x:v>250</x:v>
      </x:c>
      <x:c r="D84" s="4" t="s">
        <x:v>12</x:v>
      </x:c>
      <x:c r="E84" s="4"/>
      <x:c r="F84" s="4" t="s">
        <x:v>251</x:v>
      </x:c>
      <x:c r="G84" s="3" t="s">
        <x:v>14</x:v>
      </x:c>
    </x:row>
    <x:row r="85">
      <x:c r="A85" s="3" t="s">
        <x:v>252</x:v>
      </x:c>
      <x:c r="B85" s="3" t="s">
        <x:v>10</x:v>
      </x:c>
      <x:c r="C85" s="3" t="s">
        <x:v>253</x:v>
      </x:c>
      <x:c r="D85" s="4" t="s">
        <x:v>12</x:v>
      </x:c>
      <x:c r="E85" s="4"/>
      <x:c r="F85" s="4" t="s">
        <x:v>254</x:v>
      </x:c>
      <x:c r="G85" s="3" t="s">
        <x:v>14</x:v>
      </x:c>
    </x:row>
    <x:row r="86">
      <x:c r="A86" s="3" t="s">
        <x:v>255</x:v>
      </x:c>
      <x:c r="B86" s="3" t="s">
        <x:v>10</x:v>
      </x:c>
      <x:c r="C86" s="3" t="s">
        <x:v>256</x:v>
      </x:c>
      <x:c r="D86" s="4" t="s">
        <x:v>12</x:v>
      </x:c>
      <x:c r="E86" s="4"/>
      <x:c r="F86" s="4" t="s">
        <x:v>257</x:v>
      </x:c>
      <x:c r="G86" s="3" t="s">
        <x:v>14</x:v>
      </x:c>
    </x:row>
    <x:row r="87">
      <x:c r="A87" s="3" t="s">
        <x:v>258</x:v>
      </x:c>
      <x:c r="B87" s="3" t="s">
        <x:v>10</x:v>
      </x:c>
      <x:c r="C87" s="3" t="s">
        <x:v>259</x:v>
      </x:c>
      <x:c r="D87" s="4" t="s">
        <x:v>12</x:v>
      </x:c>
      <x:c r="E87" s="4"/>
      <x:c r="F87" s="4" t="s">
        <x:v>260</x:v>
      </x:c>
      <x:c r="G87" s="3" t="s">
        <x:v>14</x:v>
      </x:c>
    </x:row>
    <x:row r="88">
      <x:c r="A88" s="3" t="s">
        <x:v>261</x:v>
      </x:c>
      <x:c r="B88" s="3" t="s">
        <x:v>10</x:v>
      </x:c>
      <x:c r="C88" s="3" t="s">
        <x:v>262</x:v>
      </x:c>
      <x:c r="D88" s="4" t="s">
        <x:v>12</x:v>
      </x:c>
      <x:c r="E88" s="4"/>
      <x:c r="F88" s="4" t="s">
        <x:v>263</x:v>
      </x:c>
      <x:c r="G88" s="3" t="s">
        <x:v>14</x:v>
      </x:c>
    </x:row>
    <x:row r="89">
      <x:c r="A89" s="3" t="s">
        <x:v>264</x:v>
      </x:c>
      <x:c r="B89" s="3" t="s">
        <x:v>10</x:v>
      </x:c>
      <x:c r="C89" s="3" t="s">
        <x:v>265</x:v>
      </x:c>
      <x:c r="D89" s="4" t="s">
        <x:v>12</x:v>
      </x:c>
      <x:c r="E89" s="4"/>
      <x:c r="F89" s="4" t="s">
        <x:v>266</x:v>
      </x:c>
      <x:c r="G89" s="3" t="s">
        <x:v>14</x:v>
      </x:c>
    </x:row>
    <x:row r="90">
      <x:c r="A90" s="3" t="s">
        <x:v>267</x:v>
      </x:c>
      <x:c r="B90" s="3" t="s">
        <x:v>10</x:v>
      </x:c>
      <x:c r="C90" s="3" t="s">
        <x:v>268</x:v>
      </x:c>
      <x:c r="D90" s="4" t="s">
        <x:v>12</x:v>
      </x:c>
      <x:c r="E90" s="4"/>
      <x:c r="F90" s="4" t="s">
        <x:v>269</x:v>
      </x:c>
      <x:c r="G90" s="3" t="s">
        <x:v>14</x:v>
      </x:c>
    </x:row>
    <x:row r="91">
      <x:c r="A91" s="3" t="s">
        <x:v>270</x:v>
      </x:c>
      <x:c r="B91" s="3" t="s">
        <x:v>10</x:v>
      </x:c>
      <x:c r="C91" s="3" t="s">
        <x:v>271</x:v>
      </x:c>
      <x:c r="D91" s="4" t="s">
        <x:v>12</x:v>
      </x:c>
      <x:c r="E91" s="4"/>
      <x:c r="F91" s="4" t="s">
        <x:v>272</x:v>
      </x:c>
      <x:c r="G91" s="3" t="s">
        <x:v>14</x:v>
      </x:c>
    </x:row>
    <x:row r="92">
      <x:c r="A92" s="3" t="s">
        <x:v>273</x:v>
      </x:c>
      <x:c r="B92" s="3" t="s">
        <x:v>10</x:v>
      </x:c>
      <x:c r="C92" s="3" t="s">
        <x:v>274</x:v>
      </x:c>
      <x:c r="D92" s="4" t="s">
        <x:v>12</x:v>
      </x:c>
      <x:c r="E92" s="4"/>
      <x:c r="F92" s="4" t="s">
        <x:v>275</x:v>
      </x:c>
      <x:c r="G92" s="3" t="s">
        <x:v>14</x:v>
      </x:c>
    </x:row>
    <x:row r="93">
      <x:c r="A93" s="3" t="s">
        <x:v>276</x:v>
      </x:c>
      <x:c r="B93" s="3" t="s">
        <x:v>10</x:v>
      </x:c>
      <x:c r="C93" s="3" t="s">
        <x:v>277</x:v>
      </x:c>
      <x:c r="D93" s="4" t="s">
        <x:v>12</x:v>
      </x:c>
      <x:c r="E93" s="4"/>
      <x:c r="F93" s="4" t="s">
        <x:v>278</x:v>
      </x:c>
      <x:c r="G93" s="3" t="s">
        <x:v>14</x:v>
      </x:c>
    </x:row>
    <x:row r="94">
      <x:c r="A94" s="3" t="s">
        <x:v>279</x:v>
      </x:c>
      <x:c r="B94" s="3" t="s">
        <x:v>10</x:v>
      </x:c>
      <x:c r="C94" s="3" t="s">
        <x:v>280</x:v>
      </x:c>
      <x:c r="D94" s="4" t="s">
        <x:v>12</x:v>
      </x:c>
      <x:c r="E94" s="4"/>
      <x:c r="F94" s="4" t="s">
        <x:v>281</x:v>
      </x:c>
      <x:c r="G94" s="3" t="s">
        <x:v>14</x:v>
      </x:c>
    </x:row>
    <x:row r="95">
      <x:c r="A95" s="3" t="s">
        <x:v>282</x:v>
      </x:c>
      <x:c r="B95" s="3" t="s">
        <x:v>10</x:v>
      </x:c>
      <x:c r="C95" s="3" t="s">
        <x:v>283</x:v>
      </x:c>
      <x:c r="D95" s="4" t="s">
        <x:v>12</x:v>
      </x:c>
      <x:c r="E95" s="4"/>
      <x:c r="F95" s="4" t="s">
        <x:v>284</x:v>
      </x:c>
      <x:c r="G95" s="3" t="s">
        <x:v>14</x:v>
      </x:c>
    </x:row>
    <x:row r="96">
      <x:c r="A96" s="3" t="s">
        <x:v>285</x:v>
      </x:c>
      <x:c r="B96" s="3" t="s">
        <x:v>10</x:v>
      </x:c>
      <x:c r="C96" s="3" t="s">
        <x:v>286</x:v>
      </x:c>
      <x:c r="D96" s="4" t="s">
        <x:v>12</x:v>
      </x:c>
      <x:c r="E96" s="4"/>
      <x:c r="F96" s="4" t="s">
        <x:v>287</x:v>
      </x:c>
      <x:c r="G96" s="3" t="s">
        <x:v>14</x:v>
      </x:c>
    </x:row>
    <x:row r="97">
      <x:c r="A97" s="3" t="s">
        <x:v>288</x:v>
      </x:c>
      <x:c r="B97" s="3" t="s">
        <x:v>10</x:v>
      </x:c>
      <x:c r="C97" s="3" t="s">
        <x:v>289</x:v>
      </x:c>
      <x:c r="D97" s="4" t="s">
        <x:v>12</x:v>
      </x:c>
      <x:c r="E97" s="4"/>
      <x:c r="F97" s="4" t="s">
        <x:v>290</x:v>
      </x:c>
      <x:c r="G97" s="3" t="s">
        <x:v>14</x:v>
      </x:c>
    </x:row>
    <x:row r="98">
      <x:c r="A98" s="3" t="s">
        <x:v>291</x:v>
      </x:c>
      <x:c r="B98" s="3" t="s">
        <x:v>10</x:v>
      </x:c>
      <x:c r="C98" s="3" t="s">
        <x:v>292</x:v>
      </x:c>
      <x:c r="D98" s="4" t="s">
        <x:v>12</x:v>
      </x:c>
      <x:c r="E98" s="4"/>
      <x:c r="F98" s="4" t="s">
        <x:v>293</x:v>
      </x:c>
      <x:c r="G98" s="3" t="s">
        <x:v>14</x:v>
      </x:c>
    </x:row>
    <x:row r="99">
      <x:c r="A99" s="3" t="s">
        <x:v>294</x:v>
      </x:c>
      <x:c r="B99" s="3" t="s">
        <x:v>10</x:v>
      </x:c>
      <x:c r="C99" s="3" t="s">
        <x:v>295</x:v>
      </x:c>
      <x:c r="D99" s="4" t="s">
        <x:v>12</x:v>
      </x:c>
      <x:c r="E99" s="4"/>
      <x:c r="F99" s="4" t="s">
        <x:v>296</x:v>
      </x:c>
      <x:c r="G99" s="3" t="s">
        <x:v>14</x:v>
      </x:c>
    </x:row>
    <x:row r="100">
      <x:c r="A100" s="3" t="s">
        <x:v>297</x:v>
      </x:c>
      <x:c r="B100" s="3" t="s">
        <x:v>10</x:v>
      </x:c>
      <x:c r="C100" s="3" t="s">
        <x:v>298</x:v>
      </x:c>
      <x:c r="D100" s="4" t="s">
        <x:v>12</x:v>
      </x:c>
      <x:c r="E100" s="4"/>
      <x:c r="F100" s="4" t="s">
        <x:v>299</x:v>
      </x:c>
      <x:c r="G100" s="3" t="s">
        <x:v>14</x:v>
      </x:c>
    </x:row>
    <x:row r="101">
      <x:c r="A101" s="3" t="s">
        <x:v>300</x:v>
      </x:c>
      <x:c r="B101" s="3" t="s">
        <x:v>10</x:v>
      </x:c>
      <x:c r="C101" s="3" t="s">
        <x:v>301</x:v>
      </x:c>
      <x:c r="D101" s="4" t="s">
        <x:v>12</x:v>
      </x:c>
      <x:c r="E101" s="4"/>
      <x:c r="F101" s="4" t="s">
        <x:v>302</x:v>
      </x:c>
      <x:c r="G101" s="3" t="s">
        <x:v>14</x:v>
      </x:c>
    </x:row>
    <x:row r="102">
      <x:c r="A102" s="3" t="s">
        <x:v>303</x:v>
      </x:c>
      <x:c r="B102" s="3" t="s">
        <x:v>10</x:v>
      </x:c>
      <x:c r="C102" s="3" t="s">
        <x:v>304</x:v>
      </x:c>
      <x:c r="D102" s="4" t="s">
        <x:v>12</x:v>
      </x:c>
      <x:c r="E102" s="4"/>
      <x:c r="F102" s="4" t="s">
        <x:v>305</x:v>
      </x:c>
      <x:c r="G102" s="3" t="s">
        <x:v>14</x:v>
      </x:c>
    </x:row>
    <x:row r="103">
      <x:c r="A103" s="3" t="s">
        <x:v>306</x:v>
      </x:c>
      <x:c r="B103" s="3" t="s">
        <x:v>10</x:v>
      </x:c>
      <x:c r="C103" s="3" t="s">
        <x:v>307</x:v>
      </x:c>
      <x:c r="D103" s="4" t="s">
        <x:v>12</x:v>
      </x:c>
      <x:c r="E103" s="4"/>
      <x:c r="F103" s="4" t="s">
        <x:v>308</x:v>
      </x:c>
      <x:c r="G103" s="3" t="s">
        <x:v>14</x:v>
      </x:c>
    </x:row>
    <x:row r="104">
      <x:c r="A104" s="3" t="s">
        <x:v>309</x:v>
      </x:c>
      <x:c r="B104" s="3" t="s">
        <x:v>10</x:v>
      </x:c>
      <x:c r="C104" s="3" t="s">
        <x:v>310</x:v>
      </x:c>
      <x:c r="D104" s="4" t="s">
        <x:v>12</x:v>
      </x:c>
      <x:c r="E104" s="4"/>
      <x:c r="F104" s="4" t="s">
        <x:v>311</x:v>
      </x:c>
      <x:c r="G104" s="3" t="s">
        <x:v>14</x:v>
      </x:c>
    </x:row>
    <x:row r="105">
      <x:c r="A105" s="3" t="s">
        <x:v>312</x:v>
      </x:c>
      <x:c r="B105" s="3" t="s">
        <x:v>10</x:v>
      </x:c>
      <x:c r="C105" s="3" t="s">
        <x:v>313</x:v>
      </x:c>
      <x:c r="D105" s="4" t="s">
        <x:v>12</x:v>
      </x:c>
      <x:c r="E105" s="4"/>
      <x:c r="F105" s="4" t="s">
        <x:v>314</x:v>
      </x:c>
      <x:c r="G105" s="3" t="s">
        <x:v>14</x:v>
      </x:c>
    </x:row>
    <x:row r="106">
      <x:c r="A106" s="3" t="s">
        <x:v>315</x:v>
      </x:c>
      <x:c r="B106" s="3" t="s">
        <x:v>10</x:v>
      </x:c>
      <x:c r="C106" s="3" t="s">
        <x:v>316</x:v>
      </x:c>
      <x:c r="D106" s="4" t="s">
        <x:v>12</x:v>
      </x:c>
      <x:c r="E106" s="4"/>
      <x:c r="F106" s="4" t="s">
        <x:v>317</x:v>
      </x:c>
      <x:c r="G106" s="3" t="s">
        <x:v>14</x:v>
      </x:c>
    </x:row>
    <x:row r="107">
      <x:c r="A107" s="3" t="s">
        <x:v>318</x:v>
      </x:c>
      <x:c r="B107" s="3" t="s">
        <x:v>10</x:v>
      </x:c>
      <x:c r="C107" s="3" t="s">
        <x:v>319</x:v>
      </x:c>
      <x:c r="D107" s="4" t="s">
        <x:v>12</x:v>
      </x:c>
      <x:c r="E107" s="4"/>
      <x:c r="F107" s="4" t="s">
        <x:v>320</x:v>
      </x:c>
      <x:c r="G107" s="3" t="s">
        <x:v>14</x:v>
      </x:c>
    </x:row>
    <x:row r="108">
      <x:c r="A108" s="3" t="s">
        <x:v>321</x:v>
      </x:c>
      <x:c r="B108" s="3" t="s">
        <x:v>10</x:v>
      </x:c>
      <x:c r="C108" s="3" t="s">
        <x:v>322</x:v>
      </x:c>
      <x:c r="D108" s="4" t="s">
        <x:v>12</x:v>
      </x:c>
      <x:c r="E108" s="4"/>
      <x:c r="F108" s="4" t="s">
        <x:v>323</x:v>
      </x:c>
      <x:c r="G108" s="3" t="s">
        <x:v>14</x:v>
      </x:c>
    </x:row>
    <x:row r="109">
      <x:c r="A109" s="3" t="s">
        <x:v>324</x:v>
      </x:c>
      <x:c r="B109" s="3" t="s">
        <x:v>10</x:v>
      </x:c>
      <x:c r="C109" s="3" t="s">
        <x:v>325</x:v>
      </x:c>
      <x:c r="D109" s="4" t="s">
        <x:v>12</x:v>
      </x:c>
      <x:c r="E109" s="4"/>
      <x:c r="F109" s="4" t="s">
        <x:v>326</x:v>
      </x:c>
      <x:c r="G109" s="3" t="s">
        <x:v>14</x:v>
      </x:c>
    </x:row>
    <x:row r="110">
      <x:c r="A110" s="3" t="s">
        <x:v>327</x:v>
      </x:c>
      <x:c r="B110" s="3" t="s">
        <x:v>10</x:v>
      </x:c>
      <x:c r="C110" s="3" t="s">
        <x:v>328</x:v>
      </x:c>
      <x:c r="D110" s="4" t="s">
        <x:v>12</x:v>
      </x:c>
      <x:c r="E110" s="4"/>
      <x:c r="F110" s="4" t="s">
        <x:v>329</x:v>
      </x:c>
      <x:c r="G110" s="3" t="s">
        <x:v>14</x:v>
      </x:c>
    </x:row>
    <x:row r="111">
      <x:c r="A111" s="3" t="s">
        <x:v>330</x:v>
      </x:c>
      <x:c r="B111" s="3" t="s">
        <x:v>10</x:v>
      </x:c>
      <x:c r="C111" s="3" t="s">
        <x:v>331</x:v>
      </x:c>
      <x:c r="D111" s="4" t="s">
        <x:v>12</x:v>
      </x:c>
      <x:c r="E111" s="4"/>
      <x:c r="F111" s="4" t="s">
        <x:v>332</x:v>
      </x:c>
      <x:c r="G111" s="3" t="s">
        <x:v>14</x:v>
      </x:c>
    </x:row>
    <x:row r="112">
      <x:c r="A112" s="3" t="s">
        <x:v>333</x:v>
      </x:c>
      <x:c r="B112" s="3" t="s">
        <x:v>10</x:v>
      </x:c>
      <x:c r="C112" s="3" t="s">
        <x:v>334</x:v>
      </x:c>
      <x:c r="D112" s="4" t="s">
        <x:v>12</x:v>
      </x:c>
      <x:c r="E112" s="4"/>
      <x:c r="F112" s="4" t="s">
        <x:v>335</x:v>
      </x:c>
      <x:c r="G112" s="3" t="s">
        <x:v>14</x:v>
      </x:c>
    </x:row>
    <x:row r="113">
      <x:c r="A113" s="3" t="s">
        <x:v>336</x:v>
      </x:c>
      <x:c r="B113" s="3" t="s">
        <x:v>10</x:v>
      </x:c>
      <x:c r="C113" s="3" t="s">
        <x:v>337</x:v>
      </x:c>
      <x:c r="D113" s="4" t="s">
        <x:v>12</x:v>
      </x:c>
      <x:c r="E113" s="4"/>
      <x:c r="F113" s="4" t="s">
        <x:v>338</x:v>
      </x:c>
      <x:c r="G113" s="3" t="s">
        <x:v>14</x:v>
      </x:c>
    </x:row>
    <x:row r="114">
      <x:c r="A114" s="3" t="s">
        <x:v>339</x:v>
      </x:c>
      <x:c r="B114" s="3" t="s">
        <x:v>10</x:v>
      </x:c>
      <x:c r="C114" s="3" t="s">
        <x:v>340</x:v>
      </x:c>
      <x:c r="D114" s="4" t="s">
        <x:v>12</x:v>
      </x:c>
      <x:c r="E114" s="4"/>
      <x:c r="F114" s="4" t="s">
        <x:v>341</x:v>
      </x:c>
      <x:c r="G114" s="3" t="s">
        <x:v>14</x:v>
      </x:c>
    </x:row>
    <x:row r="115">
      <x:c r="A115" s="3" t="s">
        <x:v>342</x:v>
      </x:c>
      <x:c r="B115" s="3" t="s">
        <x:v>10</x:v>
      </x:c>
      <x:c r="C115" s="3" t="s">
        <x:v>343</x:v>
      </x:c>
      <x:c r="D115" s="4" t="s">
        <x:v>12</x:v>
      </x:c>
      <x:c r="E115" s="4"/>
      <x:c r="F115" s="4" t="s">
        <x:v>344</x:v>
      </x:c>
      <x:c r="G115" s="3" t="s">
        <x:v>14</x:v>
      </x:c>
    </x:row>
    <x:row r="116">
      <x:c r="A116" s="3" t="s">
        <x:v>345</x:v>
      </x:c>
      <x:c r="B116" s="3" t="s">
        <x:v>10</x:v>
      </x:c>
      <x:c r="C116" s="3" t="s">
        <x:v>346</x:v>
      </x:c>
      <x:c r="D116" s="4" t="s">
        <x:v>12</x:v>
      </x:c>
      <x:c r="E116" s="4"/>
      <x:c r="F116" s="4" t="s">
        <x:v>347</x:v>
      </x:c>
      <x:c r="G116" s="3" t="s">
        <x:v>14</x:v>
      </x:c>
    </x:row>
    <x:row r="117">
      <x:c r="A117" s="3" t="s">
        <x:v>348</x:v>
      </x:c>
      <x:c r="B117" s="3" t="s">
        <x:v>10</x:v>
      </x:c>
      <x:c r="C117" s="3" t="s">
        <x:v>349</x:v>
      </x:c>
      <x:c r="D117" s="4" t="s">
        <x:v>12</x:v>
      </x:c>
      <x:c r="E117" s="4"/>
      <x:c r="F117" s="4" t="s">
        <x:v>350</x:v>
      </x:c>
      <x:c r="G117" s="3" t="s">
        <x:v>14</x:v>
      </x:c>
    </x:row>
    <x:row r="118">
      <x:c r="A118" s="3" t="s">
        <x:v>351</x:v>
      </x:c>
      <x:c r="B118" s="3" t="s">
        <x:v>10</x:v>
      </x:c>
      <x:c r="C118" s="3" t="s">
        <x:v>352</x:v>
      </x:c>
      <x:c r="D118" s="4" t="s">
        <x:v>12</x:v>
      </x:c>
      <x:c r="E118" s="4"/>
      <x:c r="F118" s="4" t="s">
        <x:v>353</x:v>
      </x:c>
      <x:c r="G118" s="3" t="s">
        <x:v>14</x:v>
      </x:c>
    </x:row>
    <x:row r="119">
      <x:c r="A119" s="3" t="s">
        <x:v>354</x:v>
      </x:c>
      <x:c r="B119" s="3" t="s">
        <x:v>10</x:v>
      </x:c>
      <x:c r="C119" s="3" t="s">
        <x:v>355</x:v>
      </x:c>
      <x:c r="D119" s="4" t="s">
        <x:v>12</x:v>
      </x:c>
      <x:c r="E119" s="4"/>
      <x:c r="F119" s="4" t="s">
        <x:v>356</x:v>
      </x:c>
      <x:c r="G119" s="3" t="s">
        <x:v>14</x:v>
      </x:c>
    </x:row>
    <x:row r="120">
      <x:c r="A120" s="3" t="s">
        <x:v>357</x:v>
      </x:c>
      <x:c r="B120" s="3" t="s">
        <x:v>10</x:v>
      </x:c>
      <x:c r="C120" s="3" t="s">
        <x:v>358</x:v>
      </x:c>
      <x:c r="D120" s="4" t="s">
        <x:v>12</x:v>
      </x:c>
      <x:c r="E120" s="4"/>
      <x:c r="F120" s="4" t="s">
        <x:v>359</x:v>
      </x:c>
      <x:c r="G120" s="3" t="s">
        <x:v>14</x:v>
      </x:c>
    </x:row>
    <x:row r="121">
      <x:c r="A121" s="3" t="s">
        <x:v>360</x:v>
      </x:c>
      <x:c r="B121" s="3" t="s">
        <x:v>10</x:v>
      </x:c>
      <x:c r="C121" s="3" t="s">
        <x:v>361</x:v>
      </x:c>
      <x:c r="D121" s="4" t="s">
        <x:v>12</x:v>
      </x:c>
      <x:c r="E121" s="4"/>
      <x:c r="F121" s="4" t="s">
        <x:v>362</x:v>
      </x:c>
      <x:c r="G121" s="3" t="s">
        <x:v>14</x:v>
      </x:c>
    </x:row>
    <x:row r="122">
      <x:c r="A122" s="3" t="s">
        <x:v>363</x:v>
      </x:c>
      <x:c r="B122" s="3" t="s">
        <x:v>10</x:v>
      </x:c>
      <x:c r="C122" s="3" t="s">
        <x:v>364</x:v>
      </x:c>
      <x:c r="D122" s="4" t="s">
        <x:v>12</x:v>
      </x:c>
      <x:c r="E122" s="4"/>
      <x:c r="F122" s="4" t="s">
        <x:v>365</x:v>
      </x:c>
      <x:c r="G122" s="3" t="s">
        <x:v>14</x:v>
      </x:c>
    </x:row>
    <x:row r="123">
      <x:c r="A123" s="3" t="s">
        <x:v>366</x:v>
      </x:c>
      <x:c r="B123" s="3" t="s">
        <x:v>10</x:v>
      </x:c>
      <x:c r="C123" s="3" t="s">
        <x:v>367</x:v>
      </x:c>
      <x:c r="D123" s="4" t="s">
        <x:v>12</x:v>
      </x:c>
      <x:c r="E123" s="4"/>
      <x:c r="F123" s="4" t="s">
        <x:v>368</x:v>
      </x:c>
      <x:c r="G123" s="3" t="s">
        <x:v>14</x:v>
      </x:c>
    </x:row>
    <x:row r="124">
      <x:c r="A124" s="3" t="s">
        <x:v>369</x:v>
      </x:c>
      <x:c r="B124" s="3" t="s">
        <x:v>10</x:v>
      </x:c>
      <x:c r="C124" s="3" t="s">
        <x:v>370</x:v>
      </x:c>
      <x:c r="D124" s="4" t="s">
        <x:v>12</x:v>
      </x:c>
      <x:c r="E124" s="4"/>
      <x:c r="F124" s="4" t="s">
        <x:v>371</x:v>
      </x:c>
      <x:c r="G124" s="3" t="s">
        <x:v>14</x:v>
      </x:c>
    </x:row>
    <x:row r="125">
      <x:c r="A125" s="3" t="s">
        <x:v>372</x:v>
      </x:c>
      <x:c r="B125" s="3" t="s">
        <x:v>10</x:v>
      </x:c>
      <x:c r="C125" s="3" t="s">
        <x:v>373</x:v>
      </x:c>
      <x:c r="D125" s="4" t="s">
        <x:v>12</x:v>
      </x:c>
      <x:c r="E125" s="4"/>
      <x:c r="F125" s="4" t="s">
        <x:v>374</x:v>
      </x:c>
      <x:c r="G125" s="3" t="s">
        <x:v>14</x:v>
      </x:c>
    </x:row>
    <x:row r="126">
      <x:c r="A126" s="3" t="s">
        <x:v>375</x:v>
      </x:c>
      <x:c r="B126" s="3" t="s">
        <x:v>10</x:v>
      </x:c>
      <x:c r="C126" s="3" t="s">
        <x:v>376</x:v>
      </x:c>
      <x:c r="D126" s="4" t="s">
        <x:v>12</x:v>
      </x:c>
      <x:c r="E126" s="4"/>
      <x:c r="F126" s="4" t="s">
        <x:v>377</x:v>
      </x:c>
      <x:c r="G126" s="3" t="s">
        <x:v>14</x:v>
      </x:c>
    </x:row>
    <x:row r="127">
      <x:c r="A127" s="3" t="s">
        <x:v>378</x:v>
      </x:c>
      <x:c r="B127" s="3" t="s">
        <x:v>10</x:v>
      </x:c>
      <x:c r="C127" s="3" t="s">
        <x:v>379</x:v>
      </x:c>
      <x:c r="D127" s="4" t="s">
        <x:v>12</x:v>
      </x:c>
      <x:c r="E127" s="4"/>
      <x:c r="F127" s="4" t="s">
        <x:v>380</x:v>
      </x:c>
      <x:c r="G127" s="3" t="s">
        <x:v>14</x:v>
      </x:c>
    </x:row>
    <x:row r="128">
      <x:c r="A128" s="3" t="s">
        <x:v>381</x:v>
      </x:c>
      <x:c r="B128" s="3" t="s">
        <x:v>10</x:v>
      </x:c>
      <x:c r="C128" s="3" t="s">
        <x:v>382</x:v>
      </x:c>
      <x:c r="D128" s="4" t="s">
        <x:v>12</x:v>
      </x:c>
      <x:c r="E128" s="4"/>
      <x:c r="F128" s="4" t="s">
        <x:v>383</x:v>
      </x:c>
      <x:c r="G128" s="3" t="s">
        <x:v>14</x:v>
      </x:c>
    </x:row>
    <x:row r="129">
      <x:c r="A129" s="3" t="s">
        <x:v>384</x:v>
      </x:c>
      <x:c r="B129" s="3" t="s">
        <x:v>10</x:v>
      </x:c>
      <x:c r="C129" s="3" t="s">
        <x:v>385</x:v>
      </x:c>
      <x:c r="D129" s="4" t="s">
        <x:v>12</x:v>
      </x:c>
      <x:c r="E129" s="4"/>
      <x:c r="F129" s="4" t="s">
        <x:v>386</x:v>
      </x:c>
      <x:c r="G129" s="3" t="s">
        <x:v>14</x:v>
      </x:c>
    </x:row>
    <x:row r="130">
      <x:c r="A130" s="3" t="s">
        <x:v>387</x:v>
      </x:c>
      <x:c r="B130" s="3" t="s">
        <x:v>10</x:v>
      </x:c>
      <x:c r="C130" s="3" t="s">
        <x:v>388</x:v>
      </x:c>
      <x:c r="D130" s="4" t="s">
        <x:v>12</x:v>
      </x:c>
      <x:c r="E130" s="4"/>
      <x:c r="F130" s="4" t="s">
        <x:v>389</x:v>
      </x:c>
      <x:c r="G130" s="3" t="s">
        <x:v>14</x:v>
      </x:c>
    </x:row>
    <x:row r="131">
      <x:c r="A131" s="3" t="s">
        <x:v>390</x:v>
      </x:c>
      <x:c r="B131" s="3" t="s">
        <x:v>10</x:v>
      </x:c>
      <x:c r="C131" s="3" t="s">
        <x:v>391</x:v>
      </x:c>
      <x:c r="D131" s="4" t="s">
        <x:v>12</x:v>
      </x:c>
      <x:c r="E131" s="4"/>
      <x:c r="F131" s="4" t="s">
        <x:v>392</x:v>
      </x:c>
      <x:c r="G131" s="3" t="s">
        <x:v>14</x:v>
      </x:c>
    </x:row>
    <x:row r="132">
      <x:c r="A132" s="3" t="s">
        <x:v>393</x:v>
      </x:c>
      <x:c r="B132" s="3" t="s">
        <x:v>10</x:v>
      </x:c>
      <x:c r="C132" s="3" t="s">
        <x:v>394</x:v>
      </x:c>
      <x:c r="D132" s="4" t="s">
        <x:v>12</x:v>
      </x:c>
      <x:c r="E132" s="4"/>
      <x:c r="F132" s="4" t="s">
        <x:v>395</x:v>
      </x:c>
      <x:c r="G132" s="3" t="s">
        <x:v>14</x:v>
      </x:c>
    </x:row>
    <x:row r="133">
      <x:c r="A133" s="3" t="s">
        <x:v>396</x:v>
      </x:c>
      <x:c r="B133" s="3" t="s">
        <x:v>10</x:v>
      </x:c>
      <x:c r="C133" s="3" t="s">
        <x:v>397</x:v>
      </x:c>
      <x:c r="D133" s="4" t="s">
        <x:v>12</x:v>
      </x:c>
      <x:c r="E133" s="4"/>
      <x:c r="F133" s="4" t="s">
        <x:v>398</x:v>
      </x:c>
      <x:c r="G133" s="3" t="s">
        <x:v>14</x:v>
      </x:c>
    </x:row>
    <x:row r="134">
      <x:c r="A134" s="3" t="s">
        <x:v>399</x:v>
      </x:c>
      <x:c r="B134" s="3" t="s">
        <x:v>10</x:v>
      </x:c>
      <x:c r="C134" s="3" t="s">
        <x:v>400</x:v>
      </x:c>
      <x:c r="D134" s="4" t="s">
        <x:v>12</x:v>
      </x:c>
      <x:c r="E134" s="4"/>
      <x:c r="F134" s="4" t="s">
        <x:v>401</x:v>
      </x:c>
      <x:c r="G134" s="3" t="s">
        <x:v>14</x:v>
      </x:c>
    </x:row>
    <x:row r="135">
      <x:c r="A135" s="3" t="s">
        <x:v>402</x:v>
      </x:c>
      <x:c r="B135" s="3" t="s">
        <x:v>10</x:v>
      </x:c>
      <x:c r="C135" s="3" t="s">
        <x:v>403</x:v>
      </x:c>
      <x:c r="D135" s="4" t="s">
        <x:v>12</x:v>
      </x:c>
      <x:c r="E135" s="4"/>
      <x:c r="F135" s="4" t="s">
        <x:v>404</x:v>
      </x:c>
      <x:c r="G135" s="3" t="s">
        <x:v>14</x:v>
      </x:c>
    </x:row>
    <x:row r="136">
      <x:c r="A136" s="3" t="s">
        <x:v>405</x:v>
      </x:c>
      <x:c r="B136" s="3" t="s">
        <x:v>10</x:v>
      </x:c>
      <x:c r="C136" s="3" t="s">
        <x:v>406</x:v>
      </x:c>
      <x:c r="D136" s="4" t="s">
        <x:v>12</x:v>
      </x:c>
      <x:c r="E136" s="4"/>
      <x:c r="F136" s="4" t="s">
        <x:v>407</x:v>
      </x:c>
      <x:c r="G136" s="3" t="s">
        <x:v>14</x:v>
      </x:c>
    </x:row>
    <x:row r="137">
      <x:c r="A137" s="3" t="s">
        <x:v>408</x:v>
      </x:c>
      <x:c r="B137" s="3" t="s">
        <x:v>10</x:v>
      </x:c>
      <x:c r="C137" s="3" t="s">
        <x:v>409</x:v>
      </x:c>
      <x:c r="D137" s="4" t="s">
        <x:v>12</x:v>
      </x:c>
      <x:c r="E137" s="4"/>
      <x:c r="F137" s="4" t="s">
        <x:v>410</x:v>
      </x:c>
      <x:c r="G137" s="3" t="s">
        <x:v>14</x:v>
      </x:c>
    </x:row>
    <x:row r="138">
      <x:c r="A138" s="3" t="s">
        <x:v>411</x:v>
      </x:c>
      <x:c r="B138" s="3" t="s">
        <x:v>10</x:v>
      </x:c>
      <x:c r="C138" s="3" t="s">
        <x:v>412</x:v>
      </x:c>
      <x:c r="D138" s="4" t="s">
        <x:v>12</x:v>
      </x:c>
      <x:c r="E138" s="4"/>
      <x:c r="F138" s="4" t="s">
        <x:v>413</x:v>
      </x:c>
      <x:c r="G138" s="3" t="s">
        <x:v>14</x:v>
      </x:c>
    </x:row>
    <x:row r="139">
      <x:c r="A139" s="3" t="s">
        <x:v>414</x:v>
      </x:c>
      <x:c r="B139" s="3" t="s">
        <x:v>10</x:v>
      </x:c>
      <x:c r="C139" s="3" t="s">
        <x:v>415</x:v>
      </x:c>
      <x:c r="D139" s="4" t="s">
        <x:v>12</x:v>
      </x:c>
      <x:c r="E139" s="4"/>
      <x:c r="F139" s="4" t="s">
        <x:v>416</x:v>
      </x:c>
      <x:c r="G139" s="3" t="s">
        <x:v>14</x:v>
      </x:c>
    </x:row>
    <x:row r="140">
      <x:c r="A140" s="3" t="s">
        <x:v>417</x:v>
      </x:c>
      <x:c r="B140" s="3" t="s">
        <x:v>10</x:v>
      </x:c>
      <x:c r="C140" s="3" t="s">
        <x:v>418</x:v>
      </x:c>
      <x:c r="D140" s="4" t="s">
        <x:v>12</x:v>
      </x:c>
      <x:c r="E140" s="4"/>
      <x:c r="F140" s="4" t="s">
        <x:v>419</x:v>
      </x:c>
      <x:c r="G140" s="3" t="s">
        <x:v>14</x:v>
      </x:c>
    </x:row>
    <x:row r="141">
      <x:c r="A141" s="3" t="s">
        <x:v>420</x:v>
      </x:c>
      <x:c r="B141" s="3" t="s">
        <x:v>10</x:v>
      </x:c>
      <x:c r="C141" s="3" t="s">
        <x:v>421</x:v>
      </x:c>
      <x:c r="D141" s="4" t="s">
        <x:v>12</x:v>
      </x:c>
      <x:c r="E141" s="4"/>
      <x:c r="F141" s="4" t="s">
        <x:v>422</x:v>
      </x:c>
      <x:c r="G141" s="3" t="s">
        <x:v>14</x:v>
      </x:c>
    </x:row>
    <x:row r="142">
      <x:c r="A142" s="3" t="s">
        <x:v>423</x:v>
      </x:c>
      <x:c r="B142" s="3" t="s">
        <x:v>10</x:v>
      </x:c>
      <x:c r="C142" s="3" t="s">
        <x:v>424</x:v>
      </x:c>
      <x:c r="D142" s="4" t="s">
        <x:v>12</x:v>
      </x:c>
      <x:c r="E142" s="4"/>
      <x:c r="F142" s="4" t="s">
        <x:v>425</x:v>
      </x:c>
      <x:c r="G142" s="3" t="s">
        <x:v>14</x:v>
      </x:c>
    </x:row>
    <x:row r="143">
      <x:c r="A143" s="3" t="s">
        <x:v>426</x:v>
      </x:c>
      <x:c r="B143" s="3" t="s">
        <x:v>10</x:v>
      </x:c>
      <x:c r="C143" s="3" t="s">
        <x:v>427</x:v>
      </x:c>
      <x:c r="D143" s="4" t="s">
        <x:v>12</x:v>
      </x:c>
      <x:c r="E143" s="4"/>
      <x:c r="F143" s="4" t="s">
        <x:v>428</x:v>
      </x:c>
      <x:c r="G143" s="3" t="s">
        <x:v>14</x:v>
      </x:c>
    </x:row>
    <x:row r="144">
      <x:c r="A144" s="3" t="s">
        <x:v>429</x:v>
      </x:c>
      <x:c r="B144" s="3" t="s">
        <x:v>10</x:v>
      </x:c>
      <x:c r="C144" s="3" t="s">
        <x:v>430</x:v>
      </x:c>
      <x:c r="D144" s="4" t="s">
        <x:v>12</x:v>
      </x:c>
      <x:c r="E144" s="4"/>
      <x:c r="F144" s="4" t="s">
        <x:v>431</x:v>
      </x:c>
      <x:c r="G144" s="3" t="s">
        <x:v>14</x:v>
      </x:c>
    </x:row>
    <x:row r="145">
      <x:c r="A145" s="3" t="s">
        <x:v>432</x:v>
      </x:c>
      <x:c r="B145" s="3" t="s">
        <x:v>10</x:v>
      </x:c>
      <x:c r="C145" s="3" t="s">
        <x:v>433</x:v>
      </x:c>
      <x:c r="D145" s="4" t="s">
        <x:v>12</x:v>
      </x:c>
      <x:c r="E145" s="4"/>
      <x:c r="F145" s="4" t="s">
        <x:v>434</x:v>
      </x:c>
      <x:c r="G145" s="3" t="s">
        <x:v>14</x:v>
      </x:c>
    </x:row>
    <x:row r="146">
      <x:c r="A146" s="3" t="s">
        <x:v>435</x:v>
      </x:c>
      <x:c r="B146" s="3" t="s">
        <x:v>10</x:v>
      </x:c>
      <x:c r="C146" s="3" t="s">
        <x:v>436</x:v>
      </x:c>
      <x:c r="D146" s="4" t="s">
        <x:v>12</x:v>
      </x:c>
      <x:c r="E146" s="4"/>
      <x:c r="F146" s="4" t="s">
        <x:v>437</x:v>
      </x:c>
      <x:c r="G146" s="3" t="s">
        <x:v>14</x:v>
      </x:c>
    </x:row>
    <x:row r="147">
      <x:c r="A147" s="3" t="s">
        <x:v>438</x:v>
      </x:c>
      <x:c r="B147" s="3" t="s">
        <x:v>10</x:v>
      </x:c>
      <x:c r="C147" s="3" t="s">
        <x:v>439</x:v>
      </x:c>
      <x:c r="D147" s="4" t="s">
        <x:v>12</x:v>
      </x:c>
      <x:c r="E147" s="4"/>
      <x:c r="F147" s="4" t="s">
        <x:v>440</x:v>
      </x:c>
      <x:c r="G147" s="3" t="s">
        <x:v>14</x:v>
      </x:c>
    </x:row>
    <x:row r="148">
      <x:c r="A148" s="3" t="s">
        <x:v>441</x:v>
      </x:c>
      <x:c r="B148" s="3" t="s">
        <x:v>10</x:v>
      </x:c>
      <x:c r="C148" s="3" t="s">
        <x:v>442</x:v>
      </x:c>
      <x:c r="D148" s="4" t="s">
        <x:v>12</x:v>
      </x:c>
      <x:c r="E148" s="4"/>
      <x:c r="F148" s="4" t="s">
        <x:v>443</x:v>
      </x:c>
      <x:c r="G148" s="3" t="s">
        <x:v>14</x:v>
      </x:c>
    </x:row>
    <x:row r="149">
      <x:c r="A149" s="3" t="s">
        <x:v>444</x:v>
      </x:c>
      <x:c r="B149" s="3" t="s">
        <x:v>10</x:v>
      </x:c>
      <x:c r="C149" s="3" t="s">
        <x:v>445</x:v>
      </x:c>
      <x:c r="D149" s="4" t="s">
        <x:v>12</x:v>
      </x:c>
      <x:c r="E149" s="4"/>
      <x:c r="F149" s="4" t="s">
        <x:v>446</x:v>
      </x:c>
      <x:c r="G149" s="3" t="s">
        <x:v>14</x:v>
      </x:c>
    </x:row>
    <x:row r="150">
      <x:c r="A150" s="3" t="s">
        <x:v>447</x:v>
      </x:c>
      <x:c r="B150" s="3" t="s">
        <x:v>10</x:v>
      </x:c>
      <x:c r="C150" s="3" t="s">
        <x:v>448</x:v>
      </x:c>
      <x:c r="D150" s="4" t="s">
        <x:v>12</x:v>
      </x:c>
      <x:c r="E150" s="4"/>
      <x:c r="F150" s="4" t="s">
        <x:v>449</x:v>
      </x:c>
      <x:c r="G150" s="3" t="s">
        <x:v>14</x:v>
      </x:c>
    </x:row>
    <x:row r="151">
      <x:c r="A151" s="3" t="s">
        <x:v>450</x:v>
      </x:c>
      <x:c r="B151" s="3" t="s">
        <x:v>10</x:v>
      </x:c>
      <x:c r="C151" s="3" t="s">
        <x:v>451</x:v>
      </x:c>
      <x:c r="D151" s="4" t="s">
        <x:v>12</x:v>
      </x:c>
      <x:c r="E151" s="4"/>
      <x:c r="F151" s="4" t="s">
        <x:v>452</x:v>
      </x:c>
      <x:c r="G151" s="3" t="s">
        <x:v>14</x:v>
      </x:c>
    </x:row>
    <x:row r="152">
      <x:c r="A152" s="3" t="s">
        <x:v>453</x:v>
      </x:c>
      <x:c r="B152" s="3" t="s">
        <x:v>10</x:v>
      </x:c>
      <x:c r="C152" s="3" t="s">
        <x:v>454</x:v>
      </x:c>
      <x:c r="D152" s="4" t="s">
        <x:v>12</x:v>
      </x:c>
      <x:c r="E152" s="4"/>
      <x:c r="F152" s="4" t="s">
        <x:v>455</x:v>
      </x:c>
      <x:c r="G152" s="3" t="s">
        <x:v>14</x:v>
      </x:c>
    </x:row>
    <x:row r="153">
      <x:c r="A153" s="3" t="s">
        <x:v>456</x:v>
      </x:c>
      <x:c r="B153" s="3" t="s">
        <x:v>10</x:v>
      </x:c>
      <x:c r="C153" s="3" t="s">
        <x:v>457</x:v>
      </x:c>
      <x:c r="D153" s="4" t="s">
        <x:v>12</x:v>
      </x:c>
      <x:c r="E153" s="4"/>
      <x:c r="F153" s="4" t="s">
        <x:v>458</x:v>
      </x:c>
      <x:c r="G153" s="3" t="s">
        <x:v>14</x:v>
      </x:c>
    </x:row>
    <x:row r="154">
      <x:c r="A154" s="3" t="s">
        <x:v>459</x:v>
      </x:c>
      <x:c r="B154" s="3" t="s">
        <x:v>10</x:v>
      </x:c>
      <x:c r="C154" s="3" t="s">
        <x:v>460</x:v>
      </x:c>
      <x:c r="D154" s="4" t="s">
        <x:v>12</x:v>
      </x:c>
      <x:c r="E154" s="4"/>
      <x:c r="F154" s="4" t="s">
        <x:v>461</x:v>
      </x:c>
      <x:c r="G154" s="3" t="s">
        <x:v>14</x:v>
      </x:c>
    </x:row>
    <x:row r="155">
      <x:c r="A155" s="3" t="s">
        <x:v>462</x:v>
      </x:c>
      <x:c r="B155" s="3" t="s">
        <x:v>10</x:v>
      </x:c>
      <x:c r="C155" s="3" t="s">
        <x:v>463</x:v>
      </x:c>
      <x:c r="D155" s="4" t="s">
        <x:v>12</x:v>
      </x:c>
      <x:c r="E155" s="4"/>
      <x:c r="F155" s="4" t="s">
        <x:v>464</x:v>
      </x:c>
      <x:c r="G155" s="3" t="s">
        <x:v>14</x:v>
      </x:c>
    </x:row>
    <x:row r="156">
      <x:c r="A156" s="3" t="s">
        <x:v>465</x:v>
      </x:c>
      <x:c r="B156" s="3" t="s">
        <x:v>10</x:v>
      </x:c>
      <x:c r="C156" s="3" t="s">
        <x:v>466</x:v>
      </x:c>
      <x:c r="D156" s="4" t="s">
        <x:v>12</x:v>
      </x:c>
      <x:c r="E156" s="4"/>
      <x:c r="F156" s="4" t="s">
        <x:v>467</x:v>
      </x:c>
      <x:c r="G156" s="3" t="s">
        <x:v>14</x:v>
      </x:c>
    </x:row>
    <x:row r="157">
      <x:c r="A157" s="3" t="s">
        <x:v>468</x:v>
      </x:c>
      <x:c r="B157" s="3" t="s">
        <x:v>10</x:v>
      </x:c>
      <x:c r="C157" s="3" t="s">
        <x:v>469</x:v>
      </x:c>
      <x:c r="D157" s="4" t="s">
        <x:v>12</x:v>
      </x:c>
      <x:c r="E157" s="4"/>
      <x:c r="F157" s="4" t="s">
        <x:v>470</x:v>
      </x:c>
      <x:c r="G157" s="3" t="s">
        <x:v>14</x:v>
      </x:c>
    </x:row>
    <x:row r="158">
      <x:c r="A158" s="3" t="s">
        <x:v>471</x:v>
      </x:c>
      <x:c r="B158" s="3" t="s">
        <x:v>10</x:v>
      </x:c>
      <x:c r="C158" s="3" t="s">
        <x:v>472</x:v>
      </x:c>
      <x:c r="D158" s="4" t="s">
        <x:v>12</x:v>
      </x:c>
      <x:c r="E158" s="4"/>
      <x:c r="F158" s="4" t="s">
        <x:v>473</x:v>
      </x:c>
      <x:c r="G158" s="3" t="s">
        <x:v>14</x:v>
      </x:c>
    </x:row>
    <x:row r="159">
      <x:c r="A159" s="3" t="s">
        <x:v>474</x:v>
      </x:c>
      <x:c r="B159" s="3" t="s">
        <x:v>10</x:v>
      </x:c>
      <x:c r="C159" s="3" t="s">
        <x:v>475</x:v>
      </x:c>
      <x:c r="D159" s="4" t="s">
        <x:v>12</x:v>
      </x:c>
      <x:c r="E159" s="4"/>
      <x:c r="F159" s="4" t="s">
        <x:v>476</x:v>
      </x:c>
      <x:c r="G159" s="3" t="s">
        <x:v>14</x:v>
      </x:c>
    </x:row>
    <x:row r="160">
      <x:c r="A160" s="3" t="s">
        <x:v>477</x:v>
      </x:c>
      <x:c r="B160" s="3" t="s">
        <x:v>10</x:v>
      </x:c>
      <x:c r="C160" s="3" t="s">
        <x:v>478</x:v>
      </x:c>
      <x:c r="D160" s="4" t="s">
        <x:v>12</x:v>
      </x:c>
      <x:c r="E160" s="4"/>
      <x:c r="F160" s="4" t="s">
        <x:v>479</x:v>
      </x:c>
      <x:c r="G160" s="3" t="s">
        <x:v>14</x:v>
      </x:c>
    </x:row>
    <x:row r="161">
      <x:c r="A161" s="3" t="s">
        <x:v>480</x:v>
      </x:c>
      <x:c r="B161" s="3" t="s">
        <x:v>10</x:v>
      </x:c>
      <x:c r="C161" s="3" t="s">
        <x:v>481</x:v>
      </x:c>
      <x:c r="D161" s="4" t="s">
        <x:v>12</x:v>
      </x:c>
      <x:c r="E161" s="4"/>
      <x:c r="F161" s="4" t="s">
        <x:v>482</x:v>
      </x:c>
      <x:c r="G161" s="3" t="s">
        <x:v>14</x:v>
      </x:c>
    </x:row>
    <x:row r="162">
      <x:c r="A162" s="3" t="s">
        <x:v>483</x:v>
      </x:c>
      <x:c r="B162" s="3" t="s">
        <x:v>10</x:v>
      </x:c>
      <x:c r="C162" s="3" t="s">
        <x:v>484</x:v>
      </x:c>
      <x:c r="D162" s="4" t="s">
        <x:v>12</x:v>
      </x:c>
      <x:c r="E162" s="4"/>
      <x:c r="F162" s="4" t="s">
        <x:v>485</x:v>
      </x:c>
      <x:c r="G162" s="3" t="s">
        <x:v>14</x:v>
      </x:c>
    </x:row>
    <x:row r="163">
      <x:c r="A163" s="3" t="s">
        <x:v>486</x:v>
      </x:c>
      <x:c r="B163" s="3" t="s">
        <x:v>10</x:v>
      </x:c>
      <x:c r="C163" s="3" t="s">
        <x:v>487</x:v>
      </x:c>
      <x:c r="D163" s="4" t="s">
        <x:v>12</x:v>
      </x:c>
      <x:c r="E163" s="4"/>
      <x:c r="F163" s="4" t="s">
        <x:v>488</x:v>
      </x:c>
      <x:c r="G163" s="3" t="s">
        <x:v>14</x:v>
      </x:c>
    </x:row>
    <x:row r="164">
      <x:c r="A164" s="3" t="s">
        <x:v>489</x:v>
      </x:c>
      <x:c r="B164" s="3" t="s">
        <x:v>10</x:v>
      </x:c>
      <x:c r="C164" s="3" t="s">
        <x:v>490</x:v>
      </x:c>
      <x:c r="D164" s="4" t="s">
        <x:v>12</x:v>
      </x:c>
      <x:c r="E164" s="4"/>
      <x:c r="F164" s="4" t="s">
        <x:v>491</x:v>
      </x:c>
      <x:c r="G164" s="3" t="s">
        <x:v>14</x:v>
      </x:c>
    </x:row>
    <x:row r="165">
      <x:c r="A165" s="3" t="s">
        <x:v>492</x:v>
      </x:c>
      <x:c r="B165" s="3" t="s">
        <x:v>10</x:v>
      </x:c>
      <x:c r="C165" s="3" t="s">
        <x:v>493</x:v>
      </x:c>
      <x:c r="D165" s="4" t="s">
        <x:v>12</x:v>
      </x:c>
      <x:c r="E165" s="4"/>
      <x:c r="F165" s="4" t="s">
        <x:v>494</x:v>
      </x:c>
      <x:c r="G165" s="3" t="s">
        <x:v>14</x:v>
      </x:c>
    </x:row>
    <x:row r="166">
      <x:c r="A166" s="3" t="s">
        <x:v>495</x:v>
      </x:c>
      <x:c r="B166" s="3" t="s">
        <x:v>10</x:v>
      </x:c>
      <x:c r="C166" s="3" t="s">
        <x:v>496</x:v>
      </x:c>
      <x:c r="D166" s="4" t="s">
        <x:v>12</x:v>
      </x:c>
      <x:c r="E166" s="4"/>
      <x:c r="F166" s="4" t="s">
        <x:v>497</x:v>
      </x:c>
      <x:c r="G166" s="3" t="s">
        <x:v>14</x:v>
      </x:c>
    </x:row>
    <x:row r="167">
      <x:c r="A167" s="3" t="s">
        <x:v>498</x:v>
      </x:c>
      <x:c r="B167" s="3" t="s">
        <x:v>10</x:v>
      </x:c>
      <x:c r="C167" s="3" t="s">
        <x:v>499</x:v>
      </x:c>
      <x:c r="D167" s="4" t="s">
        <x:v>12</x:v>
      </x:c>
      <x:c r="E167" s="4"/>
      <x:c r="F167" s="4" t="s">
        <x:v>500</x:v>
      </x:c>
      <x:c r="G167" s="3" t="s">
        <x:v>14</x:v>
      </x:c>
    </x:row>
    <x:row r="168">
      <x:c r="A168" s="3" t="s">
        <x:v>501</x:v>
      </x:c>
      <x:c r="B168" s="3" t="s">
        <x:v>10</x:v>
      </x:c>
      <x:c r="C168" s="3" t="s">
        <x:v>502</x:v>
      </x:c>
      <x:c r="D168" s="4" t="s">
        <x:v>12</x:v>
      </x:c>
      <x:c r="E168" s="4"/>
      <x:c r="F168" s="4" t="s">
        <x:v>503</x:v>
      </x:c>
      <x:c r="G168" s="3" t="s">
        <x:v>14</x:v>
      </x:c>
    </x:row>
    <x:row r="169">
      <x:c r="A169" s="3" t="s">
        <x:v>504</x:v>
      </x:c>
      <x:c r="B169" s="3" t="s">
        <x:v>10</x:v>
      </x:c>
      <x:c r="C169" s="3" t="s">
        <x:v>505</x:v>
      </x:c>
      <x:c r="D169" s="4" t="s">
        <x:v>12</x:v>
      </x:c>
      <x:c r="E169" s="4"/>
      <x:c r="F169" s="4" t="s">
        <x:v>506</x:v>
      </x:c>
      <x:c r="G169" s="3" t="s">
        <x:v>14</x:v>
      </x:c>
    </x:row>
    <x:row r="170">
      <x:c r="A170" s="3" t="s">
        <x:v>507</x:v>
      </x:c>
      <x:c r="B170" s="3" t="s">
        <x:v>10</x:v>
      </x:c>
      <x:c r="C170" s="3" t="s">
        <x:v>508</x:v>
      </x:c>
      <x:c r="D170" s="4" t="s">
        <x:v>12</x:v>
      </x:c>
      <x:c r="E170" s="4"/>
      <x:c r="F170" s="4" t="s">
        <x:v>509</x:v>
      </x:c>
      <x:c r="G170" s="3" t="s">
        <x:v>14</x:v>
      </x:c>
    </x:row>
    <x:row r="171">
      <x:c r="A171" s="3" t="s">
        <x:v>510</x:v>
      </x:c>
      <x:c r="B171" s="3" t="s">
        <x:v>10</x:v>
      </x:c>
      <x:c r="C171" s="3" t="s">
        <x:v>511</x:v>
      </x:c>
      <x:c r="D171" s="4" t="s">
        <x:v>12</x:v>
      </x:c>
      <x:c r="E171" s="4"/>
      <x:c r="F171" s="4" t="s">
        <x:v>512</x:v>
      </x:c>
      <x:c r="G171" s="3" t="s">
        <x:v>14</x:v>
      </x:c>
    </x:row>
    <x:row r="172">
      <x:c r="A172" s="3" t="s">
        <x:v>513</x:v>
      </x:c>
      <x:c r="B172" s="3" t="s">
        <x:v>10</x:v>
      </x:c>
      <x:c r="C172" s="3" t="s">
        <x:v>514</x:v>
      </x:c>
      <x:c r="D172" s="4" t="s">
        <x:v>12</x:v>
      </x:c>
      <x:c r="E172" s="4"/>
      <x:c r="F172" s="4" t="s">
        <x:v>515</x:v>
      </x:c>
      <x:c r="G172" s="3" t="s">
        <x:v>14</x:v>
      </x:c>
    </x:row>
    <x:row r="173">
      <x:c r="A173" s="3" t="s">
        <x:v>516</x:v>
      </x:c>
      <x:c r="B173" s="3" t="s">
        <x:v>10</x:v>
      </x:c>
      <x:c r="C173" s="3" t="s">
        <x:v>517</x:v>
      </x:c>
      <x:c r="D173" s="4" t="s">
        <x:v>12</x:v>
      </x:c>
      <x:c r="E173" s="4"/>
      <x:c r="F173" s="4" t="s">
        <x:v>518</x:v>
      </x:c>
      <x:c r="G173" s="3" t="s">
        <x:v>14</x:v>
      </x:c>
    </x:row>
    <x:row r="174">
      <x:c r="A174" s="3" t="s">
        <x:v>519</x:v>
      </x:c>
      <x:c r="B174" s="3" t="s">
        <x:v>10</x:v>
      </x:c>
      <x:c r="C174" s="3" t="s">
        <x:v>520</x:v>
      </x:c>
      <x:c r="D174" s="4" t="s">
        <x:v>12</x:v>
      </x:c>
      <x:c r="E174" s="4"/>
      <x:c r="F174" s="4" t="s">
        <x:v>521</x:v>
      </x:c>
      <x:c r="G174" s="3" t="s">
        <x:v>14</x:v>
      </x:c>
    </x:row>
    <x:row r="175">
      <x:c r="A175" s="3" t="s">
        <x:v>522</x:v>
      </x:c>
      <x:c r="B175" s="3" t="s">
        <x:v>10</x:v>
      </x:c>
      <x:c r="C175" s="3" t="s">
        <x:v>523</x:v>
      </x:c>
      <x:c r="D175" s="4" t="s">
        <x:v>12</x:v>
      </x:c>
      <x:c r="E175" s="4"/>
      <x:c r="F175" s="4" t="s">
        <x:v>524</x:v>
      </x:c>
      <x:c r="G175" s="3" t="s">
        <x:v>14</x:v>
      </x:c>
    </x:row>
    <x:row r="176">
      <x:c r="A176" s="3" t="s">
        <x:v>525</x:v>
      </x:c>
      <x:c r="B176" s="3" t="s">
        <x:v>10</x:v>
      </x:c>
      <x:c r="C176" s="3" t="s">
        <x:v>526</x:v>
      </x:c>
      <x:c r="D176" s="4" t="s">
        <x:v>12</x:v>
      </x:c>
      <x:c r="E176" s="4"/>
      <x:c r="F176" s="4" t="s">
        <x:v>527</x:v>
      </x:c>
      <x:c r="G176" s="3" t="s">
        <x:v>14</x:v>
      </x:c>
    </x:row>
    <x:row r="177">
      <x:c r="A177" s="3" t="s">
        <x:v>528</x:v>
      </x:c>
      <x:c r="B177" s="3" t="s">
        <x:v>10</x:v>
      </x:c>
      <x:c r="C177" s="3" t="s">
        <x:v>529</x:v>
      </x:c>
      <x:c r="D177" s="4" t="s">
        <x:v>12</x:v>
      </x:c>
      <x:c r="E177" s="4"/>
      <x:c r="F177" s="4" t="s">
        <x:v>530</x:v>
      </x:c>
      <x:c r="G177" s="3" t="s">
        <x:v>14</x:v>
      </x:c>
    </x:row>
    <x:row r="178">
      <x:c r="A178" s="3" t="s">
        <x:v>531</x:v>
      </x:c>
      <x:c r="B178" s="3" t="s">
        <x:v>10</x:v>
      </x:c>
      <x:c r="C178" s="3" t="s">
        <x:v>532</x:v>
      </x:c>
      <x:c r="D178" s="4" t="s">
        <x:v>12</x:v>
      </x:c>
      <x:c r="E178" s="4"/>
      <x:c r="F178" s="4" t="s">
        <x:v>533</x:v>
      </x:c>
      <x:c r="G178" s="3" t="s">
        <x:v>14</x:v>
      </x:c>
    </x:row>
    <x:row r="179">
      <x:c r="A179" s="3" t="s">
        <x:v>534</x:v>
      </x:c>
      <x:c r="B179" s="3" t="s">
        <x:v>10</x:v>
      </x:c>
      <x:c r="C179" s="3" t="s">
        <x:v>535</x:v>
      </x:c>
      <x:c r="D179" s="4" t="s">
        <x:v>12</x:v>
      </x:c>
      <x:c r="E179" s="4"/>
      <x:c r="F179" s="4" t="s">
        <x:v>536</x:v>
      </x:c>
      <x:c r="G179" s="3" t="s">
        <x:v>14</x:v>
      </x:c>
    </x:row>
    <x:row r="180">
      <x:c r="A180" s="3" t="s">
        <x:v>537</x:v>
      </x:c>
      <x:c r="B180" s="3" t="s">
        <x:v>10</x:v>
      </x:c>
      <x:c r="C180" s="3" t="s">
        <x:v>538</x:v>
      </x:c>
      <x:c r="D180" s="4" t="s">
        <x:v>12</x:v>
      </x:c>
      <x:c r="E180" s="4"/>
      <x:c r="F180" s="4" t="s">
        <x:v>539</x:v>
      </x:c>
      <x:c r="G180" s="3" t="s">
        <x:v>14</x:v>
      </x:c>
    </x:row>
    <x:row r="181">
      <x:c r="A181" s="3" t="s">
        <x:v>540</x:v>
      </x:c>
      <x:c r="B181" s="3" t="s">
        <x:v>10</x:v>
      </x:c>
      <x:c r="C181" s="3" t="s">
        <x:v>541</x:v>
      </x:c>
      <x:c r="D181" s="4" t="s">
        <x:v>12</x:v>
      </x:c>
      <x:c r="E181" s="4"/>
      <x:c r="F181" s="4" t="s">
        <x:v>542</x:v>
      </x:c>
      <x:c r="G181" s="3" t="s">
        <x:v>14</x:v>
      </x:c>
    </x:row>
    <x:row r="182">
      <x:c r="A182" s="3" t="s">
        <x:v>543</x:v>
      </x:c>
      <x:c r="B182" s="3" t="s">
        <x:v>10</x:v>
      </x:c>
      <x:c r="C182" s="3" t="s">
        <x:v>544</x:v>
      </x:c>
      <x:c r="D182" s="4" t="s">
        <x:v>12</x:v>
      </x:c>
      <x:c r="E182" s="4"/>
      <x:c r="F182" s="4" t="s">
        <x:v>545</x:v>
      </x:c>
      <x:c r="G182" s="3" t="s">
        <x:v>14</x:v>
      </x:c>
    </x:row>
    <x:row r="183">
      <x:c r="A183" s="3" t="s">
        <x:v>546</x:v>
      </x:c>
      <x:c r="B183" s="3" t="s">
        <x:v>10</x:v>
      </x:c>
      <x:c r="C183" s="3" t="s">
        <x:v>547</x:v>
      </x:c>
      <x:c r="D183" s="4" t="s">
        <x:v>12</x:v>
      </x:c>
      <x:c r="E183" s="4"/>
      <x:c r="F183" s="4" t="s">
        <x:v>548</x:v>
      </x:c>
      <x:c r="G183" s="3" t="s">
        <x:v>14</x:v>
      </x:c>
    </x:row>
    <x:row r="184">
      <x:c r="A184" s="3" t="s">
        <x:v>549</x:v>
      </x:c>
      <x:c r="B184" s="3" t="s">
        <x:v>10</x:v>
      </x:c>
      <x:c r="C184" s="3" t="s">
        <x:v>550</x:v>
      </x:c>
      <x:c r="D184" s="4" t="s">
        <x:v>12</x:v>
      </x:c>
      <x:c r="E184" s="4"/>
      <x:c r="F184" s="4" t="s">
        <x:v>551</x:v>
      </x:c>
      <x:c r="G184" s="3" t="s">
        <x:v>14</x:v>
      </x:c>
    </x:row>
    <x:row r="185">
      <x:c r="A185" s="3" t="s">
        <x:v>552</x:v>
      </x:c>
      <x:c r="B185" s="3" t="s">
        <x:v>10</x:v>
      </x:c>
      <x:c r="C185" s="3" t="s">
        <x:v>553</x:v>
      </x:c>
      <x:c r="D185" s="4" t="s">
        <x:v>12</x:v>
      </x:c>
      <x:c r="E185" s="4"/>
      <x:c r="F185" s="4" t="s">
        <x:v>554</x:v>
      </x:c>
      <x:c r="G185" s="3" t="s">
        <x:v>14</x:v>
      </x:c>
    </x:row>
    <x:row r="186">
      <x:c r="A186" s="3" t="s">
        <x:v>555</x:v>
      </x:c>
      <x:c r="B186" s="3" t="s">
        <x:v>10</x:v>
      </x:c>
      <x:c r="C186" s="3" t="s">
        <x:v>556</x:v>
      </x:c>
      <x:c r="D186" s="4" t="s">
        <x:v>12</x:v>
      </x:c>
      <x:c r="E186" s="4"/>
      <x:c r="F186" s="4" t="s">
        <x:v>557</x:v>
      </x:c>
      <x:c r="G186" s="3" t="s">
        <x:v>14</x:v>
      </x:c>
    </x:row>
    <x:row r="187">
      <x:c r="A187" s="3" t="s">
        <x:v>558</x:v>
      </x:c>
      <x:c r="B187" s="3" t="s">
        <x:v>10</x:v>
      </x:c>
      <x:c r="C187" s="3" t="s">
        <x:v>559</x:v>
      </x:c>
      <x:c r="D187" s="4" t="s">
        <x:v>12</x:v>
      </x:c>
      <x:c r="E187" s="4"/>
      <x:c r="F187" s="4" t="s">
        <x:v>560</x:v>
      </x:c>
      <x:c r="G187" s="3" t="s">
        <x:v>14</x:v>
      </x:c>
    </x:row>
    <x:row r="188">
      <x:c r="A188" s="3" t="s">
        <x:v>561</x:v>
      </x:c>
      <x:c r="B188" s="3" t="s">
        <x:v>10</x:v>
      </x:c>
      <x:c r="C188" s="3" t="s">
        <x:v>562</x:v>
      </x:c>
      <x:c r="D188" s="4" t="s">
        <x:v>12</x:v>
      </x:c>
      <x:c r="E188" s="4"/>
      <x:c r="F188" s="4" t="s">
        <x:v>563</x:v>
      </x:c>
      <x:c r="G188" s="3" t="s">
        <x:v>14</x:v>
      </x:c>
    </x:row>
    <x:row r="189">
      <x:c r="A189" s="3" t="s">
        <x:v>564</x:v>
      </x:c>
      <x:c r="B189" s="3" t="s">
        <x:v>10</x:v>
      </x:c>
      <x:c r="C189" s="3" t="s">
        <x:v>565</x:v>
      </x:c>
      <x:c r="D189" s="4" t="s">
        <x:v>12</x:v>
      </x:c>
      <x:c r="E189" s="4"/>
      <x:c r="F189" s="4" t="s">
        <x:v>566</x:v>
      </x:c>
      <x:c r="G189" s="3" t="s">
        <x:v>14</x:v>
      </x:c>
    </x:row>
    <x:row r="190">
      <x:c r="A190" s="3" t="s">
        <x:v>567</x:v>
      </x:c>
      <x:c r="B190" s="3" t="s">
        <x:v>10</x:v>
      </x:c>
      <x:c r="C190" s="3" t="s">
        <x:v>568</x:v>
      </x:c>
      <x:c r="D190" s="4" t="s">
        <x:v>12</x:v>
      </x:c>
      <x:c r="E190" s="4"/>
      <x:c r="F190" s="4" t="s">
        <x:v>569</x:v>
      </x:c>
      <x:c r="G190" s="3" t="s">
        <x:v>14</x:v>
      </x:c>
    </x:row>
    <x:row r="191">
      <x:c r="A191" s="3" t="s">
        <x:v>570</x:v>
      </x:c>
      <x:c r="B191" s="3" t="s">
        <x:v>10</x:v>
      </x:c>
      <x:c r="C191" s="3" t="s">
        <x:v>571</x:v>
      </x:c>
      <x:c r="D191" s="4" t="s">
        <x:v>12</x:v>
      </x:c>
      <x:c r="E191" s="4"/>
      <x:c r="F191" s="4" t="s">
        <x:v>572</x:v>
      </x:c>
      <x:c r="G191" s="3" t="s">
        <x:v>14</x:v>
      </x:c>
    </x:row>
    <x:row r="192">
      <x:c r="A192" s="3" t="s">
        <x:v>573</x:v>
      </x:c>
      <x:c r="B192" s="3" t="s">
        <x:v>10</x:v>
      </x:c>
      <x:c r="C192" s="3" t="s">
        <x:v>574</x:v>
      </x:c>
      <x:c r="D192" s="4" t="s">
        <x:v>12</x:v>
      </x:c>
      <x:c r="E192" s="4"/>
      <x:c r="F192" s="4" t="s">
        <x:v>575</x:v>
      </x:c>
      <x:c r="G192" s="3" t="s">
        <x:v>14</x:v>
      </x:c>
    </x:row>
    <x:row r="193">
      <x:c r="A193" s="3" t="s">
        <x:v>576</x:v>
      </x:c>
      <x:c r="B193" s="3" t="s">
        <x:v>10</x:v>
      </x:c>
      <x:c r="C193" s="3" t="s">
        <x:v>577</x:v>
      </x:c>
      <x:c r="D193" s="4" t="s">
        <x:v>12</x:v>
      </x:c>
      <x:c r="E193" s="4"/>
      <x:c r="F193" s="4" t="s">
        <x:v>578</x:v>
      </x:c>
      <x:c r="G193" s="3" t="s">
        <x:v>14</x:v>
      </x:c>
    </x:row>
    <x:row r="194">
      <x:c r="A194" s="3" t="s">
        <x:v>579</x:v>
      </x:c>
      <x:c r="B194" s="3" t="s">
        <x:v>10</x:v>
      </x:c>
      <x:c r="C194" s="3" t="s">
        <x:v>580</x:v>
      </x:c>
      <x:c r="D194" s="4" t="s">
        <x:v>12</x:v>
      </x:c>
      <x:c r="E194" s="4"/>
      <x:c r="F194" s="4" t="s">
        <x:v>581</x:v>
      </x:c>
      <x:c r="G194" s="3" t="s">
        <x:v>14</x:v>
      </x:c>
    </x:row>
    <x:row r="195">
      <x:c r="A195" s="3" t="s">
        <x:v>582</x:v>
      </x:c>
      <x:c r="B195" s="3" t="s">
        <x:v>10</x:v>
      </x:c>
      <x:c r="C195" s="3" t="s">
        <x:v>583</x:v>
      </x:c>
      <x:c r="D195" s="4" t="s">
        <x:v>12</x:v>
      </x:c>
      <x:c r="E195" s="4"/>
      <x:c r="F195" s="4" t="s">
        <x:v>584</x:v>
      </x:c>
      <x:c r="G195" s="3" t="s">
        <x:v>14</x:v>
      </x:c>
    </x:row>
    <x:row r="196">
      <x:c r="A196" s="3" t="s">
        <x:v>585</x:v>
      </x:c>
      <x:c r="B196" s="3" t="s">
        <x:v>10</x:v>
      </x:c>
      <x:c r="C196" s="3" t="s">
        <x:v>586</x:v>
      </x:c>
      <x:c r="D196" s="4" t="s">
        <x:v>12</x:v>
      </x:c>
      <x:c r="E196" s="4"/>
      <x:c r="F196" s="4" t="s">
        <x:v>587</x:v>
      </x:c>
      <x:c r="G196" s="3" t="s">
        <x:v>14</x:v>
      </x:c>
    </x:row>
    <x:row r="197">
      <x:c r="A197" s="3" t="s">
        <x:v>588</x:v>
      </x:c>
      <x:c r="B197" s="3" t="s">
        <x:v>10</x:v>
      </x:c>
      <x:c r="C197" s="3" t="s">
        <x:v>589</x:v>
      </x:c>
      <x:c r="D197" s="4" t="s">
        <x:v>12</x:v>
      </x:c>
      <x:c r="E197" s="4"/>
      <x:c r="F197" s="4" t="s">
        <x:v>590</x:v>
      </x:c>
      <x:c r="G197" s="3" t="s">
        <x:v>14</x:v>
      </x:c>
    </x:row>
    <x:row r="198">
      <x:c r="A198" s="3" t="s">
        <x:v>591</x:v>
      </x:c>
      <x:c r="B198" s="3" t="s">
        <x:v>10</x:v>
      </x:c>
      <x:c r="C198" s="3" t="s">
        <x:v>592</x:v>
      </x:c>
      <x:c r="D198" s="4" t="s">
        <x:v>12</x:v>
      </x:c>
      <x:c r="E198" s="4"/>
      <x:c r="F198" s="4" t="s">
        <x:v>593</x:v>
      </x:c>
      <x:c r="G198" s="3" t="s">
        <x:v>14</x:v>
      </x:c>
    </x:row>
    <x:row r="199">
      <x:c r="A199" s="3" t="s">
        <x:v>594</x:v>
      </x:c>
      <x:c r="B199" s="3" t="s">
        <x:v>10</x:v>
      </x:c>
      <x:c r="C199" s="3" t="s">
        <x:v>595</x:v>
      </x:c>
      <x:c r="D199" s="4" t="s">
        <x:v>12</x:v>
      </x:c>
      <x:c r="E199" s="4"/>
      <x:c r="F199" s="4" t="s">
        <x:v>596</x:v>
      </x:c>
      <x:c r="G199" s="3" t="s">
        <x:v>14</x:v>
      </x:c>
    </x:row>
    <x:row r="200">
      <x:c r="A200" s="3" t="s">
        <x:v>597</x:v>
      </x:c>
      <x:c r="B200" s="3" t="s">
        <x:v>10</x:v>
      </x:c>
      <x:c r="C200" s="3" t="s">
        <x:v>598</x:v>
      </x:c>
      <x:c r="D200" s="4" t="s">
        <x:v>12</x:v>
      </x:c>
      <x:c r="E200" s="4"/>
      <x:c r="F200" s="4" t="s">
        <x:v>599</x:v>
      </x:c>
      <x:c r="G200" s="3" t="s">
        <x:v>14</x:v>
      </x:c>
    </x:row>
    <x:row r="201">
      <x:c r="A201" s="3" t="s">
        <x:v>600</x:v>
      </x:c>
      <x:c r="B201" s="3" t="s">
        <x:v>10</x:v>
      </x:c>
      <x:c r="C201" s="3" t="s">
        <x:v>601</x:v>
      </x:c>
      <x:c r="D201" s="4" t="s">
        <x:v>12</x:v>
      </x:c>
      <x:c r="E201" s="4"/>
      <x:c r="F201" s="4" t="s">
        <x:v>602</x:v>
      </x:c>
      <x:c r="G201" s="3" t="s">
        <x:v>14</x:v>
      </x:c>
    </x:row>
    <x:row r="202">
      <x:c r="A202" s="3" t="s">
        <x:v>603</x:v>
      </x:c>
      <x:c r="B202" s="3" t="s">
        <x:v>10</x:v>
      </x:c>
      <x:c r="C202" s="3" t="s">
        <x:v>604</x:v>
      </x:c>
      <x:c r="D202" s="4" t="s">
        <x:v>12</x:v>
      </x:c>
      <x:c r="E202" s="4"/>
      <x:c r="F202" s="4" t="s">
        <x:v>605</x:v>
      </x:c>
      <x:c r="G202" s="3" t="s">
        <x:v>14</x:v>
      </x:c>
    </x:row>
    <x:row r="203">
      <x:c r="A203" s="3" t="s">
        <x:v>606</x:v>
      </x:c>
      <x:c r="B203" s="3" t="s">
        <x:v>10</x:v>
      </x:c>
      <x:c r="C203" s="3" t="s">
        <x:v>607</x:v>
      </x:c>
      <x:c r="D203" s="4" t="s">
        <x:v>12</x:v>
      </x:c>
      <x:c r="E203" s="4"/>
      <x:c r="F203" s="4" t="s">
        <x:v>608</x:v>
      </x:c>
      <x:c r="G203" s="3" t="s">
        <x:v>14</x:v>
      </x:c>
    </x:row>
    <x:row r="204">
      <x:c r="A204" s="3" t="s">
        <x:v>609</x:v>
      </x:c>
      <x:c r="B204" s="3" t="s">
        <x:v>10</x:v>
      </x:c>
      <x:c r="C204" s="3" t="s">
        <x:v>610</x:v>
      </x:c>
      <x:c r="D204" s="4" t="s">
        <x:v>12</x:v>
      </x:c>
      <x:c r="E204" s="4"/>
      <x:c r="F204" s="4" t="s">
        <x:v>611</x:v>
      </x:c>
      <x:c r="G204" s="3" t="s">
        <x:v>14</x:v>
      </x:c>
    </x:row>
    <x:row r="205">
      <x:c r="A205" s="3" t="s">
        <x:v>612</x:v>
      </x:c>
      <x:c r="B205" s="3" t="s">
        <x:v>10</x:v>
      </x:c>
      <x:c r="C205" s="3" t="s">
        <x:v>613</x:v>
      </x:c>
      <x:c r="D205" s="4" t="s">
        <x:v>12</x:v>
      </x:c>
      <x:c r="E205" s="4"/>
      <x:c r="F205" s="4" t="s">
        <x:v>614</x:v>
      </x:c>
      <x:c r="G205" s="3" t="s">
        <x:v>14</x:v>
      </x:c>
    </x:row>
    <x:row r="206">
      <x:c r="A206" s="3" t="s">
        <x:v>615</x:v>
      </x:c>
      <x:c r="B206" s="3" t="s">
        <x:v>10</x:v>
      </x:c>
      <x:c r="C206" s="3" t="s">
        <x:v>616</x:v>
      </x:c>
      <x:c r="D206" s="4" t="s">
        <x:v>12</x:v>
      </x:c>
      <x:c r="E206" s="4"/>
      <x:c r="F206" s="4" t="s">
        <x:v>617</x:v>
      </x:c>
      <x:c r="G206" s="3" t="s">
        <x:v>14</x:v>
      </x:c>
    </x:row>
    <x:row r="207">
      <x:c r="A207" s="3" t="s">
        <x:v>618</x:v>
      </x:c>
      <x:c r="B207" s="3" t="s">
        <x:v>10</x:v>
      </x:c>
      <x:c r="C207" s="3" t="s">
        <x:v>619</x:v>
      </x:c>
      <x:c r="D207" s="4" t="s">
        <x:v>12</x:v>
      </x:c>
      <x:c r="E207" s="4"/>
      <x:c r="F207" s="4" t="s">
        <x:v>620</x:v>
      </x:c>
      <x:c r="G207" s="3" t="s">
        <x:v>14</x:v>
      </x:c>
    </x:row>
    <x:row r="208">
      <x:c r="A208" s="3" t="s">
        <x:v>621</x:v>
      </x:c>
      <x:c r="B208" s="3" t="s">
        <x:v>10</x:v>
      </x:c>
      <x:c r="C208" s="3" t="s">
        <x:v>622</x:v>
      </x:c>
      <x:c r="D208" s="4" t="s">
        <x:v>12</x:v>
      </x:c>
      <x:c r="E208" s="4"/>
      <x:c r="F208" s="4" t="s">
        <x:v>623</x:v>
      </x:c>
      <x:c r="G208" s="3" t="s">
        <x:v>14</x:v>
      </x:c>
    </x:row>
    <x:row r="209">
      <x:c r="A209" s="3" t="s">
        <x:v>624</x:v>
      </x:c>
      <x:c r="B209" s="3" t="s">
        <x:v>10</x:v>
      </x:c>
      <x:c r="C209" s="3" t="s">
        <x:v>625</x:v>
      </x:c>
      <x:c r="D209" s="4" t="s">
        <x:v>12</x:v>
      </x:c>
      <x:c r="E209" s="4"/>
      <x:c r="F209" s="4" t="s">
        <x:v>626</x:v>
      </x:c>
      <x:c r="G209" s="3" t="s">
        <x:v>14</x:v>
      </x:c>
    </x:row>
    <x:row r="210">
      <x:c r="A210" s="3" t="s">
        <x:v>627</x:v>
      </x:c>
      <x:c r="B210" s="3" t="s">
        <x:v>10</x:v>
      </x:c>
      <x:c r="C210" s="3" t="s">
        <x:v>628</x:v>
      </x:c>
      <x:c r="D210" s="4" t="s">
        <x:v>12</x:v>
      </x:c>
      <x:c r="E210" s="4"/>
      <x:c r="F210" s="4" t="s">
        <x:v>629</x:v>
      </x:c>
      <x:c r="G210" s="3" t="s">
        <x:v>14</x:v>
      </x:c>
    </x:row>
    <x:row r="211">
      <x:c r="A211" s="3" t="s">
        <x:v>630</x:v>
      </x:c>
      <x:c r="B211" s="3" t="s">
        <x:v>10</x:v>
      </x:c>
      <x:c r="C211" s="3" t="s">
        <x:v>631</x:v>
      </x:c>
      <x:c r="D211" s="4" t="s">
        <x:v>12</x:v>
      </x:c>
      <x:c r="E211" s="4"/>
      <x:c r="F211" s="4" t="s">
        <x:v>632</x:v>
      </x:c>
      <x:c r="G211" s="3" t="s">
        <x:v>14</x:v>
      </x:c>
    </x:row>
    <x:row r="212">
      <x:c r="A212" s="3" t="s">
        <x:v>633</x:v>
      </x:c>
      <x:c r="B212" s="3" t="s">
        <x:v>10</x:v>
      </x:c>
      <x:c r="C212" s="3" t="s">
        <x:v>634</x:v>
      </x:c>
      <x:c r="D212" s="4" t="s">
        <x:v>12</x:v>
      </x:c>
      <x:c r="E212" s="4"/>
      <x:c r="F212" s="4" t="s">
        <x:v>635</x:v>
      </x:c>
      <x:c r="G212" s="3" t="s">
        <x:v>14</x:v>
      </x:c>
    </x:row>
    <x:row r="213">
      <x:c r="A213" s="3" t="s">
        <x:v>636</x:v>
      </x:c>
      <x:c r="B213" s="3" t="s">
        <x:v>10</x:v>
      </x:c>
      <x:c r="C213" s="3" t="s">
        <x:v>637</x:v>
      </x:c>
      <x:c r="D213" s="4" t="s">
        <x:v>12</x:v>
      </x:c>
      <x:c r="E213" s="4"/>
      <x:c r="F213" s="4" t="s">
        <x:v>638</x:v>
      </x:c>
      <x:c r="G213" s="3" t="s">
        <x:v>14</x:v>
      </x:c>
    </x:row>
    <x:row r="214">
      <x:c r="A214" s="3" t="s">
        <x:v>639</x:v>
      </x:c>
      <x:c r="B214" s="3" t="s">
        <x:v>10</x:v>
      </x:c>
      <x:c r="C214" s="3" t="s">
        <x:v>640</x:v>
      </x:c>
      <x:c r="D214" s="4" t="s">
        <x:v>12</x:v>
      </x:c>
      <x:c r="E214" s="4"/>
      <x:c r="F214" s="4" t="s">
        <x:v>641</x:v>
      </x:c>
      <x:c r="G214" s="3" t="s">
        <x:v>14</x:v>
      </x:c>
    </x:row>
    <x:row r="215">
      <x:c r="A215" s="3" t="s">
        <x:v>642</x:v>
      </x:c>
      <x:c r="B215" s="3" t="s">
        <x:v>10</x:v>
      </x:c>
      <x:c r="C215" s="3" t="s">
        <x:v>643</x:v>
      </x:c>
      <x:c r="D215" s="4" t="s">
        <x:v>12</x:v>
      </x:c>
      <x:c r="E215" s="4"/>
      <x:c r="F215" s="4" t="s">
        <x:v>644</x:v>
      </x:c>
      <x:c r="G215" s="3" t="s">
        <x:v>14</x:v>
      </x:c>
    </x:row>
    <x:row r="216">
      <x:c r="A216" s="3" t="s">
        <x:v>645</x:v>
      </x:c>
      <x:c r="B216" s="3" t="s">
        <x:v>10</x:v>
      </x:c>
      <x:c r="C216" s="3" t="s">
        <x:v>646</x:v>
      </x:c>
      <x:c r="D216" s="4" t="s">
        <x:v>12</x:v>
      </x:c>
      <x:c r="E216" s="4"/>
      <x:c r="F216" s="4" t="s">
        <x:v>647</x:v>
      </x:c>
      <x:c r="G216" s="3" t="s">
        <x:v>14</x:v>
      </x:c>
    </x:row>
    <x:row r="217">
      <x:c r="A217" s="3" t="s">
        <x:v>648</x:v>
      </x:c>
      <x:c r="B217" s="3" t="s">
        <x:v>10</x:v>
      </x:c>
      <x:c r="C217" s="3" t="s">
        <x:v>649</x:v>
      </x:c>
      <x:c r="D217" s="4" t="s">
        <x:v>12</x:v>
      </x:c>
      <x:c r="E217" s="4"/>
      <x:c r="F217" s="4" t="s">
        <x:v>650</x:v>
      </x:c>
      <x:c r="G217" s="3" t="s">
        <x:v>14</x:v>
      </x:c>
    </x:row>
    <x:row r="218">
      <x:c r="A218" s="3" t="s">
        <x:v>651</x:v>
      </x:c>
      <x:c r="B218" s="3" t="s">
        <x:v>10</x:v>
      </x:c>
      <x:c r="C218" s="3" t="s">
        <x:v>652</x:v>
      </x:c>
      <x:c r="D218" s="4" t="s">
        <x:v>12</x:v>
      </x:c>
      <x:c r="E218" s="4"/>
      <x:c r="F218" s="4" t="s">
        <x:v>653</x:v>
      </x:c>
      <x:c r="G218" s="3" t="s">
        <x:v>14</x:v>
      </x:c>
    </x:row>
    <x:row r="219">
      <x:c r="A219" s="3" t="s">
        <x:v>654</x:v>
      </x:c>
      <x:c r="B219" s="3" t="s">
        <x:v>10</x:v>
      </x:c>
      <x:c r="C219" s="3" t="s">
        <x:v>655</x:v>
      </x:c>
      <x:c r="D219" s="4" t="s">
        <x:v>12</x:v>
      </x:c>
      <x:c r="E219" s="4"/>
      <x:c r="F219" s="4" t="s">
        <x:v>656</x:v>
      </x:c>
      <x:c r="G219" s="3" t="s">
        <x:v>14</x:v>
      </x:c>
    </x:row>
    <x:row r="220">
      <x:c r="A220" s="3" t="s">
        <x:v>657</x:v>
      </x:c>
      <x:c r="B220" s="3" t="s">
        <x:v>10</x:v>
      </x:c>
      <x:c r="C220" s="3" t="s">
        <x:v>658</x:v>
      </x:c>
      <x:c r="D220" s="4" t="s">
        <x:v>12</x:v>
      </x:c>
      <x:c r="E220" s="4"/>
      <x:c r="F220" s="4" t="s">
        <x:v>659</x:v>
      </x:c>
      <x:c r="G220" s="3" t="s">
        <x:v>14</x:v>
      </x:c>
    </x:row>
    <x:row r="221">
      <x:c r="A221" s="3" t="s">
        <x:v>660</x:v>
      </x:c>
      <x:c r="B221" s="3" t="s">
        <x:v>10</x:v>
      </x:c>
      <x:c r="C221" s="3" t="s">
        <x:v>661</x:v>
      </x:c>
      <x:c r="D221" s="4" t="s">
        <x:v>12</x:v>
      </x:c>
      <x:c r="E221" s="4"/>
      <x:c r="F221" s="4" t="s">
        <x:v>662</x:v>
      </x:c>
      <x:c r="G221" s="3" t="s">
        <x:v>14</x:v>
      </x:c>
    </x:row>
    <x:row r="222">
      <x:c r="A222" s="3" t="s">
        <x:v>663</x:v>
      </x:c>
      <x:c r="B222" s="3" t="s">
        <x:v>10</x:v>
      </x:c>
      <x:c r="C222" s="3" t="s">
        <x:v>664</x:v>
      </x:c>
      <x:c r="D222" s="4" t="s">
        <x:v>12</x:v>
      </x:c>
      <x:c r="E222" s="4"/>
      <x:c r="F222" s="4" t="s">
        <x:v>665</x:v>
      </x:c>
      <x:c r="G222" s="3" t="s">
        <x:v>14</x:v>
      </x:c>
    </x:row>
    <x:row r="223">
      <x:c r="A223" s="3" t="s">
        <x:v>666</x:v>
      </x:c>
      <x:c r="B223" s="3" t="s">
        <x:v>10</x:v>
      </x:c>
      <x:c r="C223" s="3" t="s">
        <x:v>667</x:v>
      </x:c>
      <x:c r="D223" s="4" t="s">
        <x:v>12</x:v>
      </x:c>
      <x:c r="E223" s="4"/>
      <x:c r="F223" s="4" t="s">
        <x:v>668</x:v>
      </x:c>
      <x:c r="G223" s="3" t="s">
        <x:v>14</x:v>
      </x:c>
    </x:row>
    <x:row r="224">
      <x:c r="A224" s="3" t="s">
        <x:v>669</x:v>
      </x:c>
      <x:c r="B224" s="3" t="s">
        <x:v>10</x:v>
      </x:c>
      <x:c r="C224" s="3" t="s">
        <x:v>670</x:v>
      </x:c>
      <x:c r="D224" s="4" t="s">
        <x:v>12</x:v>
      </x:c>
      <x:c r="E224" s="4"/>
      <x:c r="F224" s="4" t="s">
        <x:v>671</x:v>
      </x:c>
      <x:c r="G224" s="3" t="s">
        <x:v>14</x:v>
      </x:c>
    </x:row>
    <x:row r="225">
      <x:c r="A225" s="3" t="s">
        <x:v>672</x:v>
      </x:c>
      <x:c r="B225" s="3" t="s">
        <x:v>10</x:v>
      </x:c>
      <x:c r="C225" s="3" t="s">
        <x:v>673</x:v>
      </x:c>
      <x:c r="D225" s="4" t="s">
        <x:v>12</x:v>
      </x:c>
      <x:c r="E225" s="4"/>
      <x:c r="F225" s="4" t="s">
        <x:v>674</x:v>
      </x:c>
      <x:c r="G225" s="3" t="s">
        <x:v>14</x:v>
      </x:c>
    </x:row>
    <x:row r="226">
      <x:c r="A226" s="3" t="s">
        <x:v>675</x:v>
      </x:c>
      <x:c r="B226" s="3" t="s">
        <x:v>10</x:v>
      </x:c>
      <x:c r="C226" s="3" t="s">
        <x:v>676</x:v>
      </x:c>
      <x:c r="D226" s="4" t="s">
        <x:v>12</x:v>
      </x:c>
      <x:c r="E226" s="4"/>
      <x:c r="F226" s="4" t="s">
        <x:v>677</x:v>
      </x:c>
      <x:c r="G226" s="3" t="s">
        <x:v>14</x:v>
      </x:c>
    </x:row>
    <x:row r="227">
      <x:c r="A227" s="3" t="s">
        <x:v>678</x:v>
      </x:c>
      <x:c r="B227" s="3" t="s">
        <x:v>10</x:v>
      </x:c>
      <x:c r="C227" s="3" t="s">
        <x:v>679</x:v>
      </x:c>
      <x:c r="D227" s="4" t="s">
        <x:v>12</x:v>
      </x:c>
      <x:c r="E227" s="4"/>
      <x:c r="F227" s="4" t="s">
        <x:v>680</x:v>
      </x:c>
      <x:c r="G227" s="3" t="s">
        <x:v>14</x:v>
      </x:c>
    </x:row>
    <x:row r="228">
      <x:c r="A228" s="3" t="s">
        <x:v>681</x:v>
      </x:c>
      <x:c r="B228" s="3" t="s">
        <x:v>10</x:v>
      </x:c>
      <x:c r="C228" s="3" t="s">
        <x:v>682</x:v>
      </x:c>
      <x:c r="D228" s="4" t="s">
        <x:v>12</x:v>
      </x:c>
      <x:c r="E228" s="4"/>
      <x:c r="F228" s="4" t="s">
        <x:v>683</x:v>
      </x:c>
      <x:c r="G228" s="3" t="s">
        <x:v>14</x:v>
      </x:c>
    </x:row>
    <x:row r="229">
      <x:c r="A229" s="3" t="s">
        <x:v>684</x:v>
      </x:c>
      <x:c r="B229" s="3" t="s">
        <x:v>10</x:v>
      </x:c>
      <x:c r="C229" s="3" t="s">
        <x:v>685</x:v>
      </x:c>
      <x:c r="D229" s="4" t="s">
        <x:v>12</x:v>
      </x:c>
      <x:c r="E229" s="4"/>
      <x:c r="F229" s="4" t="s">
        <x:v>686</x:v>
      </x:c>
      <x:c r="G229" s="3" t="s">
        <x:v>14</x:v>
      </x:c>
    </x:row>
    <x:row r="230">
      <x:c r="A230" s="3" t="s">
        <x:v>687</x:v>
      </x:c>
      <x:c r="B230" s="3" t="s">
        <x:v>10</x:v>
      </x:c>
      <x:c r="C230" s="3" t="s">
        <x:v>688</x:v>
      </x:c>
      <x:c r="D230" s="4" t="s">
        <x:v>12</x:v>
      </x:c>
      <x:c r="E230" s="4"/>
      <x:c r="F230" s="4" t="s">
        <x:v>689</x:v>
      </x:c>
      <x:c r="G230" s="3" t="s">
        <x:v>14</x:v>
      </x:c>
    </x:row>
    <x:row r="231">
      <x:c r="A231" s="3" t="s">
        <x:v>690</x:v>
      </x:c>
      <x:c r="B231" s="3" t="s">
        <x:v>10</x:v>
      </x:c>
      <x:c r="C231" s="3" t="s">
        <x:v>691</x:v>
      </x:c>
      <x:c r="D231" s="4" t="s">
        <x:v>12</x:v>
      </x:c>
      <x:c r="E231" s="4"/>
      <x:c r="F231" s="4" t="s">
        <x:v>692</x:v>
      </x:c>
      <x:c r="G231" s="3" t="s">
        <x:v>14</x:v>
      </x:c>
    </x:row>
    <x:row r="232">
      <x:c r="A232" s="3" t="s">
        <x:v>693</x:v>
      </x:c>
      <x:c r="B232" s="3" t="s">
        <x:v>10</x:v>
      </x:c>
      <x:c r="C232" s="3" t="s">
        <x:v>694</x:v>
      </x:c>
      <x:c r="D232" s="4" t="s">
        <x:v>12</x:v>
      </x:c>
      <x:c r="E232" s="4"/>
      <x:c r="F232" s="4" t="s">
        <x:v>695</x:v>
      </x:c>
      <x:c r="G232" s="3" t="s">
        <x:v>14</x:v>
      </x:c>
    </x:row>
    <x:row r="233">
      <x:c r="A233" s="3" t="s">
        <x:v>696</x:v>
      </x:c>
      <x:c r="B233" s="3" t="s">
        <x:v>10</x:v>
      </x:c>
      <x:c r="C233" s="3" t="s">
        <x:v>697</x:v>
      </x:c>
      <x:c r="D233" s="4" t="s">
        <x:v>12</x:v>
      </x:c>
      <x:c r="E233" s="4"/>
      <x:c r="F233" s="4" t="s">
        <x:v>698</x:v>
      </x:c>
      <x:c r="G233" s="3" t="s">
        <x:v>14</x:v>
      </x:c>
    </x:row>
    <x:row r="234">
      <x:c r="A234" s="3" t="s">
        <x:v>699</x:v>
      </x:c>
      <x:c r="B234" s="3" t="s">
        <x:v>10</x:v>
      </x:c>
      <x:c r="C234" s="3" t="s">
        <x:v>700</x:v>
      </x:c>
      <x:c r="D234" s="4" t="s">
        <x:v>12</x:v>
      </x:c>
      <x:c r="E234" s="4"/>
      <x:c r="F234" s="4" t="s">
        <x:v>701</x:v>
      </x:c>
      <x:c r="G234" s="3" t="s">
        <x:v>14</x:v>
      </x:c>
    </x:row>
    <x:row r="235">
      <x:c r="A235" s="3" t="s">
        <x:v>702</x:v>
      </x:c>
      <x:c r="B235" s="3" t="s">
        <x:v>10</x:v>
      </x:c>
      <x:c r="C235" s="3" t="s">
        <x:v>703</x:v>
      </x:c>
      <x:c r="D235" s="4" t="s">
        <x:v>12</x:v>
      </x:c>
      <x:c r="E235" s="4"/>
      <x:c r="F235" s="4" t="s">
        <x:v>704</x:v>
      </x:c>
      <x:c r="G235" s="3" t="s">
        <x:v>14</x:v>
      </x:c>
    </x:row>
    <x:row r="236">
      <x:c r="A236" s="3" t="s">
        <x:v>705</x:v>
      </x:c>
      <x:c r="B236" s="3" t="s">
        <x:v>10</x:v>
      </x:c>
      <x:c r="C236" s="3" t="s">
        <x:v>706</x:v>
      </x:c>
      <x:c r="D236" s="4" t="s">
        <x:v>12</x:v>
      </x:c>
      <x:c r="E236" s="4"/>
      <x:c r="F236" s="4" t="s">
        <x:v>707</x:v>
      </x:c>
      <x:c r="G236" s="3" t="s">
        <x:v>14</x:v>
      </x:c>
    </x:row>
    <x:row r="237">
      <x:c r="A237" s="3" t="s">
        <x:v>708</x:v>
      </x:c>
      <x:c r="B237" s="3" t="s">
        <x:v>10</x:v>
      </x:c>
      <x:c r="C237" s="3" t="s">
        <x:v>709</x:v>
      </x:c>
      <x:c r="D237" s="4" t="s">
        <x:v>12</x:v>
      </x:c>
      <x:c r="E237" s="4"/>
      <x:c r="F237" s="4" t="s">
        <x:v>710</x:v>
      </x:c>
      <x:c r="G237" s="3" t="s">
        <x:v>14</x:v>
      </x:c>
    </x:row>
    <x:row r="238">
      <x:c r="A238" s="3" t="s">
        <x:v>711</x:v>
      </x:c>
      <x:c r="B238" s="3" t="s">
        <x:v>10</x:v>
      </x:c>
      <x:c r="C238" s="3" t="s">
        <x:v>712</x:v>
      </x:c>
      <x:c r="D238" s="4" t="s">
        <x:v>12</x:v>
      </x:c>
      <x:c r="E238" s="4"/>
      <x:c r="F238" s="4" t="s">
        <x:v>713</x:v>
      </x:c>
      <x:c r="G238" s="3" t="s">
        <x:v>14</x:v>
      </x:c>
    </x:row>
    <x:row r="239">
      <x:c r="A239" s="3" t="s">
        <x:v>714</x:v>
      </x:c>
      <x:c r="B239" s="3" t="s">
        <x:v>10</x:v>
      </x:c>
      <x:c r="C239" s="3" t="s">
        <x:v>715</x:v>
      </x:c>
      <x:c r="D239" s="4" t="s">
        <x:v>12</x:v>
      </x:c>
      <x:c r="E239" s="4"/>
      <x:c r="F239" s="4" t="s">
        <x:v>716</x:v>
      </x:c>
      <x:c r="G239" s="3" t="s">
        <x:v>14</x:v>
      </x:c>
    </x:row>
    <x:row r="240">
      <x:c r="A240" s="3" t="s">
        <x:v>717</x:v>
      </x:c>
      <x:c r="B240" s="3" t="s">
        <x:v>10</x:v>
      </x:c>
      <x:c r="C240" s="3" t="s">
        <x:v>718</x:v>
      </x:c>
      <x:c r="D240" s="4" t="s">
        <x:v>12</x:v>
      </x:c>
      <x:c r="E240" s="4"/>
      <x:c r="F240" s="4" t="s">
        <x:v>719</x:v>
      </x:c>
      <x:c r="G240" s="3" t="s">
        <x:v>14</x:v>
      </x:c>
    </x:row>
    <x:row r="241">
      <x:c r="A241" s="3" t="s">
        <x:v>720</x:v>
      </x:c>
      <x:c r="B241" s="3" t="s">
        <x:v>10</x:v>
      </x:c>
      <x:c r="C241" s="3" t="s">
        <x:v>721</x:v>
      </x:c>
      <x:c r="D241" s="4" t="s">
        <x:v>12</x:v>
      </x:c>
      <x:c r="E241" s="4"/>
      <x:c r="F241" s="4" t="s">
        <x:v>722</x:v>
      </x:c>
      <x:c r="G241" s="3" t="s">
        <x:v>14</x:v>
      </x:c>
    </x:row>
    <x:row r="242">
      <x:c r="A242" s="3" t="s">
        <x:v>723</x:v>
      </x:c>
      <x:c r="B242" s="3" t="s">
        <x:v>10</x:v>
      </x:c>
      <x:c r="C242" s="3" t="s">
        <x:v>724</x:v>
      </x:c>
      <x:c r="D242" s="4" t="s">
        <x:v>12</x:v>
      </x:c>
      <x:c r="E242" s="4"/>
      <x:c r="F242" s="4" t="s">
        <x:v>725</x:v>
      </x:c>
      <x:c r="G242" s="3" t="s">
        <x:v>14</x:v>
      </x:c>
    </x:row>
    <x:row r="243">
      <x:c r="A243" s="3" t="s">
        <x:v>726</x:v>
      </x:c>
      <x:c r="B243" s="3" t="s">
        <x:v>10</x:v>
      </x:c>
      <x:c r="C243" s="3" t="s">
        <x:v>727</x:v>
      </x:c>
      <x:c r="D243" s="4" t="s">
        <x:v>12</x:v>
      </x:c>
      <x:c r="E243" s="4"/>
      <x:c r="F243" s="4" t="s">
        <x:v>728</x:v>
      </x:c>
      <x:c r="G243" s="3" t="s">
        <x:v>14</x:v>
      </x:c>
    </x:row>
    <x:row r="244">
      <x:c r="A244" s="3" t="s">
        <x:v>729</x:v>
      </x:c>
      <x:c r="B244" s="3" t="s">
        <x:v>10</x:v>
      </x:c>
      <x:c r="C244" s="3" t="s">
        <x:v>730</x:v>
      </x:c>
      <x:c r="D244" s="4" t="s">
        <x:v>12</x:v>
      </x:c>
      <x:c r="E244" s="4"/>
      <x:c r="F244" s="4" t="s">
        <x:v>731</x:v>
      </x:c>
      <x:c r="G244" s="3" t="s">
        <x:v>14</x:v>
      </x:c>
    </x:row>
    <x:row r="245">
      <x:c r="A245" s="3" t="s">
        <x:v>732</x:v>
      </x:c>
      <x:c r="B245" s="3" t="s">
        <x:v>10</x:v>
      </x:c>
      <x:c r="C245" s="3" t="s">
        <x:v>733</x:v>
      </x:c>
      <x:c r="D245" s="4" t="s">
        <x:v>12</x:v>
      </x:c>
      <x:c r="E245" s="4"/>
      <x:c r="F245" s="4" t="s">
        <x:v>734</x:v>
      </x:c>
      <x:c r="G245" s="3" t="s">
        <x:v>14</x:v>
      </x:c>
    </x:row>
    <x:row r="246">
      <x:c r="A246" s="3" t="s">
        <x:v>735</x:v>
      </x:c>
      <x:c r="B246" s="3" t="s">
        <x:v>10</x:v>
      </x:c>
      <x:c r="C246" s="3" t="s">
        <x:v>736</x:v>
      </x:c>
      <x:c r="D246" s="4" t="s">
        <x:v>12</x:v>
      </x:c>
      <x:c r="E246" s="4"/>
      <x:c r="F246" s="4" t="s">
        <x:v>737</x:v>
      </x:c>
      <x:c r="G246" s="3" t="s">
        <x:v>14</x:v>
      </x:c>
    </x:row>
    <x:row r="247">
      <x:c r="A247" s="3" t="s">
        <x:v>738</x:v>
      </x:c>
      <x:c r="B247" s="3" t="s">
        <x:v>10</x:v>
      </x:c>
      <x:c r="C247" s="3" t="s">
        <x:v>739</x:v>
      </x:c>
      <x:c r="D247" s="4" t="s">
        <x:v>12</x:v>
      </x:c>
      <x:c r="E247" s="4"/>
      <x:c r="F247" s="4" t="s">
        <x:v>740</x:v>
      </x:c>
      <x:c r="G247" s="3" t="s">
        <x:v>14</x:v>
      </x:c>
    </x:row>
    <x:row r="248">
      <x:c r="A248" s="3" t="s">
        <x:v>741</x:v>
      </x:c>
      <x:c r="B248" s="3" t="s">
        <x:v>10</x:v>
      </x:c>
      <x:c r="C248" s="3" t="s">
        <x:v>742</x:v>
      </x:c>
      <x:c r="D248" s="4" t="s">
        <x:v>12</x:v>
      </x:c>
      <x:c r="E248" s="4"/>
      <x:c r="F248" s="4" t="s">
        <x:v>743</x:v>
      </x:c>
      <x:c r="G248" s="3" t="s">
        <x:v>14</x:v>
      </x:c>
    </x:row>
    <x:row r="249">
      <x:c r="A249" s="3" t="s">
        <x:v>744</x:v>
      </x:c>
      <x:c r="B249" s="3" t="s">
        <x:v>10</x:v>
      </x:c>
      <x:c r="C249" s="3" t="s">
        <x:v>745</x:v>
      </x:c>
      <x:c r="D249" s="4" t="s">
        <x:v>12</x:v>
      </x:c>
      <x:c r="E249" s="4"/>
      <x:c r="F249" s="4" t="s">
        <x:v>746</x:v>
      </x:c>
      <x:c r="G249" s="3" t="s">
        <x:v>14</x:v>
      </x:c>
    </x:row>
    <x:row r="250">
      <x:c r="A250" s="3" t="s">
        <x:v>747</x:v>
      </x:c>
      <x:c r="B250" s="3" t="s">
        <x:v>10</x:v>
      </x:c>
      <x:c r="C250" s="3" t="s">
        <x:v>748</x:v>
      </x:c>
      <x:c r="D250" s="4" t="s">
        <x:v>12</x:v>
      </x:c>
      <x:c r="E250" s="4"/>
      <x:c r="F250" s="4" t="s">
        <x:v>749</x:v>
      </x:c>
      <x:c r="G250" s="3" t="s">
        <x:v>14</x:v>
      </x:c>
    </x:row>
    <x:row r="251">
      <x:c r="A251" s="3" t="s">
        <x:v>750</x:v>
      </x:c>
      <x:c r="B251" s="3" t="s">
        <x:v>10</x:v>
      </x:c>
      <x:c r="C251" s="3" t="s">
        <x:v>751</x:v>
      </x:c>
      <x:c r="D251" s="4" t="s">
        <x:v>12</x:v>
      </x:c>
      <x:c r="E251" s="4"/>
      <x:c r="F251" s="4" t="s">
        <x:v>752</x:v>
      </x:c>
      <x:c r="G251" s="3" t="s">
        <x:v>14</x:v>
      </x:c>
    </x:row>
    <x:row r="252">
      <x:c r="A252" s="3" t="s">
        <x:v>753</x:v>
      </x:c>
      <x:c r="B252" s="3" t="s">
        <x:v>10</x:v>
      </x:c>
      <x:c r="C252" s="3" t="s">
        <x:v>754</x:v>
      </x:c>
      <x:c r="D252" s="4" t="s">
        <x:v>12</x:v>
      </x:c>
      <x:c r="E252" s="4"/>
      <x:c r="F252" s="4" t="s">
        <x:v>755</x:v>
      </x:c>
      <x:c r="G252" s="3" t="s">
        <x:v>14</x:v>
      </x:c>
    </x:row>
    <x:row r="253">
      <x:c r="A253" s="3" t="s">
        <x:v>756</x:v>
      </x:c>
      <x:c r="B253" s="3" t="s">
        <x:v>10</x:v>
      </x:c>
      <x:c r="C253" s="3" t="s">
        <x:v>757</x:v>
      </x:c>
      <x:c r="D253" s="4" t="s">
        <x:v>12</x:v>
      </x:c>
      <x:c r="E253" s="4"/>
      <x:c r="F253" s="4" t="s">
        <x:v>758</x:v>
      </x:c>
      <x:c r="G253" s="3" t="s">
        <x:v>14</x:v>
      </x:c>
    </x:row>
    <x:row r="254">
      <x:c r="A254" s="3" t="s">
        <x:v>759</x:v>
      </x:c>
      <x:c r="B254" s="3" t="s">
        <x:v>10</x:v>
      </x:c>
      <x:c r="C254" s="3" t="s">
        <x:v>760</x:v>
      </x:c>
      <x:c r="D254" s="4" t="s">
        <x:v>12</x:v>
      </x:c>
      <x:c r="E254" s="4"/>
      <x:c r="F254" s="4" t="s">
        <x:v>761</x:v>
      </x:c>
      <x:c r="G254" s="3" t="s">
        <x:v>14</x:v>
      </x:c>
    </x:row>
    <x:row r="255">
      <x:c r="A255" s="3" t="s">
        <x:v>762</x:v>
      </x:c>
      <x:c r="B255" s="3" t="s">
        <x:v>10</x:v>
      </x:c>
      <x:c r="C255" s="3" t="s">
        <x:v>763</x:v>
      </x:c>
      <x:c r="D255" s="4" t="s">
        <x:v>12</x:v>
      </x:c>
      <x:c r="E255" s="4"/>
      <x:c r="F255" s="4" t="s">
        <x:v>764</x:v>
      </x:c>
      <x:c r="G255" s="3" t="s">
        <x:v>14</x:v>
      </x:c>
    </x:row>
    <x:row r="256">
      <x:c r="A256" s="3" t="s">
        <x:v>765</x:v>
      </x:c>
      <x:c r="B256" s="3" t="s">
        <x:v>10</x:v>
      </x:c>
      <x:c r="C256" s="3" t="s">
        <x:v>766</x:v>
      </x:c>
      <x:c r="D256" s="4" t="s">
        <x:v>12</x:v>
      </x:c>
      <x:c r="E256" s="4"/>
      <x:c r="F256" s="4" t="s">
        <x:v>767</x:v>
      </x:c>
      <x:c r="G256" s="3" t="s">
        <x:v>14</x:v>
      </x:c>
    </x:row>
    <x:row r="257">
      <x:c r="A257" s="3" t="s">
        <x:v>768</x:v>
      </x:c>
      <x:c r="B257" s="3" t="s">
        <x:v>10</x:v>
      </x:c>
      <x:c r="C257" s="3" t="s">
        <x:v>769</x:v>
      </x:c>
      <x:c r="D257" s="4" t="s">
        <x:v>12</x:v>
      </x:c>
      <x:c r="E257" s="4"/>
      <x:c r="F257" s="4" t="s">
        <x:v>770</x:v>
      </x:c>
      <x:c r="G257" s="3" t="s">
        <x:v>14</x:v>
      </x:c>
    </x:row>
    <x:row r="258">
      <x:c r="A258" s="3" t="s">
        <x:v>771</x:v>
      </x:c>
      <x:c r="B258" s="3" t="s">
        <x:v>10</x:v>
      </x:c>
      <x:c r="C258" s="3" t="s">
        <x:v>772</x:v>
      </x:c>
      <x:c r="D258" s="4" t="s">
        <x:v>12</x:v>
      </x:c>
      <x:c r="E258" s="4"/>
      <x:c r="F258" s="4" t="s">
        <x:v>773</x:v>
      </x:c>
      <x:c r="G258" s="3" t="s">
        <x:v>14</x:v>
      </x:c>
    </x:row>
    <x:row r="259">
      <x:c r="A259" s="3" t="s">
        <x:v>774</x:v>
      </x:c>
      <x:c r="B259" s="3" t="s">
        <x:v>10</x:v>
      </x:c>
      <x:c r="C259" s="3" t="s">
        <x:v>775</x:v>
      </x:c>
      <x:c r="D259" s="4" t="s">
        <x:v>12</x:v>
      </x:c>
      <x:c r="E259" s="4"/>
      <x:c r="F259" s="4" t="s">
        <x:v>776</x:v>
      </x:c>
      <x:c r="G259" s="3" t="s">
        <x:v>14</x:v>
      </x:c>
    </x:row>
    <x:row r="260">
      <x:c r="A260" s="3" t="s">
        <x:v>777</x:v>
      </x:c>
      <x:c r="B260" s="3" t="s">
        <x:v>10</x:v>
      </x:c>
      <x:c r="C260" s="3" t="s">
        <x:v>778</x:v>
      </x:c>
      <x:c r="D260" s="4" t="s">
        <x:v>12</x:v>
      </x:c>
      <x:c r="E260" s="4"/>
      <x:c r="F260" s="4" t="s">
        <x:v>779</x:v>
      </x:c>
      <x:c r="G260" s="3" t="s">
        <x:v>14</x:v>
      </x:c>
    </x:row>
    <x:row r="261">
      <x:c r="A261" s="3" t="s">
        <x:v>780</x:v>
      </x:c>
      <x:c r="B261" s="3" t="s">
        <x:v>10</x:v>
      </x:c>
      <x:c r="C261" s="3" t="s">
        <x:v>781</x:v>
      </x:c>
      <x:c r="D261" s="4" t="s">
        <x:v>12</x:v>
      </x:c>
      <x:c r="E261" s="4"/>
      <x:c r="F261" s="4" t="s">
        <x:v>782</x:v>
      </x:c>
      <x:c r="G261" s="3" t="s">
        <x:v>14</x:v>
      </x:c>
    </x:row>
    <x:row r="262">
      <x:c r="A262" s="3" t="s">
        <x:v>783</x:v>
      </x:c>
      <x:c r="B262" s="3" t="s">
        <x:v>10</x:v>
      </x:c>
      <x:c r="C262" s="3" t="s">
        <x:v>784</x:v>
      </x:c>
      <x:c r="D262" s="4" t="s">
        <x:v>12</x:v>
      </x:c>
      <x:c r="E262" s="4"/>
      <x:c r="F262" s="4" t="s">
        <x:v>785</x:v>
      </x:c>
      <x:c r="G262" s="3" t="s">
        <x:v>14</x:v>
      </x:c>
    </x:row>
    <x:row r="263">
      <x:c r="A263" s="3" t="s">
        <x:v>786</x:v>
      </x:c>
      <x:c r="B263" s="3" t="s">
        <x:v>10</x:v>
      </x:c>
      <x:c r="C263" s="3" t="s">
        <x:v>787</x:v>
      </x:c>
      <x:c r="D263" s="4" t="s">
        <x:v>12</x:v>
      </x:c>
      <x:c r="E263" s="4"/>
      <x:c r="F263" s="4" t="s">
        <x:v>788</x:v>
      </x:c>
      <x:c r="G263" s="3" t="s">
        <x:v>14</x:v>
      </x:c>
    </x:row>
    <x:row r="264">
      <x:c r="A264" s="3" t="s">
        <x:v>789</x:v>
      </x:c>
      <x:c r="B264" s="3" t="s">
        <x:v>10</x:v>
      </x:c>
      <x:c r="C264" s="3" t="s">
        <x:v>790</x:v>
      </x:c>
      <x:c r="D264" s="4" t="s">
        <x:v>12</x:v>
      </x:c>
      <x:c r="E264" s="4"/>
      <x:c r="F264" s="4" t="s">
        <x:v>791</x:v>
      </x:c>
      <x:c r="G264" s="3" t="s">
        <x:v>14</x:v>
      </x:c>
    </x:row>
    <x:row r="265">
      <x:c r="A265" s="3" t="s">
        <x:v>792</x:v>
      </x:c>
      <x:c r="B265" s="3" t="s">
        <x:v>10</x:v>
      </x:c>
      <x:c r="C265" s="3" t="s">
        <x:v>793</x:v>
      </x:c>
      <x:c r="D265" s="4" t="s">
        <x:v>12</x:v>
      </x:c>
      <x:c r="E265" s="4"/>
      <x:c r="F265" s="4" t="s">
        <x:v>794</x:v>
      </x:c>
      <x:c r="G265" s="3" t="s">
        <x:v>14</x:v>
      </x:c>
    </x:row>
    <x:row r="266">
      <x:c r="A266" s="3" t="s">
        <x:v>795</x:v>
      </x:c>
      <x:c r="B266" s="3" t="s">
        <x:v>10</x:v>
      </x:c>
      <x:c r="C266" s="3" t="s">
        <x:v>796</x:v>
      </x:c>
      <x:c r="D266" s="4" t="s">
        <x:v>12</x:v>
      </x:c>
      <x:c r="E266" s="4"/>
      <x:c r="F266" s="4" t="s">
        <x:v>797</x:v>
      </x:c>
      <x:c r="G266" s="3" t="s">
        <x:v>14</x:v>
      </x:c>
    </x:row>
    <x:row r="267">
      <x:c r="A267" s="3" t="s">
        <x:v>798</x:v>
      </x:c>
      <x:c r="B267" s="3" t="s">
        <x:v>10</x:v>
      </x:c>
      <x:c r="C267" s="3" t="s">
        <x:v>799</x:v>
      </x:c>
      <x:c r="D267" s="4" t="s">
        <x:v>12</x:v>
      </x:c>
      <x:c r="E267" s="4"/>
      <x:c r="F267" s="4" t="s">
        <x:v>800</x:v>
      </x:c>
      <x:c r="G267" s="3" t="s">
        <x:v>14</x:v>
      </x:c>
    </x:row>
    <x:row r="268">
      <x:c r="A268" s="3" t="s">
        <x:v>801</x:v>
      </x:c>
      <x:c r="B268" s="3" t="s">
        <x:v>10</x:v>
      </x:c>
      <x:c r="C268" s="3" t="s">
        <x:v>802</x:v>
      </x:c>
      <x:c r="D268" s="4" t="s">
        <x:v>12</x:v>
      </x:c>
      <x:c r="E268" s="4"/>
      <x:c r="F268" s="4" t="s">
        <x:v>803</x:v>
      </x:c>
      <x:c r="G268" s="3" t="s">
        <x:v>14</x:v>
      </x:c>
    </x:row>
    <x:row r="269">
      <x:c r="A269" s="3" t="s">
        <x:v>804</x:v>
      </x:c>
      <x:c r="B269" s="3" t="s">
        <x:v>10</x:v>
      </x:c>
      <x:c r="C269" s="3" t="s">
        <x:v>805</x:v>
      </x:c>
      <x:c r="D269" s="4" t="s">
        <x:v>12</x:v>
      </x:c>
      <x:c r="E269" s="4"/>
      <x:c r="F269" s="4" t="s">
        <x:v>806</x:v>
      </x:c>
      <x:c r="G269" s="3" t="s">
        <x:v>14</x:v>
      </x:c>
    </x:row>
    <x:row r="270">
      <x:c r="A270" s="3" t="s">
        <x:v>807</x:v>
      </x:c>
      <x:c r="B270" s="3" t="s">
        <x:v>10</x:v>
      </x:c>
      <x:c r="C270" s="3" t="s">
        <x:v>808</x:v>
      </x:c>
      <x:c r="D270" s="4" t="s">
        <x:v>12</x:v>
      </x:c>
      <x:c r="E270" s="4"/>
      <x:c r="F270" s="4" t="s">
        <x:v>809</x:v>
      </x:c>
      <x:c r="G270" s="3" t="s">
        <x:v>14</x:v>
      </x:c>
    </x:row>
    <x:row r="271">
      <x:c r="A271" s="3" t="s">
        <x:v>810</x:v>
      </x:c>
      <x:c r="B271" s="3" t="s">
        <x:v>10</x:v>
      </x:c>
      <x:c r="C271" s="3" t="s">
        <x:v>811</x:v>
      </x:c>
      <x:c r="D271" s="4" t="s">
        <x:v>12</x:v>
      </x:c>
      <x:c r="E271" s="4"/>
      <x:c r="F271" s="4" t="s">
        <x:v>812</x:v>
      </x:c>
      <x:c r="G271" s="3" t="s">
        <x:v>14</x:v>
      </x:c>
    </x:row>
    <x:row r="272">
      <x:c r="A272" s="3" t="s">
        <x:v>813</x:v>
      </x:c>
      <x:c r="B272" s="3" t="s">
        <x:v>10</x:v>
      </x:c>
      <x:c r="C272" s="3" t="s">
        <x:v>814</x:v>
      </x:c>
      <x:c r="D272" s="4" t="s">
        <x:v>12</x:v>
      </x:c>
      <x:c r="E272" s="4"/>
      <x:c r="F272" s="4" t="s">
        <x:v>815</x:v>
      </x:c>
      <x:c r="G272" s="3" t="s">
        <x:v>14</x:v>
      </x:c>
    </x:row>
    <x:row r="273">
      <x:c r="A273" s="3" t="s">
        <x:v>816</x:v>
      </x:c>
      <x:c r="B273" s="3" t="s">
        <x:v>10</x:v>
      </x:c>
      <x:c r="C273" s="3" t="s">
        <x:v>817</x:v>
      </x:c>
      <x:c r="D273" s="4" t="s">
        <x:v>12</x:v>
      </x:c>
      <x:c r="E273" s="4"/>
      <x:c r="F273" s="4" t="s">
        <x:v>818</x:v>
      </x:c>
      <x:c r="G273" s="3" t="s">
        <x:v>14</x:v>
      </x:c>
    </x:row>
    <x:row r="274">
      <x:c r="A274" s="3" t="s">
        <x:v>819</x:v>
      </x:c>
      <x:c r="B274" s="3" t="s">
        <x:v>10</x:v>
      </x:c>
      <x:c r="C274" s="3" t="s">
        <x:v>820</x:v>
      </x:c>
      <x:c r="D274" s="4" t="s">
        <x:v>12</x:v>
      </x:c>
      <x:c r="E274" s="4"/>
      <x:c r="F274" s="4" t="s">
        <x:v>821</x:v>
      </x:c>
      <x:c r="G274" s="3" t="s">
        <x:v>14</x:v>
      </x:c>
    </x:row>
    <x:row r="275">
      <x:c r="A275" s="3" t="s">
        <x:v>822</x:v>
      </x:c>
      <x:c r="B275" s="3" t="s">
        <x:v>10</x:v>
      </x:c>
      <x:c r="C275" s="3" t="s">
        <x:v>823</x:v>
      </x:c>
      <x:c r="D275" s="4" t="s">
        <x:v>12</x:v>
      </x:c>
      <x:c r="E275" s="4"/>
      <x:c r="F275" s="4" t="s">
        <x:v>824</x:v>
      </x:c>
      <x:c r="G275" s="3" t="s">
        <x:v>14</x:v>
      </x:c>
    </x:row>
    <x:row r="276">
      <x:c r="A276" s="3" t="s">
        <x:v>825</x:v>
      </x:c>
      <x:c r="B276" s="3" t="s">
        <x:v>10</x:v>
      </x:c>
      <x:c r="C276" s="3" t="s">
        <x:v>826</x:v>
      </x:c>
      <x:c r="D276" s="4" t="s">
        <x:v>12</x:v>
      </x:c>
      <x:c r="E276" s="4"/>
      <x:c r="F276" s="4" t="s">
        <x:v>827</x:v>
      </x:c>
      <x:c r="G276" s="3" t="s">
        <x:v>14</x:v>
      </x:c>
    </x:row>
    <x:row r="277">
      <x:c r="A277" s="3" t="s">
        <x:v>828</x:v>
      </x:c>
      <x:c r="B277" s="3" t="s">
        <x:v>10</x:v>
      </x:c>
      <x:c r="C277" s="3" t="s">
        <x:v>829</x:v>
      </x:c>
      <x:c r="D277" s="4" t="s">
        <x:v>12</x:v>
      </x:c>
      <x:c r="E277" s="4"/>
      <x:c r="F277" s="4" t="s">
        <x:v>830</x:v>
      </x:c>
      <x:c r="G277" s="3" t="s">
        <x:v>14</x:v>
      </x:c>
    </x:row>
    <x:row r="278">
      <x:c r="A278" s="3" t="s">
        <x:v>831</x:v>
      </x:c>
      <x:c r="B278" s="3" t="s">
        <x:v>10</x:v>
      </x:c>
      <x:c r="C278" s="3" t="s">
        <x:v>832</x:v>
      </x:c>
      <x:c r="D278" s="4" t="s">
        <x:v>12</x:v>
      </x:c>
      <x:c r="E278" s="4"/>
      <x:c r="F278" s="4" t="s">
        <x:v>833</x:v>
      </x:c>
      <x:c r="G278" s="3" t="s">
        <x:v>14</x:v>
      </x:c>
    </x:row>
    <x:row r="279">
      <x:c r="A279" s="3" t="s">
        <x:v>834</x:v>
      </x:c>
      <x:c r="B279" s="3" t="s">
        <x:v>10</x:v>
      </x:c>
      <x:c r="C279" s="3" t="s">
        <x:v>835</x:v>
      </x:c>
      <x:c r="D279" s="4" t="s">
        <x:v>12</x:v>
      </x:c>
      <x:c r="E279" s="4"/>
      <x:c r="F279" s="4" t="s">
        <x:v>836</x:v>
      </x:c>
      <x:c r="G279" s="3" t="s">
        <x:v>14</x:v>
      </x:c>
    </x:row>
    <x:row r="280">
      <x:c r="A280" s="3" t="s">
        <x:v>837</x:v>
      </x:c>
      <x:c r="B280" s="3" t="s">
        <x:v>10</x:v>
      </x:c>
      <x:c r="C280" s="3" t="s">
        <x:v>838</x:v>
      </x:c>
      <x:c r="D280" s="4" t="s">
        <x:v>12</x:v>
      </x:c>
      <x:c r="E280" s="4"/>
      <x:c r="F280" s="4" t="s">
        <x:v>839</x:v>
      </x:c>
      <x:c r="G280" s="3" t="s">
        <x:v>14</x:v>
      </x:c>
    </x:row>
    <x:row r="281">
      <x:c r="A281" s="3" t="s">
        <x:v>840</x:v>
      </x:c>
      <x:c r="B281" s="3" t="s">
        <x:v>10</x:v>
      </x:c>
      <x:c r="C281" s="3" t="s">
        <x:v>841</x:v>
      </x:c>
      <x:c r="D281" s="4" t="s">
        <x:v>12</x:v>
      </x:c>
      <x:c r="E281" s="4"/>
      <x:c r="F281" s="4" t="s">
        <x:v>842</x:v>
      </x:c>
      <x:c r="G281" s="3" t="s">
        <x:v>14</x:v>
      </x:c>
    </x:row>
    <x:row r="282">
      <x:c r="A282" s="3" t="s">
        <x:v>843</x:v>
      </x:c>
      <x:c r="B282" s="3" t="s">
        <x:v>10</x:v>
      </x:c>
      <x:c r="C282" s="3" t="s">
        <x:v>844</x:v>
      </x:c>
      <x:c r="D282" s="4" t="s">
        <x:v>12</x:v>
      </x:c>
      <x:c r="E282" s="4"/>
      <x:c r="F282" s="4" t="s">
        <x:v>845</x:v>
      </x:c>
      <x:c r="G282" s="3" t="s">
        <x:v>14</x:v>
      </x:c>
    </x:row>
    <x:row r="283">
      <x:c r="A283" s="3" t="s">
        <x:v>846</x:v>
      </x:c>
      <x:c r="B283" s="3" t="s">
        <x:v>10</x:v>
      </x:c>
      <x:c r="C283" s="3" t="s">
        <x:v>847</x:v>
      </x:c>
      <x:c r="D283" s="4" t="s">
        <x:v>12</x:v>
      </x:c>
      <x:c r="E283" s="4"/>
      <x:c r="F283" s="4" t="s">
        <x:v>848</x:v>
      </x:c>
      <x:c r="G283" s="3" t="s">
        <x:v>14</x:v>
      </x:c>
    </x:row>
    <x:row r="284">
      <x:c r="A284" s="3" t="s">
        <x:v>849</x:v>
      </x:c>
      <x:c r="B284" s="3" t="s">
        <x:v>10</x:v>
      </x:c>
      <x:c r="C284" s="3" t="s">
        <x:v>850</x:v>
      </x:c>
      <x:c r="D284" s="4" t="s">
        <x:v>12</x:v>
      </x:c>
      <x:c r="E284" s="4"/>
      <x:c r="F284" s="4" t="s">
        <x:v>851</x:v>
      </x:c>
      <x:c r="G284" s="3" t="s">
        <x:v>14</x:v>
      </x:c>
    </x:row>
    <x:row r="285">
      <x:c r="A285" s="3" t="s">
        <x:v>852</x:v>
      </x:c>
      <x:c r="B285" s="3" t="s">
        <x:v>10</x:v>
      </x:c>
      <x:c r="C285" s="3" t="s">
        <x:v>853</x:v>
      </x:c>
      <x:c r="D285" s="4" t="s">
        <x:v>12</x:v>
      </x:c>
      <x:c r="E285" s="4"/>
      <x:c r="F285" s="4" t="s">
        <x:v>854</x:v>
      </x:c>
      <x:c r="G285" s="3" t="s">
        <x:v>14</x:v>
      </x:c>
    </x:row>
    <x:row r="286">
      <x:c r="A286" s="3" t="s">
        <x:v>855</x:v>
      </x:c>
      <x:c r="B286" s="3" t="s">
        <x:v>10</x:v>
      </x:c>
      <x:c r="C286" s="3" t="s">
        <x:v>856</x:v>
      </x:c>
      <x:c r="D286" s="4" t="s">
        <x:v>12</x:v>
      </x:c>
      <x:c r="E286" s="4"/>
      <x:c r="F286" s="4" t="s">
        <x:v>857</x:v>
      </x:c>
      <x:c r="G286" s="3" t="s">
        <x:v>14</x:v>
      </x:c>
    </x:row>
    <x:row r="287">
      <x:c r="A287" s="3" t="s">
        <x:v>858</x:v>
      </x:c>
      <x:c r="B287" s="3" t="s">
        <x:v>10</x:v>
      </x:c>
      <x:c r="C287" s="3" t="s">
        <x:v>859</x:v>
      </x:c>
      <x:c r="D287" s="4" t="s">
        <x:v>12</x:v>
      </x:c>
      <x:c r="E287" s="4"/>
      <x:c r="F287" s="4" t="s">
        <x:v>860</x:v>
      </x:c>
      <x:c r="G287" s="3" t="s">
        <x:v>14</x:v>
      </x:c>
    </x:row>
    <x:row r="288">
      <x:c r="A288" s="3" t="s">
        <x:v>861</x:v>
      </x:c>
      <x:c r="B288" s="3" t="s">
        <x:v>10</x:v>
      </x:c>
      <x:c r="C288" s="3" t="s">
        <x:v>862</x:v>
      </x:c>
      <x:c r="D288" s="4" t="s">
        <x:v>12</x:v>
      </x:c>
      <x:c r="E288" s="4"/>
      <x:c r="F288" s="4" t="s">
        <x:v>863</x:v>
      </x:c>
      <x:c r="G288" s="3" t="s">
        <x:v>14</x:v>
      </x:c>
    </x:row>
    <x:row r="289">
      <x:c r="A289" s="3" t="s">
        <x:v>864</x:v>
      </x:c>
      <x:c r="B289" s="3" t="s">
        <x:v>10</x:v>
      </x:c>
      <x:c r="C289" s="3" t="s">
        <x:v>865</x:v>
      </x:c>
      <x:c r="D289" s="4" t="s">
        <x:v>12</x:v>
      </x:c>
      <x:c r="E289" s="4"/>
      <x:c r="F289" s="4" t="s">
        <x:v>866</x:v>
      </x:c>
      <x:c r="G289" s="3" t="s">
        <x:v>14</x:v>
      </x:c>
    </x:row>
    <x:row r="290">
      <x:c r="A290" s="3" t="s">
        <x:v>867</x:v>
      </x:c>
      <x:c r="B290" s="3" t="s">
        <x:v>10</x:v>
      </x:c>
      <x:c r="C290" s="3" t="s">
        <x:v>868</x:v>
      </x:c>
      <x:c r="D290" s="4" t="s">
        <x:v>12</x:v>
      </x:c>
      <x:c r="E290" s="4"/>
      <x:c r="F290" s="4" t="s">
        <x:v>869</x:v>
      </x:c>
      <x:c r="G290" s="3" t="s">
        <x:v>14</x:v>
      </x:c>
    </x:row>
    <x:row r="291">
      <x:c r="A291" s="3" t="s">
        <x:v>870</x:v>
      </x:c>
      <x:c r="B291" s="3" t="s">
        <x:v>10</x:v>
      </x:c>
      <x:c r="C291" s="3" t="s">
        <x:v>871</x:v>
      </x:c>
      <x:c r="D291" s="4" t="s">
        <x:v>12</x:v>
      </x:c>
      <x:c r="E291" s="4"/>
      <x:c r="F291" s="4" t="s">
        <x:v>872</x:v>
      </x:c>
      <x:c r="G291" s="3" t="s">
        <x:v>14</x:v>
      </x:c>
    </x:row>
    <x:row r="292">
      <x:c r="A292" s="3" t="s">
        <x:v>873</x:v>
      </x:c>
      <x:c r="B292" s="3" t="s">
        <x:v>10</x:v>
      </x:c>
      <x:c r="C292" s="3" t="s">
        <x:v>874</x:v>
      </x:c>
      <x:c r="D292" s="4" t="s">
        <x:v>12</x:v>
      </x:c>
      <x:c r="E292" s="4"/>
      <x:c r="F292" s="4" t="s">
        <x:v>875</x:v>
      </x:c>
      <x:c r="G292" s="3" t="s">
        <x:v>14</x:v>
      </x:c>
    </x:row>
    <x:row r="293">
      <x:c r="A293" s="3" t="s">
        <x:v>876</x:v>
      </x:c>
      <x:c r="B293" s="3" t="s">
        <x:v>10</x:v>
      </x:c>
      <x:c r="C293" s="3" t="s">
        <x:v>877</x:v>
      </x:c>
      <x:c r="D293" s="4" t="s">
        <x:v>12</x:v>
      </x:c>
      <x:c r="E293" s="4"/>
      <x:c r="F293" s="4" t="s">
        <x:v>878</x:v>
      </x:c>
      <x:c r="G293" s="3" t="s">
        <x:v>14</x:v>
      </x:c>
    </x:row>
    <x:row r="294">
      <x:c r="A294" s="3" t="s">
        <x:v>879</x:v>
      </x:c>
      <x:c r="B294" s="3" t="s">
        <x:v>10</x:v>
      </x:c>
      <x:c r="C294" s="3" t="s">
        <x:v>880</x:v>
      </x:c>
      <x:c r="D294" s="4" t="s">
        <x:v>12</x:v>
      </x:c>
      <x:c r="E294" s="4"/>
      <x:c r="F294" s="4" t="s">
        <x:v>881</x:v>
      </x:c>
      <x:c r="G294" s="3" t="s">
        <x:v>14</x:v>
      </x:c>
    </x:row>
    <x:row r="295">
      <x:c r="A295" s="3" t="s">
        <x:v>882</x:v>
      </x:c>
      <x:c r="B295" s="3" t="s">
        <x:v>10</x:v>
      </x:c>
      <x:c r="C295" s="3" t="s">
        <x:v>883</x:v>
      </x:c>
      <x:c r="D295" s="4" t="s">
        <x:v>12</x:v>
      </x:c>
      <x:c r="E295" s="4"/>
      <x:c r="F295" s="4" t="s">
        <x:v>884</x:v>
      </x:c>
      <x:c r="G295" s="3" t="s">
        <x:v>14</x:v>
      </x:c>
    </x:row>
    <x:row r="296">
      <x:c r="A296" s="3" t="s">
        <x:v>885</x:v>
      </x:c>
      <x:c r="B296" s="3" t="s">
        <x:v>10</x:v>
      </x:c>
      <x:c r="C296" s="3" t="s">
        <x:v>886</x:v>
      </x:c>
      <x:c r="D296" s="4" t="s">
        <x:v>12</x:v>
      </x:c>
      <x:c r="E296" s="4"/>
      <x:c r="F296" s="4" t="s">
        <x:v>887</x:v>
      </x:c>
      <x:c r="G296" s="3" t="s">
        <x:v>14</x:v>
      </x:c>
    </x:row>
    <x:row r="297">
      <x:c r="A297" s="3" t="s">
        <x:v>888</x:v>
      </x:c>
      <x:c r="B297" s="3" t="s">
        <x:v>10</x:v>
      </x:c>
      <x:c r="C297" s="3" t="s">
        <x:v>889</x:v>
      </x:c>
      <x:c r="D297" s="4" t="s">
        <x:v>12</x:v>
      </x:c>
      <x:c r="E297" s="4"/>
      <x:c r="F297" s="4" t="s">
        <x:v>890</x:v>
      </x:c>
      <x:c r="G297" s="3" t="s">
        <x:v>14</x:v>
      </x:c>
    </x:row>
    <x:row r="298">
      <x:c r="A298" s="3" t="s">
        <x:v>891</x:v>
      </x:c>
      <x:c r="B298" s="3" t="s">
        <x:v>10</x:v>
      </x:c>
      <x:c r="C298" s="3" t="s">
        <x:v>892</x:v>
      </x:c>
      <x:c r="D298" s="4" t="s">
        <x:v>12</x:v>
      </x:c>
      <x:c r="E298" s="4"/>
      <x:c r="F298" s="4" t="s">
        <x:v>893</x:v>
      </x:c>
      <x:c r="G298" s="3" t="s">
        <x:v>14</x:v>
      </x:c>
    </x:row>
    <x:row r="299">
      <x:c r="A299" s="3" t="s">
        <x:v>894</x:v>
      </x:c>
      <x:c r="B299" s="3" t="s">
        <x:v>10</x:v>
      </x:c>
      <x:c r="C299" s="3" t="s">
        <x:v>895</x:v>
      </x:c>
      <x:c r="D299" s="4" t="s">
        <x:v>12</x:v>
      </x:c>
      <x:c r="E299" s="4"/>
      <x:c r="F299" s="4" t="s">
        <x:v>896</x:v>
      </x:c>
      <x:c r="G299" s="3" t="s">
        <x:v>14</x:v>
      </x:c>
    </x:row>
    <x:row r="300">
      <x:c r="A300" s="3" t="s">
        <x:v>897</x:v>
      </x:c>
      <x:c r="B300" s="3" t="s">
        <x:v>10</x:v>
      </x:c>
      <x:c r="C300" s="3" t="s">
        <x:v>898</x:v>
      </x:c>
      <x:c r="D300" s="4" t="s">
        <x:v>12</x:v>
      </x:c>
      <x:c r="E300" s="4"/>
      <x:c r="F300" s="4" t="s">
        <x:v>899</x:v>
      </x:c>
      <x:c r="G300" s="3" t="s">
        <x:v>14</x:v>
      </x:c>
    </x:row>
    <x:row r="301">
      <x:c r="A301" s="3" t="s">
        <x:v>900</x:v>
      </x:c>
      <x:c r="B301" s="3" t="s">
        <x:v>10</x:v>
      </x:c>
      <x:c r="C301" s="3" t="s">
        <x:v>901</x:v>
      </x:c>
      <x:c r="D301" s="4" t="s">
        <x:v>12</x:v>
      </x:c>
      <x:c r="E301" s="4"/>
      <x:c r="F301" s="4" t="s">
        <x:v>902</x:v>
      </x:c>
      <x:c r="G301" s="3" t="s">
        <x:v>14</x:v>
      </x:c>
    </x:row>
    <x:row r="302">
      <x:c r="A302" s="3" t="s">
        <x:v>903</x:v>
      </x:c>
      <x:c r="B302" s="3" t="s">
        <x:v>10</x:v>
      </x:c>
      <x:c r="C302" s="3" t="s">
        <x:v>904</x:v>
      </x:c>
      <x:c r="D302" s="4" t="s">
        <x:v>12</x:v>
      </x:c>
      <x:c r="E302" s="4"/>
      <x:c r="F302" s="4" t="s">
        <x:v>905</x:v>
      </x:c>
      <x:c r="G302" s="3" t="s">
        <x:v>14</x:v>
      </x:c>
    </x:row>
    <x:row r="303">
      <x:c r="A303" s="3" t="s">
        <x:v>906</x:v>
      </x:c>
      <x:c r="B303" s="3" t="s">
        <x:v>10</x:v>
      </x:c>
      <x:c r="C303" s="3" t="s">
        <x:v>907</x:v>
      </x:c>
      <x:c r="D303" s="4" t="s">
        <x:v>12</x:v>
      </x:c>
      <x:c r="E303" s="4"/>
      <x:c r="F303" s="4" t="s">
        <x:v>908</x:v>
      </x:c>
      <x:c r="G303" s="3" t="s">
        <x:v>14</x:v>
      </x:c>
    </x:row>
    <x:row r="304">
      <x:c r="A304" s="3" t="s">
        <x:v>909</x:v>
      </x:c>
      <x:c r="B304" s="3" t="s">
        <x:v>10</x:v>
      </x:c>
      <x:c r="C304" s="3" t="s">
        <x:v>910</x:v>
      </x:c>
      <x:c r="D304" s="4" t="s">
        <x:v>12</x:v>
      </x:c>
      <x:c r="E304" s="4"/>
      <x:c r="F304" s="4" t="s">
        <x:v>911</x:v>
      </x:c>
      <x:c r="G304" s="3" t="s">
        <x:v>14</x:v>
      </x:c>
    </x:row>
    <x:row r="305">
      <x:c r="A305" s="3" t="s">
        <x:v>912</x:v>
      </x:c>
      <x:c r="B305" s="3" t="s">
        <x:v>10</x:v>
      </x:c>
      <x:c r="C305" s="3" t="s">
        <x:v>913</x:v>
      </x:c>
      <x:c r="D305" s="4" t="s">
        <x:v>12</x:v>
      </x:c>
      <x:c r="E305" s="4"/>
      <x:c r="F305" s="4" t="s">
        <x:v>914</x:v>
      </x:c>
      <x:c r="G305" s="3" t="s">
        <x:v>14</x:v>
      </x:c>
    </x:row>
    <x:row r="306">
      <x:c r="A306" s="3" t="s">
        <x:v>915</x:v>
      </x:c>
      <x:c r="B306" s="3" t="s">
        <x:v>10</x:v>
      </x:c>
      <x:c r="C306" s="3" t="s">
        <x:v>916</x:v>
      </x:c>
      <x:c r="D306" s="4" t="s">
        <x:v>12</x:v>
      </x:c>
      <x:c r="E306" s="4"/>
      <x:c r="F306" s="4" t="s">
        <x:v>917</x:v>
      </x:c>
      <x:c r="G306" s="3" t="s">
        <x:v>14</x:v>
      </x:c>
    </x:row>
    <x:row r="307">
      <x:c r="A307" s="3" t="s">
        <x:v>918</x:v>
      </x:c>
      <x:c r="B307" s="3" t="s">
        <x:v>10</x:v>
      </x:c>
      <x:c r="C307" s="3" t="s">
        <x:v>919</x:v>
      </x:c>
      <x:c r="D307" s="4" t="s">
        <x:v>12</x:v>
      </x:c>
      <x:c r="E307" s="4"/>
      <x:c r="F307" s="4" t="s">
        <x:v>920</x:v>
      </x:c>
      <x:c r="G307" s="3" t="s">
        <x:v>14</x:v>
      </x:c>
    </x:row>
    <x:row r="308">
      <x:c r="A308" s="3" t="s">
        <x:v>921</x:v>
      </x:c>
      <x:c r="B308" s="3" t="s">
        <x:v>10</x:v>
      </x:c>
      <x:c r="C308" s="3" t="s">
        <x:v>922</x:v>
      </x:c>
      <x:c r="D308" s="4" t="s">
        <x:v>12</x:v>
      </x:c>
      <x:c r="E308" s="4"/>
      <x:c r="F308" s="4" t="s">
        <x:v>923</x:v>
      </x:c>
      <x:c r="G308" s="3" t="s">
        <x:v>14</x:v>
      </x:c>
    </x:row>
    <x:row r="309">
      <x:c r="A309" s="3" t="s">
        <x:v>924</x:v>
      </x:c>
      <x:c r="B309" s="3" t="s">
        <x:v>10</x:v>
      </x:c>
      <x:c r="C309" s="3" t="s">
        <x:v>925</x:v>
      </x:c>
      <x:c r="D309" s="4" t="s">
        <x:v>12</x:v>
      </x:c>
      <x:c r="E309" s="4"/>
      <x:c r="F309" s="4" t="s">
        <x:v>926</x:v>
      </x:c>
      <x:c r="G309" s="3" t="s">
        <x:v>14</x:v>
      </x:c>
    </x:row>
    <x:row r="310">
      <x:c r="A310" s="3" t="s">
        <x:v>927</x:v>
      </x:c>
      <x:c r="B310" s="3" t="s">
        <x:v>10</x:v>
      </x:c>
      <x:c r="C310" s="3" t="s">
        <x:v>928</x:v>
      </x:c>
      <x:c r="D310" s="4" t="s">
        <x:v>12</x:v>
      </x:c>
      <x:c r="E310" s="4"/>
      <x:c r="F310" s="4" t="s">
        <x:v>929</x:v>
      </x:c>
      <x:c r="G310" s="3" t="s">
        <x:v>14</x:v>
      </x:c>
    </x:row>
    <x:row r="311">
      <x:c r="A311" s="3" t="s">
        <x:v>930</x:v>
      </x:c>
      <x:c r="B311" s="3" t="s">
        <x:v>10</x:v>
      </x:c>
      <x:c r="C311" s="3" t="s">
        <x:v>931</x:v>
      </x:c>
      <x:c r="D311" s="4" t="s">
        <x:v>12</x:v>
      </x:c>
      <x:c r="E311" s="4"/>
      <x:c r="F311" s="4" t="s">
        <x:v>932</x:v>
      </x:c>
      <x:c r="G311" s="3" t="s">
        <x:v>14</x:v>
      </x:c>
    </x:row>
    <x:row r="312">
      <x:c r="A312" s="3" t="s">
        <x:v>933</x:v>
      </x:c>
      <x:c r="B312" s="3" t="s">
        <x:v>10</x:v>
      </x:c>
      <x:c r="C312" s="3" t="s">
        <x:v>934</x:v>
      </x:c>
      <x:c r="D312" s="4" t="s">
        <x:v>12</x:v>
      </x:c>
      <x:c r="E312" s="4"/>
      <x:c r="F312" s="4" t="s">
        <x:v>935</x:v>
      </x:c>
      <x:c r="G312" s="3" t="s">
        <x:v>14</x:v>
      </x:c>
    </x:row>
    <x:row r="313">
      <x:c r="A313" s="3" t="s">
        <x:v>936</x:v>
      </x:c>
      <x:c r="B313" s="3" t="s">
        <x:v>10</x:v>
      </x:c>
      <x:c r="C313" s="3" t="s">
        <x:v>937</x:v>
      </x:c>
      <x:c r="D313" s="4" t="s">
        <x:v>12</x:v>
      </x:c>
      <x:c r="E313" s="4"/>
      <x:c r="F313" s="4" t="s">
        <x:v>938</x:v>
      </x:c>
      <x:c r="G313" s="3" t="s">
        <x:v>14</x:v>
      </x:c>
    </x:row>
    <x:row r="314">
      <x:c r="A314" s="3" t="s">
        <x:v>939</x:v>
      </x:c>
      <x:c r="B314" s="3" t="s">
        <x:v>10</x:v>
      </x:c>
      <x:c r="C314" s="3" t="s">
        <x:v>940</x:v>
      </x:c>
      <x:c r="D314" s="4" t="s">
        <x:v>12</x:v>
      </x:c>
      <x:c r="E314" s="4"/>
      <x:c r="F314" s="4" t="s">
        <x:v>941</x:v>
      </x:c>
      <x:c r="G314" s="3" t="s">
        <x:v>14</x:v>
      </x:c>
    </x:row>
    <x:row r="315">
      <x:c r="A315" s="3" t="s">
        <x:v>942</x:v>
      </x:c>
      <x:c r="B315" s="3" t="s">
        <x:v>10</x:v>
      </x:c>
      <x:c r="C315" s="3" t="s">
        <x:v>943</x:v>
      </x:c>
      <x:c r="D315" s="4" t="s">
        <x:v>12</x:v>
      </x:c>
      <x:c r="E315" s="4"/>
      <x:c r="F315" s="4" t="s">
        <x:v>944</x:v>
      </x:c>
      <x:c r="G315" s="3" t="s">
        <x:v>14</x:v>
      </x:c>
    </x:row>
    <x:row r="316">
      <x:c r="A316" s="3" t="s">
        <x:v>945</x:v>
      </x:c>
      <x:c r="B316" s="3" t="s">
        <x:v>10</x:v>
      </x:c>
      <x:c r="C316" s="3" t="s">
        <x:v>946</x:v>
      </x:c>
      <x:c r="D316" s="4" t="s">
        <x:v>12</x:v>
      </x:c>
      <x:c r="E316" s="4"/>
      <x:c r="F316" s="4" t="s">
        <x:v>947</x:v>
      </x:c>
      <x:c r="G316" s="3" t="s">
        <x:v>14</x:v>
      </x:c>
    </x:row>
    <x:row r="317">
      <x:c r="A317" s="3" t="s">
        <x:v>948</x:v>
      </x:c>
      <x:c r="B317" s="3" t="s">
        <x:v>10</x:v>
      </x:c>
      <x:c r="C317" s="3" t="s">
        <x:v>949</x:v>
      </x:c>
      <x:c r="D317" s="4" t="s">
        <x:v>12</x:v>
      </x:c>
      <x:c r="E317" s="4"/>
      <x:c r="F317" s="4" t="s">
        <x:v>950</x:v>
      </x:c>
      <x:c r="G317" s="3" t="s">
        <x:v>14</x:v>
      </x:c>
    </x:row>
    <x:row r="318">
      <x:c r="A318" s="3" t="s">
        <x:v>951</x:v>
      </x:c>
      <x:c r="B318" s="3" t="s">
        <x:v>10</x:v>
      </x:c>
      <x:c r="C318" s="3" t="s">
        <x:v>952</x:v>
      </x:c>
      <x:c r="D318" s="4" t="s">
        <x:v>12</x:v>
      </x:c>
      <x:c r="E318" s="4"/>
      <x:c r="F318" s="4" t="s">
        <x:v>953</x:v>
      </x:c>
      <x:c r="G318" s="3" t="s">
        <x:v>14</x:v>
      </x:c>
    </x:row>
    <x:row r="319">
      <x:c r="A319" s="3" t="s">
        <x:v>954</x:v>
      </x:c>
      <x:c r="B319" s="3" t="s">
        <x:v>10</x:v>
      </x:c>
      <x:c r="C319" s="3" t="s">
        <x:v>955</x:v>
      </x:c>
      <x:c r="D319" s="4" t="s">
        <x:v>12</x:v>
      </x:c>
      <x:c r="E319" s="4"/>
      <x:c r="F319" s="4" t="s">
        <x:v>956</x:v>
      </x:c>
      <x:c r="G319" s="3" t="s">
        <x:v>14</x:v>
      </x:c>
    </x:row>
    <x:row r="320">
      <x:c r="A320" s="3" t="s">
        <x:v>957</x:v>
      </x:c>
      <x:c r="B320" s="3" t="s">
        <x:v>10</x:v>
      </x:c>
      <x:c r="C320" s="3" t="s">
        <x:v>958</x:v>
      </x:c>
      <x:c r="D320" s="4" t="s">
        <x:v>12</x:v>
      </x:c>
      <x:c r="E320" s="4"/>
      <x:c r="F320" s="4" t="s">
        <x:v>959</x:v>
      </x:c>
      <x:c r="G320" s="3" t="s">
        <x:v>14</x:v>
      </x:c>
    </x:row>
    <x:row r="321">
      <x:c r="A321" s="3" t="s">
        <x:v>960</x:v>
      </x:c>
      <x:c r="B321" s="3" t="s">
        <x:v>10</x:v>
      </x:c>
      <x:c r="C321" s="3" t="s">
        <x:v>961</x:v>
      </x:c>
      <x:c r="D321" s="4" t="s">
        <x:v>12</x:v>
      </x:c>
      <x:c r="E321" s="4"/>
      <x:c r="F321" s="4" t="s">
        <x:v>962</x:v>
      </x:c>
      <x:c r="G321" s="3" t="s">
        <x:v>14</x:v>
      </x:c>
    </x:row>
    <x:row r="322">
      <x:c r="A322" s="3" t="s">
        <x:v>963</x:v>
      </x:c>
      <x:c r="B322" s="3" t="s">
        <x:v>10</x:v>
      </x:c>
      <x:c r="C322" s="3" t="s">
        <x:v>964</x:v>
      </x:c>
      <x:c r="D322" s="4" t="s">
        <x:v>12</x:v>
      </x:c>
      <x:c r="E322" s="4"/>
      <x:c r="F322" s="4" t="s">
        <x:v>965</x:v>
      </x:c>
      <x:c r="G322" s="3" t="s">
        <x:v>14</x:v>
      </x:c>
    </x:row>
    <x:row r="323">
      <x:c r="A323" s="3" t="s">
        <x:v>966</x:v>
      </x:c>
      <x:c r="B323" s="3" t="s">
        <x:v>10</x:v>
      </x:c>
      <x:c r="C323" s="3" t="s">
        <x:v>967</x:v>
      </x:c>
      <x:c r="D323" s="4" t="s">
        <x:v>12</x:v>
      </x:c>
      <x:c r="E323" s="4"/>
      <x:c r="F323" s="4" t="s">
        <x:v>968</x:v>
      </x:c>
      <x:c r="G323" s="3" t="s">
        <x:v>14</x:v>
      </x:c>
    </x:row>
    <x:row r="324">
      <x:c r="A324" s="3" t="s">
        <x:v>969</x:v>
      </x:c>
      <x:c r="B324" s="3" t="s">
        <x:v>10</x:v>
      </x:c>
      <x:c r="C324" s="3" t="s">
        <x:v>970</x:v>
      </x:c>
      <x:c r="D324" s="4" t="s">
        <x:v>12</x:v>
      </x:c>
      <x:c r="E324" s="4"/>
      <x:c r="F324" s="4" t="s">
        <x:v>971</x:v>
      </x:c>
      <x:c r="G324" s="3" t="s">
        <x:v>14</x:v>
      </x:c>
    </x:row>
    <x:row r="325">
      <x:c r="A325" s="3" t="s">
        <x:v>972</x:v>
      </x:c>
      <x:c r="B325" s="3" t="s">
        <x:v>10</x:v>
      </x:c>
      <x:c r="C325" s="3" t="s">
        <x:v>973</x:v>
      </x:c>
      <x:c r="D325" s="4" t="s">
        <x:v>12</x:v>
      </x:c>
      <x:c r="E325" s="4"/>
      <x:c r="F325" s="4" t="s">
        <x:v>974</x:v>
      </x:c>
      <x:c r="G325" s="3" t="s">
        <x:v>14</x:v>
      </x:c>
    </x:row>
    <x:row r="326">
      <x:c r="A326" s="3" t="s">
        <x:v>975</x:v>
      </x:c>
      <x:c r="B326" s="3" t="s">
        <x:v>10</x:v>
      </x:c>
      <x:c r="C326" s="3" t="s">
        <x:v>976</x:v>
      </x:c>
      <x:c r="D326" s="4" t="s">
        <x:v>12</x:v>
      </x:c>
      <x:c r="E326" s="4"/>
      <x:c r="F326" s="4" t="s">
        <x:v>977</x:v>
      </x:c>
      <x:c r="G326" s="3" t="s">
        <x:v>14</x:v>
      </x:c>
    </x:row>
    <x:row r="327">
      <x:c r="A327" s="3" t="s">
        <x:v>978</x:v>
      </x:c>
      <x:c r="B327" s="3" t="s">
        <x:v>10</x:v>
      </x:c>
      <x:c r="C327" s="3" t="s">
        <x:v>979</x:v>
      </x:c>
      <x:c r="D327" s="4" t="s">
        <x:v>12</x:v>
      </x:c>
      <x:c r="E327" s="4"/>
      <x:c r="F327" s="4" t="s">
        <x:v>980</x:v>
      </x:c>
      <x:c r="G327" s="3" t="s">
        <x:v>14</x:v>
      </x:c>
    </x:row>
    <x:row r="328">
      <x:c r="A328" s="3" t="s">
        <x:v>981</x:v>
      </x:c>
      <x:c r="B328" s="3" t="s">
        <x:v>10</x:v>
      </x:c>
      <x:c r="C328" s="3" t="s">
        <x:v>982</x:v>
      </x:c>
      <x:c r="D328" s="4" t="s">
        <x:v>12</x:v>
      </x:c>
      <x:c r="E328" s="4"/>
      <x:c r="F328" s="4" t="s">
        <x:v>983</x:v>
      </x:c>
      <x:c r="G328" s="3" t="s">
        <x:v>14</x:v>
      </x:c>
    </x:row>
    <x:row r="329">
      <x:c r="A329" s="3" t="s">
        <x:v>984</x:v>
      </x:c>
      <x:c r="B329" s="3" t="s">
        <x:v>10</x:v>
      </x:c>
      <x:c r="C329" s="3" t="s">
        <x:v>985</x:v>
      </x:c>
      <x:c r="D329" s="4" t="s">
        <x:v>12</x:v>
      </x:c>
      <x:c r="E329" s="4"/>
      <x:c r="F329" s="4" t="s">
        <x:v>986</x:v>
      </x:c>
      <x:c r="G329" s="3" t="s">
        <x:v>14</x:v>
      </x:c>
    </x:row>
    <x:row r="330">
      <x:c r="A330" s="3" t="s">
        <x:v>987</x:v>
      </x:c>
      <x:c r="B330" s="3" t="s">
        <x:v>10</x:v>
      </x:c>
      <x:c r="C330" s="3" t="s">
        <x:v>988</x:v>
      </x:c>
      <x:c r="D330" s="4" t="s">
        <x:v>12</x:v>
      </x:c>
      <x:c r="E330" s="4"/>
      <x:c r="F330" s="4" t="s">
        <x:v>989</x:v>
      </x:c>
      <x:c r="G330" s="3" t="s">
        <x:v>14</x:v>
      </x:c>
    </x:row>
    <x:row r="331">
      <x:c r="A331" s="3" t="s">
        <x:v>990</x:v>
      </x:c>
      <x:c r="B331" s="3" t="s">
        <x:v>10</x:v>
      </x:c>
      <x:c r="C331" s="3" t="s">
        <x:v>991</x:v>
      </x:c>
      <x:c r="D331" s="4" t="s">
        <x:v>12</x:v>
      </x:c>
      <x:c r="E331" s="4"/>
      <x:c r="F331" s="4" t="s">
        <x:v>992</x:v>
      </x:c>
      <x:c r="G331" s="3" t="s">
        <x:v>14</x:v>
      </x:c>
    </x:row>
    <x:row r="332">
      <x:c r="A332" s="3" t="s">
        <x:v>993</x:v>
      </x:c>
      <x:c r="B332" s="3" t="s">
        <x:v>10</x:v>
      </x:c>
      <x:c r="C332" s="3" t="s">
        <x:v>994</x:v>
      </x:c>
      <x:c r="D332" s="4" t="s">
        <x:v>12</x:v>
      </x:c>
      <x:c r="E332" s="4"/>
      <x:c r="F332" s="4" t="s">
        <x:v>995</x:v>
      </x:c>
      <x:c r="G332" s="3" t="s">
        <x:v>14</x:v>
      </x:c>
    </x:row>
    <x:row r="333">
      <x:c r="A333" s="3" t="s">
        <x:v>996</x:v>
      </x:c>
      <x:c r="B333" s="3" t="s">
        <x:v>10</x:v>
      </x:c>
      <x:c r="C333" s="3" t="s">
        <x:v>997</x:v>
      </x:c>
      <x:c r="D333" s="4" t="s">
        <x:v>12</x:v>
      </x:c>
      <x:c r="E333" s="4"/>
      <x:c r="F333" s="4" t="s">
        <x:v>998</x:v>
      </x:c>
      <x:c r="G333" s="3" t="s">
        <x:v>14</x:v>
      </x:c>
    </x:row>
    <x:row r="334">
      <x:c r="A334" s="3" t="s">
        <x:v>999</x:v>
      </x:c>
      <x:c r="B334" s="3" t="s">
        <x:v>10</x:v>
      </x:c>
      <x:c r="C334" s="3" t="s">
        <x:v>1000</x:v>
      </x:c>
      <x:c r="D334" s="4" t="s">
        <x:v>12</x:v>
      </x:c>
      <x:c r="E334" s="4"/>
      <x:c r="F334" s="4" t="s">
        <x:v>1001</x:v>
      </x:c>
      <x:c r="G334" s="3" t="s">
        <x:v>14</x:v>
      </x:c>
    </x:row>
    <x:row r="335">
      <x:c r="A335" s="3" t="s">
        <x:v>1002</x:v>
      </x:c>
      <x:c r="B335" s="3" t="s">
        <x:v>10</x:v>
      </x:c>
      <x:c r="C335" s="3" t="s">
        <x:v>1003</x:v>
      </x:c>
      <x:c r="D335" s="4" t="s">
        <x:v>12</x:v>
      </x:c>
      <x:c r="E335" s="4"/>
      <x:c r="F335" s="4" t="s">
        <x:v>1004</x:v>
      </x:c>
      <x:c r="G335" s="3" t="s">
        <x:v>14</x:v>
      </x:c>
    </x:row>
    <x:row r="336">
      <x:c r="A336" s="3" t="s">
        <x:v>1005</x:v>
      </x:c>
      <x:c r="B336" s="3" t="s">
        <x:v>10</x:v>
      </x:c>
      <x:c r="C336" s="3" t="s">
        <x:v>1006</x:v>
      </x:c>
      <x:c r="D336" s="4" t="s">
        <x:v>12</x:v>
      </x:c>
      <x:c r="E336" s="4"/>
      <x:c r="F336" s="4" t="s">
        <x:v>1007</x:v>
      </x:c>
      <x:c r="G336" s="3" t="s">
        <x:v>14</x:v>
      </x:c>
    </x:row>
    <x:row r="337">
      <x:c r="A337" s="3" t="s">
        <x:v>1008</x:v>
      </x:c>
      <x:c r="B337" s="3" t="s">
        <x:v>10</x:v>
      </x:c>
      <x:c r="C337" s="3" t="s">
        <x:v>1009</x:v>
      </x:c>
      <x:c r="D337" s="4" t="s">
        <x:v>12</x:v>
      </x:c>
      <x:c r="E337" s="4"/>
      <x:c r="F337" s="4" t="s">
        <x:v>1010</x:v>
      </x:c>
      <x:c r="G337" s="3" t="s">
        <x:v>14</x:v>
      </x:c>
    </x:row>
    <x:row r="338">
      <x:c r="A338" s="3" t="s">
        <x:v>1011</x:v>
      </x:c>
      <x:c r="B338" s="3" t="s">
        <x:v>10</x:v>
      </x:c>
      <x:c r="C338" s="3" t="s">
        <x:v>1012</x:v>
      </x:c>
      <x:c r="D338" s="4" t="s">
        <x:v>12</x:v>
      </x:c>
      <x:c r="E338" s="4"/>
      <x:c r="F338" s="4" t="s">
        <x:v>1013</x:v>
      </x:c>
      <x:c r="G338" s="3" t="s">
        <x:v>14</x:v>
      </x:c>
    </x:row>
    <x:row r="339" ht="120">
      <x:c r="A339" s="3" t="s">
        <x:v>1014</x:v>
      </x:c>
      <x:c r="B339" s="3" t="s">
        <x:v>1015</x:v>
      </x:c>
      <x:c r="C339" s="3" t="s">
        <x:v>1016</x:v>
      </x:c>
      <x:c r="D339" s="4" t="s">
        <x:v>1017</x:v>
      </x:c>
      <x:c r="E339" s="4" t="s">
        <x:v>1018</x:v>
      </x:c>
      <x:c r="F339" s="4" t="s">
        <x:v>1019</x:v>
      </x:c>
      <x:c r="G339" s="3" t="s">
        <x:v>1020</x:v>
      </x:c>
    </x:row>
    <x:row r="340" ht="165">
      <x:c r="A340" s="3" t="s">
        <x:v>1021</x:v>
      </x:c>
      <x:c r="B340" s="3" t="s">
        <x:v>1015</x:v>
      </x:c>
      <x:c r="C340" s="3" t="s">
        <x:v>1022</x:v>
      </x:c>
      <x:c r="D340" s="4" t="s">
        <x:v>1017</x:v>
      </x:c>
      <x:c r="E340" s="4" t="s">
        <x:v>1023</x:v>
      </x:c>
      <x:c r="F340" s="4" t="s">
        <x:v>1024</x:v>
      </x:c>
      <x:c r="G340" s="3" t="s">
        <x:v>1020</x:v>
      </x:c>
    </x:row>
    <x:row r="341" ht="105">
      <x:c r="A341" s="3" t="s">
        <x:v>1025</x:v>
      </x:c>
      <x:c r="B341" s="3" t="s">
        <x:v>1015</x:v>
      </x:c>
      <x:c r="C341" s="3" t="s">
        <x:v>1026</x:v>
      </x:c>
      <x:c r="D341" s="4" t="s">
        <x:v>1017</x:v>
      </x:c>
      <x:c r="E341" s="4" t="s">
        <x:v>1027</x:v>
      </x:c>
      <x:c r="F341" s="4" t="s">
        <x:v>1028</x:v>
      </x:c>
      <x:c r="G341" s="3" t="s">
        <x:v>1020</x:v>
      </x:c>
    </x:row>
    <x:row r="342" ht="120">
      <x:c r="A342" s="3" t="s">
        <x:v>1029</x:v>
      </x:c>
      <x:c r="B342" s="3" t="s">
        <x:v>1015</x:v>
      </x:c>
      <x:c r="C342" s="3" t="s">
        <x:v>1030</x:v>
      </x:c>
      <x:c r="D342" s="4" t="s">
        <x:v>1017</x:v>
      </x:c>
      <x:c r="E342" s="4" t="s">
        <x:v>1031</x:v>
      </x:c>
      <x:c r="F342" s="4" t="s">
        <x:v>1032</x:v>
      </x:c>
      <x:c r="G342" s="3" t="s">
        <x:v>1020</x:v>
      </x:c>
    </x:row>
    <x:row r="343" ht="120">
      <x:c r="A343" s="3" t="s">
        <x:v>1033</x:v>
      </x:c>
      <x:c r="B343" s="3" t="s">
        <x:v>1015</x:v>
      </x:c>
      <x:c r="C343" s="3" t="s">
        <x:v>1034</x:v>
      </x:c>
      <x:c r="D343" s="4" t="s">
        <x:v>1017</x:v>
      </x:c>
      <x:c r="E343" s="4" t="s">
        <x:v>1035</x:v>
      </x:c>
      <x:c r="F343" s="4" t="s">
        <x:v>1036</x:v>
      </x:c>
      <x:c r="G343" s="3" t="s">
        <x:v>1020</x:v>
      </x:c>
    </x:row>
    <x:row r="344" ht="180">
      <x:c r="A344" s="3" t="s">
        <x:v>1037</x:v>
      </x:c>
      <x:c r="B344" s="3" t="s">
        <x:v>1015</x:v>
      </x:c>
      <x:c r="C344" s="3" t="s">
        <x:v>1038</x:v>
      </x:c>
      <x:c r="D344" s="4" t="s">
        <x:v>1017</x:v>
      </x:c>
      <x:c r="E344" s="4" t="s">
        <x:v>1039</x:v>
      </x:c>
      <x:c r="F344" s="4" t="s">
        <x:v>1040</x:v>
      </x:c>
      <x:c r="G344" s="3" t="s">
        <x:v>1020</x:v>
      </x:c>
    </x:row>
    <x:row r="345" ht="409.5">
      <x:c r="A345" s="3" t="s">
        <x:v>1041</x:v>
      </x:c>
      <x:c r="B345" s="3" t="s">
        <x:v>1015</x:v>
      </x:c>
      <x:c r="C345" s="3" t="s">
        <x:v>1042</x:v>
      </x:c>
      <x:c r="D345" s="4" t="s">
        <x:v>1017</x:v>
      </x:c>
      <x:c r="E345" s="4" t="s">
        <x:v>1043</x:v>
      </x:c>
      <x:c r="F345" s="4" t="s">
        <x:v>1044</x:v>
      </x:c>
      <x:c r="G345" s="3" t="s">
        <x:v>1020</x:v>
      </x:c>
    </x:row>
    <x:row r="346" ht="409.5">
      <x:c r="A346" s="3" t="s">
        <x:v>1045</x:v>
      </x:c>
      <x:c r="B346" s="3" t="s">
        <x:v>1015</x:v>
      </x:c>
      <x:c r="C346" s="3" t="s">
        <x:v>1046</x:v>
      </x:c>
      <x:c r="D346" s="4" t="s">
        <x:v>1017</x:v>
      </x:c>
      <x:c r="E346" s="4" t="s">
        <x:v>1047</x:v>
      </x:c>
      <x:c r="F346" s="4" t="s">
        <x:v>1048</x:v>
      </x:c>
      <x:c r="G346" s="3" t="s">
        <x:v>1020</x:v>
      </x:c>
    </x:row>
    <x:row r="347" ht="345">
      <x:c r="A347" s="3" t="s">
        <x:v>1049</x:v>
      </x:c>
      <x:c r="B347" s="3" t="s">
        <x:v>1050</x:v>
      </x:c>
      <x:c r="C347" s="3" t="s">
        <x:v>1051</x:v>
      </x:c>
      <x:c r="D347" s="4" t="s">
        <x:v>1017</x:v>
      </x:c>
      <x:c r="E347" s="4" t="s">
        <x:v>1052</x:v>
      </x:c>
      <x:c r="F347" s="4" t="s">
        <x:v>1053</x:v>
      </x:c>
      <x:c r="G347" s="3" t="s">
        <x:v>1020</x:v>
      </x:c>
    </x:row>
    <x:row r="348" ht="105">
      <x:c r="A348" s="3" t="s">
        <x:v>1054</x:v>
      </x:c>
      <x:c r="B348" s="3" t="s">
        <x:v>1050</x:v>
      </x:c>
      <x:c r="C348" s="3" t="s">
        <x:v>1055</x:v>
      </x:c>
      <x:c r="D348" s="4" t="s">
        <x:v>1017</x:v>
      </x:c>
      <x:c r="E348" s="4" t="s">
        <x:v>1056</x:v>
      </x:c>
      <x:c r="F348" s="4" t="s">
        <x:v>1057</x:v>
      </x:c>
      <x:c r="G348" s="3" t="s">
        <x:v>1020</x:v>
      </x:c>
    </x:row>
    <x:row r="349" ht="315">
      <x:c r="A349" s="3" t="s">
        <x:v>1058</x:v>
      </x:c>
      <x:c r="B349" s="3" t="s">
        <x:v>1050</x:v>
      </x:c>
      <x:c r="C349" s="3" t="s">
        <x:v>1059</x:v>
      </x:c>
      <x:c r="D349" s="4" t="s">
        <x:v>1017</x:v>
      </x:c>
      <x:c r="E349" s="4" t="s">
        <x:v>1060</x:v>
      </x:c>
      <x:c r="F349" s="4" t="s">
        <x:v>1061</x:v>
      </x:c>
      <x:c r="G349" s="3" t="s">
        <x:v>1020</x:v>
      </x:c>
    </x:row>
    <x:row r="350" ht="285">
      <x:c r="A350" s="3" t="s">
        <x:v>1062</x:v>
      </x:c>
      <x:c r="B350" s="3" t="s">
        <x:v>1050</x:v>
      </x:c>
      <x:c r="C350" s="3" t="s">
        <x:v>1063</x:v>
      </x:c>
      <x:c r="D350" s="4" t="s">
        <x:v>1017</x:v>
      </x:c>
      <x:c r="E350" s="4" t="s">
        <x:v>1064</x:v>
      </x:c>
      <x:c r="F350" s="4" t="s">
        <x:v>1065</x:v>
      </x:c>
      <x:c r="G350" s="3" t="s">
        <x:v>1020</x:v>
      </x:c>
    </x:row>
    <x:row r="351" ht="330">
      <x:c r="A351" s="3" t="s">
        <x:v>1066</x:v>
      </x:c>
      <x:c r="B351" s="3" t="s">
        <x:v>1050</x:v>
      </x:c>
      <x:c r="C351" s="3" t="s">
        <x:v>1067</x:v>
      </x:c>
      <x:c r="D351" s="4" t="s">
        <x:v>1017</x:v>
      </x:c>
      <x:c r="E351" s="4" t="s">
        <x:v>1068</x:v>
      </x:c>
      <x:c r="F351" s="4" t="s">
        <x:v>1069</x:v>
      </x:c>
      <x:c r="G351" s="3" t="s">
        <x:v>1020</x:v>
      </x:c>
    </x:row>
    <x:row r="352" ht="150">
      <x:c r="A352" s="3" t="s">
        <x:v>1070</x:v>
      </x:c>
      <x:c r="B352" s="3" t="s">
        <x:v>1050</x:v>
      </x:c>
      <x:c r="C352" s="3" t="s">
        <x:v>1071</x:v>
      </x:c>
      <x:c r="D352" s="4" t="s">
        <x:v>1017</x:v>
      </x:c>
      <x:c r="E352" s="4" t="s">
        <x:v>1072</x:v>
      </x:c>
      <x:c r="F352" s="4" t="s">
        <x:v>1073</x:v>
      </x:c>
      <x:c r="G352" s="3" t="s">
        <x:v>1020</x:v>
      </x:c>
    </x:row>
    <x:row r="353" ht="135">
      <x:c r="A353" s="3" t="s">
        <x:v>1074</x:v>
      </x:c>
      <x:c r="B353" s="3" t="s">
        <x:v>1050</x:v>
      </x:c>
      <x:c r="C353" s="3" t="s">
        <x:v>1075</x:v>
      </x:c>
      <x:c r="D353" s="4" t="s">
        <x:v>1017</x:v>
      </x:c>
      <x:c r="E353" s="4" t="s">
        <x:v>1076</x:v>
      </x:c>
      <x:c r="F353" s="4" t="s">
        <x:v>1077</x:v>
      </x:c>
      <x:c r="G353" s="3" t="s">
        <x:v>1020</x:v>
      </x:c>
    </x:row>
    <x:row r="354" ht="150">
      <x:c r="A354" s="3" t="s">
        <x:v>1078</x:v>
      </x:c>
      <x:c r="B354" s="3" t="s">
        <x:v>1050</x:v>
      </x:c>
      <x:c r="C354" s="3" t="s">
        <x:v>1079</x:v>
      </x:c>
      <x:c r="D354" s="4" t="s">
        <x:v>1017</x:v>
      </x:c>
      <x:c r="E354" s="4" t="s">
        <x:v>1080</x:v>
      </x:c>
      <x:c r="F354" s="4" t="s">
        <x:v>1081</x:v>
      </x:c>
      <x:c r="G354" s="3" t="s">
        <x:v>1020</x:v>
      </x:c>
    </x:row>
    <x:row r="355" ht="285">
      <x:c r="A355" s="3" t="s">
        <x:v>1082</x:v>
      </x:c>
      <x:c r="B355" s="3" t="s">
        <x:v>1050</x:v>
      </x:c>
      <x:c r="C355" s="3" t="s">
        <x:v>1083</x:v>
      </x:c>
      <x:c r="D355" s="4" t="s">
        <x:v>1017</x:v>
      </x:c>
      <x:c r="E355" s="4" t="s">
        <x:v>1084</x:v>
      </x:c>
      <x:c r="F355" s="4" t="s">
        <x:v>1085</x:v>
      </x:c>
      <x:c r="G355" s="3" t="s">
        <x:v>1020</x:v>
      </x:c>
    </x:row>
    <x:row r="356" ht="225">
      <x:c r="A356" s="3" t="s">
        <x:v>1086</x:v>
      </x:c>
      <x:c r="B356" s="3" t="s">
        <x:v>1050</x:v>
      </x:c>
      <x:c r="C356" s="3" t="s">
        <x:v>1087</x:v>
      </x:c>
      <x:c r="D356" s="4" t="s">
        <x:v>1017</x:v>
      </x:c>
      <x:c r="E356" s="4" t="s">
        <x:v>1088</x:v>
      </x:c>
      <x:c r="F356" s="4" t="s">
        <x:v>1089</x:v>
      </x:c>
      <x:c r="G356" s="3" t="s">
        <x:v>1020</x:v>
      </x:c>
    </x:row>
    <x:row r="357" ht="210">
      <x:c r="A357" s="3" t="s">
        <x:v>1090</x:v>
      </x:c>
      <x:c r="B357" s="3" t="s">
        <x:v>1050</x:v>
      </x:c>
      <x:c r="C357" s="3" t="s">
        <x:v>1091</x:v>
      </x:c>
      <x:c r="D357" s="4" t="s">
        <x:v>1017</x:v>
      </x:c>
      <x:c r="E357" s="4" t="s">
        <x:v>1092</x:v>
      </x:c>
      <x:c r="F357" s="4" t="s">
        <x:v>1093</x:v>
      </x:c>
      <x:c r="G357" s="3" t="s">
        <x:v>1020</x:v>
      </x:c>
    </x:row>
    <x:row r="358" ht="345">
      <x:c r="A358" s="3" t="s">
        <x:v>1094</x:v>
      </x:c>
      <x:c r="B358" s="3" t="s">
        <x:v>1050</x:v>
      </x:c>
      <x:c r="C358" s="3" t="s">
        <x:v>1095</x:v>
      </x:c>
      <x:c r="D358" s="4" t="s">
        <x:v>1017</x:v>
      </x:c>
      <x:c r="E358" s="4" t="s">
        <x:v>1096</x:v>
      </x:c>
      <x:c r="F358" s="4" t="s">
        <x:v>1097</x:v>
      </x:c>
      <x:c r="G358" s="3" t="s">
        <x:v>1020</x:v>
      </x:c>
    </x:row>
    <x:row r="359" ht="105">
      <x:c r="A359" s="3" t="s">
        <x:v>1098</x:v>
      </x:c>
      <x:c r="B359" s="3" t="s">
        <x:v>1050</x:v>
      </x:c>
      <x:c r="C359" s="3" t="s">
        <x:v>1099</x:v>
      </x:c>
      <x:c r="D359" s="4" t="s">
        <x:v>1017</x:v>
      </x:c>
      <x:c r="E359" s="4" t="s">
        <x:v>1100</x:v>
      </x:c>
      <x:c r="F359" s="4" t="s">
        <x:v>1101</x:v>
      </x:c>
      <x:c r="G359" s="3" t="s">
        <x:v>1020</x:v>
      </x:c>
    </x:row>
    <x:row r="360" ht="409.5">
      <x:c r="A360" s="3" t="s">
        <x:v>1102</x:v>
      </x:c>
      <x:c r="B360" s="3" t="s">
        <x:v>1050</x:v>
      </x:c>
      <x:c r="C360" s="3" t="s">
        <x:v>1103</x:v>
      </x:c>
      <x:c r="D360" s="4" t="s">
        <x:v>1017</x:v>
      </x:c>
      <x:c r="E360" s="4" t="s">
        <x:v>1104</x:v>
      </x:c>
      <x:c r="F360" s="4" t="s">
        <x:v>1105</x:v>
      </x:c>
      <x:c r="G360" s="3" t="s">
        <x:v>1020</x:v>
      </x:c>
    </x:row>
    <x:row r="361" ht="270">
      <x:c r="A361" s="3" t="s">
        <x:v>1106</x:v>
      </x:c>
      <x:c r="B361" s="3" t="s">
        <x:v>1050</x:v>
      </x:c>
      <x:c r="C361" s="3" t="s">
        <x:v>1107</x:v>
      </x:c>
      <x:c r="D361" s="4" t="s">
        <x:v>1017</x:v>
      </x:c>
      <x:c r="E361" s="4" t="s">
        <x:v>1108</x:v>
      </x:c>
      <x:c r="F361" s="4" t="s">
        <x:v>1109</x:v>
      </x:c>
      <x:c r="G361" s="3" t="s">
        <x:v>1020</x:v>
      </x:c>
    </x:row>
    <x:row r="362" ht="165">
      <x:c r="A362" s="3" t="s">
        <x:v>1110</x:v>
      </x:c>
      <x:c r="B362" s="3" t="s">
        <x:v>1050</x:v>
      </x:c>
      <x:c r="C362" s="3" t="s">
        <x:v>1111</x:v>
      </x:c>
      <x:c r="D362" s="4" t="s">
        <x:v>1017</x:v>
      </x:c>
      <x:c r="E362" s="4" t="s">
        <x:v>1112</x:v>
      </x:c>
      <x:c r="F362" s="4" t="s">
        <x:v>1113</x:v>
      </x:c>
      <x:c r="G362" s="3" t="s">
        <x:v>1020</x:v>
      </x:c>
    </x:row>
    <x:row r="363" ht="150">
      <x:c r="A363" s="3" t="s">
        <x:v>1114</x:v>
      </x:c>
      <x:c r="B363" s="3" t="s">
        <x:v>1050</x:v>
      </x:c>
      <x:c r="C363" s="3" t="s">
        <x:v>1115</x:v>
      </x:c>
      <x:c r="D363" s="4" t="s">
        <x:v>1017</x:v>
      </x:c>
      <x:c r="E363" s="4" t="s">
        <x:v>1116</x:v>
      </x:c>
      <x:c r="F363" s="4" t="s">
        <x:v>1117</x:v>
      </x:c>
      <x:c r="G363" s="3" t="s">
        <x:v>1020</x:v>
      </x:c>
    </x:row>
    <x:row r="364" ht="165">
      <x:c r="A364" s="3" t="s">
        <x:v>1118</x:v>
      </x:c>
      <x:c r="B364" s="3" t="s">
        <x:v>1050</x:v>
      </x:c>
      <x:c r="C364" s="3" t="s">
        <x:v>1119</x:v>
      </x:c>
      <x:c r="D364" s="4" t="s">
        <x:v>1017</x:v>
      </x:c>
      <x:c r="E364" s="4" t="s">
        <x:v>1120</x:v>
      </x:c>
      <x:c r="F364" s="4" t="s">
        <x:v>1121</x:v>
      </x:c>
      <x:c r="G364" s="3" t="s">
        <x:v>1020</x:v>
      </x:c>
    </x:row>
    <x:row r="365" ht="90">
      <x:c r="A365" s="3" t="s">
        <x:v>1122</x:v>
      </x:c>
      <x:c r="B365" s="3" t="s">
        <x:v>1123</x:v>
      </x:c>
      <x:c r="C365" s="3" t="s">
        <x:v>1124</x:v>
      </x:c>
      <x:c r="D365" s="4" t="s">
        <x:v>1017</x:v>
      </x:c>
      <x:c r="E365" s="4" t="s">
        <x:v>1125</x:v>
      </x:c>
      <x:c r="F365" s="4" t="s">
        <x:v>1126</x:v>
      </x:c>
      <x:c r="G365" s="3" t="s">
        <x:v>1020</x:v>
      </x:c>
    </x:row>
    <x:row r="366" ht="225">
      <x:c r="A366" s="3" t="s">
        <x:v>1127</x:v>
      </x:c>
      <x:c r="B366" s="3" t="s">
        <x:v>1123</x:v>
      </x:c>
      <x:c r="C366" s="3" t="s">
        <x:v>1128</x:v>
      </x:c>
      <x:c r="D366" s="4" t="s">
        <x:v>1017</x:v>
      </x:c>
      <x:c r="E366" s="4" t="s">
        <x:v>1129</x:v>
      </x:c>
      <x:c r="F366" s="4" t="s">
        <x:v>1130</x:v>
      </x:c>
      <x:c r="G366" s="3" t="s">
        <x:v>1020</x:v>
      </x:c>
    </x:row>
    <x:row r="367" ht="255">
      <x:c r="A367" s="3" t="s">
        <x:v>1131</x:v>
      </x:c>
      <x:c r="B367" s="3" t="s">
        <x:v>1123</x:v>
      </x:c>
      <x:c r="C367" s="3" t="s">
        <x:v>1132</x:v>
      </x:c>
      <x:c r="D367" s="4" t="s">
        <x:v>1017</x:v>
      </x:c>
      <x:c r="E367" s="4" t="s">
        <x:v>1133</x:v>
      </x:c>
      <x:c r="F367" s="4" t="s">
        <x:v>1134</x:v>
      </x:c>
      <x:c r="G367" s="3" t="s">
        <x:v>1020</x:v>
      </x:c>
    </x:row>
    <x:row r="368" ht="105">
      <x:c r="A368" s="3" t="s">
        <x:v>1135</x:v>
      </x:c>
      <x:c r="B368" s="3" t="s">
        <x:v>1123</x:v>
      </x:c>
      <x:c r="C368" s="3" t="s">
        <x:v>1136</x:v>
      </x:c>
      <x:c r="D368" s="4" t="s">
        <x:v>1017</x:v>
      </x:c>
      <x:c r="E368" s="4" t="s">
        <x:v>1137</x:v>
      </x:c>
      <x:c r="F368" s="4" t="s">
        <x:v>1138</x:v>
      </x:c>
      <x:c r="G368" s="3" t="s">
        <x:v>1020</x:v>
      </x:c>
    </x:row>
    <x:row r="369" ht="105">
      <x:c r="A369" s="3" t="s">
        <x:v>1139</x:v>
      </x:c>
      <x:c r="B369" s="3" t="s">
        <x:v>1123</x:v>
      </x:c>
      <x:c r="C369" s="3" t="s">
        <x:v>1140</x:v>
      </x:c>
      <x:c r="D369" s="4" t="s">
        <x:v>1017</x:v>
      </x:c>
      <x:c r="E369" s="4" t="s">
        <x:v>1141</x:v>
      </x:c>
      <x:c r="F369" s="4" t="s">
        <x:v>1142</x:v>
      </x:c>
      <x:c r="G369" s="3" t="s">
        <x:v>1020</x:v>
      </x:c>
    </x:row>
    <x:row r="370" ht="375">
      <x:c r="A370" s="3" t="s">
        <x:v>1143</x:v>
      </x:c>
      <x:c r="B370" s="3" t="s">
        <x:v>1123</x:v>
      </x:c>
      <x:c r="C370" s="3" t="s">
        <x:v>1144</x:v>
      </x:c>
      <x:c r="D370" s="4" t="s">
        <x:v>1017</x:v>
      </x:c>
      <x:c r="E370" s="4" t="s">
        <x:v>1145</x:v>
      </x:c>
      <x:c r="F370" s="4" t="s">
        <x:v>1146</x:v>
      </x:c>
      <x:c r="G370" s="3" t="s">
        <x:v>1020</x:v>
      </x:c>
    </x:row>
    <x:row r="371" ht="135">
      <x:c r="A371" s="3" t="s">
        <x:v>1147</x:v>
      </x:c>
      <x:c r="B371" s="3" t="s">
        <x:v>1123</x:v>
      </x:c>
      <x:c r="C371" s="3" t="s">
        <x:v>1148</x:v>
      </x:c>
      <x:c r="D371" s="4" t="s">
        <x:v>1017</x:v>
      </x:c>
      <x:c r="E371" s="4" t="s">
        <x:v>1149</x:v>
      </x:c>
      <x:c r="F371" s="4" t="s">
        <x:v>1150</x:v>
      </x:c>
      <x:c r="G371" s="3" t="s">
        <x:v>1020</x:v>
      </x:c>
    </x:row>
    <x:row r="372" ht="165">
      <x:c r="A372" s="3" t="s">
        <x:v>1151</x:v>
      </x:c>
      <x:c r="B372" s="3" t="s">
        <x:v>1123</x:v>
      </x:c>
      <x:c r="C372" s="3" t="s">
        <x:v>1152</x:v>
      </x:c>
      <x:c r="D372" s="4" t="s">
        <x:v>1017</x:v>
      </x:c>
      <x:c r="E372" s="4" t="s">
        <x:v>1153</x:v>
      </x:c>
      <x:c r="F372" s="4" t="s">
        <x:v>1154</x:v>
      </x:c>
      <x:c r="G372" s="3" t="s">
        <x:v>1020</x:v>
      </x:c>
    </x:row>
    <x:row r="373" ht="180">
      <x:c r="A373" s="3" t="s">
        <x:v>1155</x:v>
      </x:c>
      <x:c r="B373" s="3" t="s">
        <x:v>1123</x:v>
      </x:c>
      <x:c r="C373" s="3" t="s">
        <x:v>1156</x:v>
      </x:c>
      <x:c r="D373" s="4" t="s">
        <x:v>1017</x:v>
      </x:c>
      <x:c r="E373" s="4" t="s">
        <x:v>1157</x:v>
      </x:c>
      <x:c r="F373" s="4" t="s">
        <x:v>1158</x:v>
      </x:c>
      <x:c r="G373" s="3" t="s">
        <x:v>1020</x:v>
      </x:c>
    </x:row>
    <x:row r="374" ht="135">
      <x:c r="A374" s="3" t="s">
        <x:v>1159</x:v>
      </x:c>
      <x:c r="B374" s="3" t="s">
        <x:v>1123</x:v>
      </x:c>
      <x:c r="C374" s="3" t="s">
        <x:v>1160</x:v>
      </x:c>
      <x:c r="D374" s="4" t="s">
        <x:v>1017</x:v>
      </x:c>
      <x:c r="E374" s="4" t="s">
        <x:v>1161</x:v>
      </x:c>
      <x:c r="F374" s="4" t="s">
        <x:v>1162</x:v>
      </x:c>
      <x:c r="G374" s="3" t="s">
        <x:v>1020</x:v>
      </x:c>
    </x:row>
    <x:row r="375" ht="120">
      <x:c r="A375" s="3" t="s">
        <x:v>1163</x:v>
      </x:c>
      <x:c r="B375" s="3" t="s">
        <x:v>1123</x:v>
      </x:c>
      <x:c r="C375" s="3" t="s">
        <x:v>1164</x:v>
      </x:c>
      <x:c r="D375" s="4" t="s">
        <x:v>1017</x:v>
      </x:c>
      <x:c r="E375" s="4" t="s">
        <x:v>1165</x:v>
      </x:c>
      <x:c r="F375" s="4" t="s">
        <x:v>1166</x:v>
      </x:c>
      <x:c r="G375" s="3" t="s">
        <x:v>1020</x:v>
      </x:c>
    </x:row>
    <x:row r="376" ht="409.5">
      <x:c r="A376" s="3" t="s">
        <x:v>1167</x:v>
      </x:c>
      <x:c r="B376" s="3" t="s">
        <x:v>1123</x:v>
      </x:c>
      <x:c r="C376" s="3" t="s">
        <x:v>1168</x:v>
      </x:c>
      <x:c r="D376" s="4" t="s">
        <x:v>1017</x:v>
      </x:c>
      <x:c r="E376" s="4" t="s">
        <x:v>1169</x:v>
      </x:c>
      <x:c r="F376" s="4" t="s">
        <x:v>1170</x:v>
      </x:c>
      <x:c r="G376" s="3" t="s">
        <x:v>1020</x:v>
      </x:c>
    </x:row>
    <x:row r="377" ht="75">
      <x:c r="A377" s="3" t="s">
        <x:v>1171</x:v>
      </x:c>
      <x:c r="B377" s="3" t="s">
        <x:v>1123</x:v>
      </x:c>
      <x:c r="C377" s="3" t="s">
        <x:v>1172</x:v>
      </x:c>
      <x:c r="D377" s="4" t="s">
        <x:v>1017</x:v>
      </x:c>
      <x:c r="E377" s="4" t="s">
        <x:v>1173</x:v>
      </x:c>
      <x:c r="F377" s="4" t="s">
        <x:v>1174</x:v>
      </x:c>
      <x:c r="G377" s="3" t="s">
        <x:v>1020</x:v>
      </x:c>
    </x:row>
    <x:row r="378" ht="315">
      <x:c r="A378" s="3" t="s">
        <x:v>1175</x:v>
      </x:c>
      <x:c r="B378" s="3" t="s">
        <x:v>1123</x:v>
      </x:c>
      <x:c r="C378" s="3" t="s">
        <x:v>1176</x:v>
      </x:c>
      <x:c r="D378" s="4" t="s">
        <x:v>1017</x:v>
      </x:c>
      <x:c r="E378" s="4" t="s">
        <x:v>1177</x:v>
      </x:c>
      <x:c r="F378" s="4" t="s">
        <x:v>1178</x:v>
      </x:c>
      <x:c r="G378" s="3" t="s">
        <x:v>1020</x:v>
      </x:c>
    </x:row>
    <x:row r="379" ht="120">
      <x:c r="A379" s="3" t="s">
        <x:v>1179</x:v>
      </x:c>
      <x:c r="B379" s="3" t="s">
        <x:v>1123</x:v>
      </x:c>
      <x:c r="C379" s="3" t="s">
        <x:v>1180</x:v>
      </x:c>
      <x:c r="D379" s="4" t="s">
        <x:v>1017</x:v>
      </x:c>
      <x:c r="E379" s="4" t="s">
        <x:v>1181</x:v>
      </x:c>
      <x:c r="F379" s="4" t="s">
        <x:v>1182</x:v>
      </x:c>
      <x:c r="G379" s="3" t="s">
        <x:v>1020</x:v>
      </x:c>
    </x:row>
    <x:row r="380" ht="135">
      <x:c r="A380" s="3" t="s">
        <x:v>1183</x:v>
      </x:c>
      <x:c r="B380" s="3" t="s">
        <x:v>1123</x:v>
      </x:c>
      <x:c r="C380" s="3" t="s">
        <x:v>1184</x:v>
      </x:c>
      <x:c r="D380" s="4" t="s">
        <x:v>1017</x:v>
      </x:c>
      <x:c r="E380" s="4" t="s">
        <x:v>1185</x:v>
      </x:c>
      <x:c r="F380" s="4" t="s">
        <x:v>1186</x:v>
      </x:c>
      <x:c r="G380" s="3" t="s">
        <x:v>1020</x:v>
      </x:c>
    </x:row>
    <x:row r="381" ht="105">
      <x:c r="A381" s="3" t="s">
        <x:v>1187</x:v>
      </x:c>
      <x:c r="B381" s="3" t="s">
        <x:v>1123</x:v>
      </x:c>
      <x:c r="C381" s="3" t="s">
        <x:v>1188</x:v>
      </x:c>
      <x:c r="D381" s="4" t="s">
        <x:v>1017</x:v>
      </x:c>
      <x:c r="E381" s="4" t="s">
        <x:v>1189</x:v>
      </x:c>
      <x:c r="F381" s="4" t="s">
        <x:v>1190</x:v>
      </x:c>
      <x:c r="G381" s="3" t="s">
        <x:v>1020</x:v>
      </x:c>
    </x:row>
    <x:row r="382" ht="120">
      <x:c r="A382" s="3" t="s">
        <x:v>1191</x:v>
      </x:c>
      <x:c r="B382" s="3" t="s">
        <x:v>1123</x:v>
      </x:c>
      <x:c r="C382" s="3" t="s">
        <x:v>1192</x:v>
      </x:c>
      <x:c r="D382" s="4" t="s">
        <x:v>1017</x:v>
      </x:c>
      <x:c r="E382" s="4" t="s">
        <x:v>1193</x:v>
      </x:c>
      <x:c r="F382" s="4" t="s">
        <x:v>1194</x:v>
      </x:c>
      <x:c r="G382" s="3" t="s">
        <x:v>1020</x:v>
      </x:c>
    </x:row>
    <x:row r="383" ht="195">
      <x:c r="A383" s="3" t="s">
        <x:v>1195</x:v>
      </x:c>
      <x:c r="B383" s="3" t="s">
        <x:v>1123</x:v>
      </x:c>
      <x:c r="C383" s="3" t="s">
        <x:v>1196</x:v>
      </x:c>
      <x:c r="D383" s="4" t="s">
        <x:v>1017</x:v>
      </x:c>
      <x:c r="E383" s="4" t="s">
        <x:v>1197</x:v>
      </x:c>
      <x:c r="F383" s="4" t="s">
        <x:v>1198</x:v>
      </x:c>
      <x:c r="G383" s="3" t="s">
        <x:v>1020</x:v>
      </x:c>
    </x:row>
    <x:row r="384" ht="255">
      <x:c r="A384" s="3" t="s">
        <x:v>1199</x:v>
      </x:c>
      <x:c r="B384" s="3" t="s">
        <x:v>1123</x:v>
      </x:c>
      <x:c r="C384" s="3" t="s">
        <x:v>1200</x:v>
      </x:c>
      <x:c r="D384" s="4" t="s">
        <x:v>1017</x:v>
      </x:c>
      <x:c r="E384" s="4" t="s">
        <x:v>1201</x:v>
      </x:c>
      <x:c r="F384" s="4" t="s">
        <x:v>1202</x:v>
      </x:c>
      <x:c r="G384" s="3" t="s">
        <x:v>1020</x:v>
      </x:c>
    </x:row>
    <x:row r="385" ht="75">
      <x:c r="A385" s="3" t="s">
        <x:v>1203</x:v>
      </x:c>
      <x:c r="B385" s="3" t="s">
        <x:v>1123</x:v>
      </x:c>
      <x:c r="C385" s="3" t="s">
        <x:v>1204</x:v>
      </x:c>
      <x:c r="D385" s="4" t="s">
        <x:v>1017</x:v>
      </x:c>
      <x:c r="E385" s="4" t="s">
        <x:v>1205</x:v>
      </x:c>
      <x:c r="F385" s="4" t="s">
        <x:v>1206</x:v>
      </x:c>
      <x:c r="G385" s="3" t="s">
        <x:v>1020</x:v>
      </x:c>
    </x:row>
    <x:row r="386" ht="150">
      <x:c r="A386" s="3" t="s">
        <x:v>1207</x:v>
      </x:c>
      <x:c r="B386" s="3" t="s">
        <x:v>1123</x:v>
      </x:c>
      <x:c r="C386" s="3" t="s">
        <x:v>1208</x:v>
      </x:c>
      <x:c r="D386" s="4" t="s">
        <x:v>1017</x:v>
      </x:c>
      <x:c r="E386" s="4" t="s">
        <x:v>1209</x:v>
      </x:c>
      <x:c r="F386" s="4" t="s">
        <x:v>1210</x:v>
      </x:c>
      <x:c r="G386" s="3" t="s">
        <x:v>1020</x:v>
      </x:c>
    </x:row>
    <x:row r="387" ht="210">
      <x:c r="A387" s="3" t="s">
        <x:v>1211</x:v>
      </x:c>
      <x:c r="B387" s="3" t="s">
        <x:v>1123</x:v>
      </x:c>
      <x:c r="C387" s="3" t="s">
        <x:v>1212</x:v>
      </x:c>
      <x:c r="D387" s="4" t="s">
        <x:v>1017</x:v>
      </x:c>
      <x:c r="E387" s="4" t="s">
        <x:v>1213</x:v>
      </x:c>
      <x:c r="F387" s="4" t="s">
        <x:v>1214</x:v>
      </x:c>
      <x:c r="G387" s="3" t="s">
        <x:v>1020</x:v>
      </x:c>
    </x:row>
    <x:row r="388" ht="105">
      <x:c r="A388" s="3" t="s">
        <x:v>1215</x:v>
      </x:c>
      <x:c r="B388" s="3" t="s">
        <x:v>1123</x:v>
      </x:c>
      <x:c r="C388" s="3" t="s">
        <x:v>1216</x:v>
      </x:c>
      <x:c r="D388" s="4" t="s">
        <x:v>1017</x:v>
      </x:c>
      <x:c r="E388" s="4" t="s">
        <x:v>1217</x:v>
      </x:c>
      <x:c r="F388" s="4" t="s">
        <x:v>1218</x:v>
      </x:c>
      <x:c r="G388" s="3" t="s">
        <x:v>1020</x:v>
      </x:c>
    </x:row>
    <x:row r="389" ht="240">
      <x:c r="A389" s="3" t="s">
        <x:v>1219</x:v>
      </x:c>
      <x:c r="B389" s="3" t="s">
        <x:v>1123</x:v>
      </x:c>
      <x:c r="C389" s="3" t="s">
        <x:v>1220</x:v>
      </x:c>
      <x:c r="D389" s="4" t="s">
        <x:v>1017</x:v>
      </x:c>
      <x:c r="E389" s="4" t="s">
        <x:v>1221</x:v>
      </x:c>
      <x:c r="F389" s="4" t="s">
        <x:v>1222</x:v>
      </x:c>
      <x:c r="G389" s="3" t="s">
        <x:v>1020</x:v>
      </x:c>
    </x:row>
    <x:row r="390" ht="165">
      <x:c r="A390" s="3" t="s">
        <x:v>1223</x:v>
      </x:c>
      <x:c r="B390" s="3" t="s">
        <x:v>1123</x:v>
      </x:c>
      <x:c r="C390" s="3" t="s">
        <x:v>1224</x:v>
      </x:c>
      <x:c r="D390" s="4" t="s">
        <x:v>1017</x:v>
      </x:c>
      <x:c r="E390" s="4" t="s">
        <x:v>1225</x:v>
      </x:c>
      <x:c r="F390" s="4" t="s">
        <x:v>1226</x:v>
      </x:c>
      <x:c r="G390" s="3" t="s">
        <x:v>1020</x:v>
      </x:c>
    </x:row>
    <x:row r="391" ht="285">
      <x:c r="A391" s="3" t="s">
        <x:v>1227</x:v>
      </x:c>
      <x:c r="B391" s="3" t="s">
        <x:v>1123</x:v>
      </x:c>
      <x:c r="C391" s="3" t="s">
        <x:v>1228</x:v>
      </x:c>
      <x:c r="D391" s="4" t="s">
        <x:v>1017</x:v>
      </x:c>
      <x:c r="E391" s="4" t="s">
        <x:v>1229</x:v>
      </x:c>
      <x:c r="F391" s="4" t="s">
        <x:v>1230</x:v>
      </x:c>
      <x:c r="G391" s="3" t="s">
        <x:v>1020</x:v>
      </x:c>
    </x:row>
    <x:row r="392" ht="165">
      <x:c r="A392" s="3" t="s">
        <x:v>1231</x:v>
      </x:c>
      <x:c r="B392" s="3" t="s">
        <x:v>1123</x:v>
      </x:c>
      <x:c r="C392" s="3" t="s">
        <x:v>1232</x:v>
      </x:c>
      <x:c r="D392" s="4" t="s">
        <x:v>1017</x:v>
      </x:c>
      <x:c r="E392" s="4" t="s">
        <x:v>1233</x:v>
      </x:c>
      <x:c r="F392" s="4" t="s">
        <x:v>1234</x:v>
      </x:c>
      <x:c r="G392" s="3" t="s">
        <x:v>1020</x:v>
      </x:c>
    </x:row>
    <x:row r="393" ht="135">
      <x:c r="A393" s="3" t="s">
        <x:v>1235</x:v>
      </x:c>
      <x:c r="B393" s="3" t="s">
        <x:v>1123</x:v>
      </x:c>
      <x:c r="C393" s="3" t="s">
        <x:v>1236</x:v>
      </x:c>
      <x:c r="D393" s="4" t="s">
        <x:v>1017</x:v>
      </x:c>
      <x:c r="E393" s="4" t="s">
        <x:v>1237</x:v>
      </x:c>
      <x:c r="F393" s="4" t="s">
        <x:v>1238</x:v>
      </x:c>
      <x:c r="G393" s="3" t="s">
        <x:v>1020</x:v>
      </x:c>
    </x:row>
    <x:row r="394" ht="180">
      <x:c r="A394" s="3" t="s">
        <x:v>1239</x:v>
      </x:c>
      <x:c r="B394" s="3" t="s">
        <x:v>1123</x:v>
      </x:c>
      <x:c r="C394" s="3" t="s">
        <x:v>1240</x:v>
      </x:c>
      <x:c r="D394" s="4" t="s">
        <x:v>1017</x:v>
      </x:c>
      <x:c r="E394" s="4" t="s">
        <x:v>1241</x:v>
      </x:c>
      <x:c r="F394" s="4" t="s">
        <x:v>1242</x:v>
      </x:c>
      <x:c r="G394" s="3" t="s">
        <x:v>1020</x:v>
      </x:c>
    </x:row>
    <x:row r="395" ht="105">
      <x:c r="A395" s="3" t="s">
        <x:v>1243</x:v>
      </x:c>
      <x:c r="B395" s="3" t="s">
        <x:v>1123</x:v>
      </x:c>
      <x:c r="C395" s="3" t="s">
        <x:v>1244</x:v>
      </x:c>
      <x:c r="D395" s="4" t="s">
        <x:v>1017</x:v>
      </x:c>
      <x:c r="E395" s="4" t="s">
        <x:v>1245</x:v>
      </x:c>
      <x:c r="F395" s="4" t="s">
        <x:v>1246</x:v>
      </x:c>
      <x:c r="G395" s="3" t="s">
        <x:v>1020</x:v>
      </x:c>
    </x:row>
    <x:row r="396" ht="105">
      <x:c r="A396" s="3" t="s">
        <x:v>1247</x:v>
      </x:c>
      <x:c r="B396" s="3" t="s">
        <x:v>1123</x:v>
      </x:c>
      <x:c r="C396" s="3" t="s">
        <x:v>1248</x:v>
      </x:c>
      <x:c r="D396" s="4" t="s">
        <x:v>1017</x:v>
      </x:c>
      <x:c r="E396" s="4" t="s">
        <x:v>1249</x:v>
      </x:c>
      <x:c r="F396" s="4" t="s">
        <x:v>1250</x:v>
      </x:c>
      <x:c r="G396" s="3" t="s">
        <x:v>1020</x:v>
      </x:c>
    </x:row>
    <x:row r="397" ht="120">
      <x:c r="A397" s="3" t="s">
        <x:v>1251</x:v>
      </x:c>
      <x:c r="B397" s="3" t="s">
        <x:v>1123</x:v>
      </x:c>
      <x:c r="C397" s="3" t="s">
        <x:v>1252</x:v>
      </x:c>
      <x:c r="D397" s="4" t="s">
        <x:v>1017</x:v>
      </x:c>
      <x:c r="E397" s="4" t="s">
        <x:v>1253</x:v>
      </x:c>
      <x:c r="F397" s="4" t="s">
        <x:v>1254</x:v>
      </x:c>
      <x:c r="G397" s="3" t="s">
        <x:v>1020</x:v>
      </x:c>
    </x:row>
    <x:row r="398" ht="165">
      <x:c r="A398" s="3" t="s">
        <x:v>1255</x:v>
      </x:c>
      <x:c r="B398" s="3" t="s">
        <x:v>1123</x:v>
      </x:c>
      <x:c r="C398" s="3" t="s">
        <x:v>1256</x:v>
      </x:c>
      <x:c r="D398" s="4" t="s">
        <x:v>1017</x:v>
      </x:c>
      <x:c r="E398" s="4" t="s">
        <x:v>1257</x:v>
      </x:c>
      <x:c r="F398" s="4" t="s">
        <x:v>1258</x:v>
      </x:c>
      <x:c r="G398" s="3" t="s">
        <x:v>1020</x:v>
      </x:c>
    </x:row>
    <x:row r="399" ht="315">
      <x:c r="A399" s="3" t="s">
        <x:v>1259</x:v>
      </x:c>
      <x:c r="B399" s="3" t="s">
        <x:v>1123</x:v>
      </x:c>
      <x:c r="C399" s="3" t="s">
        <x:v>1260</x:v>
      </x:c>
      <x:c r="D399" s="4" t="s">
        <x:v>1017</x:v>
      </x:c>
      <x:c r="E399" s="4" t="s">
        <x:v>1261</x:v>
      </x:c>
      <x:c r="F399" s="4" t="s">
        <x:v>1262</x:v>
      </x:c>
      <x:c r="G399" s="3" t="s">
        <x:v>1020</x:v>
      </x:c>
    </x:row>
    <x:row r="400" ht="360">
      <x:c r="A400" s="3" t="s">
        <x:v>1263</x:v>
      </x:c>
      <x:c r="B400" s="3" t="s">
        <x:v>1123</x:v>
      </x:c>
      <x:c r="C400" s="3" t="s">
        <x:v>1264</x:v>
      </x:c>
      <x:c r="D400" s="4" t="s">
        <x:v>1017</x:v>
      </x:c>
      <x:c r="E400" s="4" t="s">
        <x:v>1265</x:v>
      </x:c>
      <x:c r="F400" s="4" t="s">
        <x:v>1266</x:v>
      </x:c>
      <x:c r="G400" s="3" t="s">
        <x:v>1020</x:v>
      </x:c>
    </x:row>
    <x:row r="401" ht="105">
      <x:c r="A401" s="3" t="s">
        <x:v>1267</x:v>
      </x:c>
      <x:c r="B401" s="3" t="s">
        <x:v>1123</x:v>
      </x:c>
      <x:c r="C401" s="3" t="s">
        <x:v>1268</x:v>
      </x:c>
      <x:c r="D401" s="4" t="s">
        <x:v>1017</x:v>
      </x:c>
      <x:c r="E401" s="4" t="s">
        <x:v>1269</x:v>
      </x:c>
      <x:c r="F401" s="4" t="s">
        <x:v>1270</x:v>
      </x:c>
      <x:c r="G401" s="3" t="s">
        <x:v>1020</x:v>
      </x:c>
    </x:row>
    <x:row r="402" ht="105">
      <x:c r="A402" s="3" t="s">
        <x:v>1271</x:v>
      </x:c>
      <x:c r="B402" s="3" t="s">
        <x:v>1123</x:v>
      </x:c>
      <x:c r="C402" s="3" t="s">
        <x:v>1272</x:v>
      </x:c>
      <x:c r="D402" s="4" t="s">
        <x:v>1017</x:v>
      </x:c>
      <x:c r="E402" s="4" t="s">
        <x:v>1273</x:v>
      </x:c>
      <x:c r="F402" s="4" t="s">
        <x:v>1274</x:v>
      </x:c>
      <x:c r="G402" s="3" t="s">
        <x:v>1020</x:v>
      </x:c>
    </x:row>
    <x:row r="403" ht="180">
      <x:c r="A403" s="3" t="s">
        <x:v>1275</x:v>
      </x:c>
      <x:c r="B403" s="3" t="s">
        <x:v>1123</x:v>
      </x:c>
      <x:c r="C403" s="3" t="s">
        <x:v>1276</x:v>
      </x:c>
      <x:c r="D403" s="4" t="s">
        <x:v>1017</x:v>
      </x:c>
      <x:c r="E403" s="4" t="s">
        <x:v>1277</x:v>
      </x:c>
      <x:c r="F403" s="4" t="s">
        <x:v>1278</x:v>
      </x:c>
      <x:c r="G403" s="3" t="s">
        <x:v>1020</x:v>
      </x:c>
    </x:row>
    <x:row r="404" ht="165">
      <x:c r="A404" s="3" t="s">
        <x:v>1279</x:v>
      </x:c>
      <x:c r="B404" s="3" t="s">
        <x:v>1123</x:v>
      </x:c>
      <x:c r="C404" s="3" t="s">
        <x:v>1280</x:v>
      </x:c>
      <x:c r="D404" s="4" t="s">
        <x:v>1017</x:v>
      </x:c>
      <x:c r="E404" s="4" t="s">
        <x:v>1281</x:v>
      </x:c>
      <x:c r="F404" s="4" t="s">
        <x:v>1282</x:v>
      </x:c>
      <x:c r="G404" s="3" t="s">
        <x:v>1020</x:v>
      </x:c>
    </x:row>
    <x:row r="405" ht="165">
      <x:c r="A405" s="3" t="s">
        <x:v>1283</x:v>
      </x:c>
      <x:c r="B405" s="3" t="s">
        <x:v>1123</x:v>
      </x:c>
      <x:c r="C405" s="3" t="s">
        <x:v>1284</x:v>
      </x:c>
      <x:c r="D405" s="4" t="s">
        <x:v>1017</x:v>
      </x:c>
      <x:c r="E405" s="4" t="s">
        <x:v>1285</x:v>
      </x:c>
      <x:c r="F405" s="4" t="s">
        <x:v>1286</x:v>
      </x:c>
      <x:c r="G405" s="3" t="s">
        <x:v>1020</x:v>
      </x:c>
    </x:row>
    <x:row r="406" ht="120">
      <x:c r="A406" s="3" t="s">
        <x:v>1287</x:v>
      </x:c>
      <x:c r="B406" s="3" t="s">
        <x:v>1123</x:v>
      </x:c>
      <x:c r="C406" s="3" t="s">
        <x:v>1288</x:v>
      </x:c>
      <x:c r="D406" s="4" t="s">
        <x:v>1017</x:v>
      </x:c>
      <x:c r="E406" s="4" t="s">
        <x:v>1289</x:v>
      </x:c>
      <x:c r="F406" s="4" t="s">
        <x:v>1290</x:v>
      </x:c>
      <x:c r="G406" s="3" t="s">
        <x:v>1020</x:v>
      </x:c>
    </x:row>
    <x:row r="407" ht="150">
      <x:c r="A407" s="3" t="s">
        <x:v>1291</x:v>
      </x:c>
      <x:c r="B407" s="3" t="s">
        <x:v>1123</x:v>
      </x:c>
      <x:c r="C407" s="3" t="s">
        <x:v>1292</x:v>
      </x:c>
      <x:c r="D407" s="4" t="s">
        <x:v>1017</x:v>
      </x:c>
      <x:c r="E407" s="4" t="s">
        <x:v>1293</x:v>
      </x:c>
      <x:c r="F407" s="4" t="s">
        <x:v>1294</x:v>
      </x:c>
      <x:c r="G407" s="3" t="s">
        <x:v>1020</x:v>
      </x:c>
    </x:row>
    <x:row r="408" ht="105">
      <x:c r="A408" s="3" t="s">
        <x:v>1295</x:v>
      </x:c>
      <x:c r="B408" s="3" t="s">
        <x:v>1123</x:v>
      </x:c>
      <x:c r="C408" s="3" t="s">
        <x:v>1296</x:v>
      </x:c>
      <x:c r="D408" s="4" t="s">
        <x:v>1017</x:v>
      </x:c>
      <x:c r="E408" s="4" t="s">
        <x:v>1297</x:v>
      </x:c>
      <x:c r="F408" s="4" t="s">
        <x:v>1298</x:v>
      </x:c>
      <x:c r="G408" s="3" t="s">
        <x:v>1020</x:v>
      </x:c>
    </x:row>
    <x:row r="409" ht="150">
      <x:c r="A409" s="3" t="s">
        <x:v>1299</x:v>
      </x:c>
      <x:c r="B409" s="3" t="s">
        <x:v>1123</x:v>
      </x:c>
      <x:c r="C409" s="3" t="s">
        <x:v>1300</x:v>
      </x:c>
      <x:c r="D409" s="4" t="s">
        <x:v>1017</x:v>
      </x:c>
      <x:c r="E409" s="4" t="s">
        <x:v>1301</x:v>
      </x:c>
      <x:c r="F409" s="4" t="s">
        <x:v>1302</x:v>
      </x:c>
      <x:c r="G409" s="3" t="s">
        <x:v>1020</x:v>
      </x:c>
    </x:row>
    <x:row r="410" ht="135">
      <x:c r="A410" s="3" t="s">
        <x:v>1303</x:v>
      </x:c>
      <x:c r="B410" s="3" t="s">
        <x:v>1123</x:v>
      </x:c>
      <x:c r="C410" s="3" t="s">
        <x:v>1304</x:v>
      </x:c>
      <x:c r="D410" s="4" t="s">
        <x:v>1017</x:v>
      </x:c>
      <x:c r="E410" s="4" t="s">
        <x:v>1305</x:v>
      </x:c>
      <x:c r="F410" s="4" t="s">
        <x:v>1306</x:v>
      </x:c>
      <x:c r="G410" s="3" t="s">
        <x:v>1020</x:v>
      </x:c>
    </x:row>
    <x:row r="411" ht="105">
      <x:c r="A411" s="3" t="s">
        <x:v>1307</x:v>
      </x:c>
      <x:c r="B411" s="3" t="s">
        <x:v>1123</x:v>
      </x:c>
      <x:c r="C411" s="3" t="s">
        <x:v>1308</x:v>
      </x:c>
      <x:c r="D411" s="4" t="s">
        <x:v>1017</x:v>
      </x:c>
      <x:c r="E411" s="4" t="s">
        <x:v>1309</x:v>
      </x:c>
      <x:c r="F411" s="4" t="s">
        <x:v>1310</x:v>
      </x:c>
      <x:c r="G411" s="3" t="s">
        <x:v>1020</x:v>
      </x:c>
    </x:row>
    <x:row r="412" ht="135">
      <x:c r="A412" s="3" t="s">
        <x:v>1311</x:v>
      </x:c>
      <x:c r="B412" s="3" t="s">
        <x:v>1123</x:v>
      </x:c>
      <x:c r="C412" s="3" t="s">
        <x:v>1312</x:v>
      </x:c>
      <x:c r="D412" s="4" t="s">
        <x:v>1017</x:v>
      </x:c>
      <x:c r="E412" s="4" t="s">
        <x:v>1313</x:v>
      </x:c>
      <x:c r="F412" s="4" t="s">
        <x:v>1314</x:v>
      </x:c>
      <x:c r="G412" s="3" t="s">
        <x:v>1020</x:v>
      </x:c>
    </x:row>
    <x:row r="413" ht="150">
      <x:c r="A413" s="3" t="s">
        <x:v>1315</x:v>
      </x:c>
      <x:c r="B413" s="3" t="s">
        <x:v>1123</x:v>
      </x:c>
      <x:c r="C413" s="3" t="s">
        <x:v>1316</x:v>
      </x:c>
      <x:c r="D413" s="4" t="s">
        <x:v>1017</x:v>
      </x:c>
      <x:c r="E413" s="4" t="s">
        <x:v>1317</x:v>
      </x:c>
      <x:c r="F413" s="4" t="s">
        <x:v>1318</x:v>
      </x:c>
      <x:c r="G413" s="3" t="s">
        <x:v>1020</x:v>
      </x:c>
    </x:row>
    <x:row r="414" ht="135">
      <x:c r="A414" s="3" t="s">
        <x:v>1319</x:v>
      </x:c>
      <x:c r="B414" s="3" t="s">
        <x:v>1123</x:v>
      </x:c>
      <x:c r="C414" s="3" t="s">
        <x:v>1320</x:v>
      </x:c>
      <x:c r="D414" s="4" t="s">
        <x:v>1017</x:v>
      </x:c>
      <x:c r="E414" s="4" t="s">
        <x:v>1321</x:v>
      </x:c>
      <x:c r="F414" s="4" t="s">
        <x:v>1322</x:v>
      </x:c>
      <x:c r="G414" s="3" t="s">
        <x:v>1020</x:v>
      </x:c>
    </x:row>
    <x:row r="415" ht="210">
      <x:c r="A415" s="3" t="s">
        <x:v>1323</x:v>
      </x:c>
      <x:c r="B415" s="3" t="s">
        <x:v>1123</x:v>
      </x:c>
      <x:c r="C415" s="3" t="s">
        <x:v>1324</x:v>
      </x:c>
      <x:c r="D415" s="4" t="s">
        <x:v>1017</x:v>
      </x:c>
      <x:c r="E415" s="4" t="s">
        <x:v>1325</x:v>
      </x:c>
      <x:c r="F415" s="4" t="s">
        <x:v>1326</x:v>
      </x:c>
      <x:c r="G415" s="3" t="s">
        <x:v>1020</x:v>
      </x:c>
    </x:row>
    <x:row r="416" ht="330">
      <x:c r="A416" s="3" t="s">
        <x:v>1327</x:v>
      </x:c>
      <x:c r="B416" s="3" t="s">
        <x:v>1123</x:v>
      </x:c>
      <x:c r="C416" s="3" t="s">
        <x:v>1328</x:v>
      </x:c>
      <x:c r="D416" s="4" t="s">
        <x:v>1017</x:v>
      </x:c>
      <x:c r="E416" s="4" t="s">
        <x:v>1329</x:v>
      </x:c>
      <x:c r="F416" s="4" t="s">
        <x:v>1330</x:v>
      </x:c>
      <x:c r="G416" s="3" t="s">
        <x:v>1020</x:v>
      </x:c>
    </x:row>
    <x:row r="417" ht="150">
      <x:c r="A417" s="3" t="s">
        <x:v>1331</x:v>
      </x:c>
      <x:c r="B417" s="3" t="s">
        <x:v>1123</x:v>
      </x:c>
      <x:c r="C417" s="3" t="s">
        <x:v>1332</x:v>
      </x:c>
      <x:c r="D417" s="4" t="s">
        <x:v>1017</x:v>
      </x:c>
      <x:c r="E417" s="4" t="s">
        <x:v>1333</x:v>
      </x:c>
      <x:c r="F417" s="4" t="s">
        <x:v>1334</x:v>
      </x:c>
      <x:c r="G417" s="3" t="s">
        <x:v>1020</x:v>
      </x:c>
    </x:row>
    <x:row r="418" ht="150">
      <x:c r="A418" s="3" t="s">
        <x:v>1335</x:v>
      </x:c>
      <x:c r="B418" s="3" t="s">
        <x:v>1123</x:v>
      </x:c>
      <x:c r="C418" s="3" t="s">
        <x:v>1336</x:v>
      </x:c>
      <x:c r="D418" s="4" t="s">
        <x:v>1017</x:v>
      </x:c>
      <x:c r="E418" s="4" t="s">
        <x:v>1337</x:v>
      </x:c>
      <x:c r="F418" s="4" t="s">
        <x:v>1338</x:v>
      </x:c>
      <x:c r="G418" s="3" t="s">
        <x:v>1020</x:v>
      </x:c>
    </x:row>
    <x:row r="419" ht="210">
      <x:c r="A419" s="3" t="s">
        <x:v>1339</x:v>
      </x:c>
      <x:c r="B419" s="3" t="s">
        <x:v>1123</x:v>
      </x:c>
      <x:c r="C419" s="3" t="s">
        <x:v>1340</x:v>
      </x:c>
      <x:c r="D419" s="4" t="s">
        <x:v>1017</x:v>
      </x:c>
      <x:c r="E419" s="4" t="s">
        <x:v>1341</x:v>
      </x:c>
      <x:c r="F419" s="4" t="s">
        <x:v>1342</x:v>
      </x:c>
      <x:c r="G419" s="3" t="s">
        <x:v>1020</x:v>
      </x:c>
    </x:row>
    <x:row r="420" ht="90">
      <x:c r="A420" s="3" t="s">
        <x:v>1343</x:v>
      </x:c>
      <x:c r="B420" s="3" t="s">
        <x:v>1123</x:v>
      </x:c>
      <x:c r="C420" s="3" t="s">
        <x:v>1344</x:v>
      </x:c>
      <x:c r="D420" s="4" t="s">
        <x:v>1017</x:v>
      </x:c>
      <x:c r="E420" s="4" t="s">
        <x:v>1345</x:v>
      </x:c>
      <x:c r="F420" s="4" t="s">
        <x:v>1346</x:v>
      </x:c>
      <x:c r="G420" s="3" t="s">
        <x:v>1020</x:v>
      </x:c>
    </x:row>
    <x:row r="421" ht="150">
      <x:c r="A421" s="3" t="s">
        <x:v>1347</x:v>
      </x:c>
      <x:c r="B421" s="3" t="s">
        <x:v>1123</x:v>
      </x:c>
      <x:c r="C421" s="3" t="s">
        <x:v>1348</x:v>
      </x:c>
      <x:c r="D421" s="4" t="s">
        <x:v>1017</x:v>
      </x:c>
      <x:c r="E421" s="4" t="s">
        <x:v>1349</x:v>
      </x:c>
      <x:c r="F421" s="4" t="s">
        <x:v>1350</x:v>
      </x:c>
      <x:c r="G421" s="3" t="s">
        <x:v>1020</x:v>
      </x:c>
    </x:row>
    <x:row r="422" ht="135">
      <x:c r="A422" s="3" t="s">
        <x:v>1351</x:v>
      </x:c>
      <x:c r="B422" s="3" t="s">
        <x:v>1123</x:v>
      </x:c>
      <x:c r="C422" s="3" t="s">
        <x:v>1352</x:v>
      </x:c>
      <x:c r="D422" s="4" t="s">
        <x:v>1017</x:v>
      </x:c>
      <x:c r="E422" s="4" t="s">
        <x:v>1353</x:v>
      </x:c>
      <x:c r="F422" s="4" t="s">
        <x:v>1354</x:v>
      </x:c>
      <x:c r="G422" s="3" t="s">
        <x:v>1020</x:v>
      </x:c>
    </x:row>
    <x:row r="423" ht="180">
      <x:c r="A423" s="3" t="s">
        <x:v>1355</x:v>
      </x:c>
      <x:c r="B423" s="3" t="s">
        <x:v>1123</x:v>
      </x:c>
      <x:c r="C423" s="3" t="s">
        <x:v>1356</x:v>
      </x:c>
      <x:c r="D423" s="4" t="s">
        <x:v>1017</x:v>
      </x:c>
      <x:c r="E423" s="4" t="s">
        <x:v>1357</x:v>
      </x:c>
      <x:c r="F423" s="4" t="s">
        <x:v>1358</x:v>
      </x:c>
      <x:c r="G423" s="3" t="s">
        <x:v>1020</x:v>
      </x:c>
    </x:row>
    <x:row r="424" ht="195">
      <x:c r="A424" s="3" t="s">
        <x:v>1359</x:v>
      </x:c>
      <x:c r="B424" s="3" t="s">
        <x:v>1123</x:v>
      </x:c>
      <x:c r="C424" s="3" t="s">
        <x:v>1360</x:v>
      </x:c>
      <x:c r="D424" s="4" t="s">
        <x:v>1017</x:v>
      </x:c>
      <x:c r="E424" s="4" t="s">
        <x:v>1361</x:v>
      </x:c>
      <x:c r="F424" s="4" t="s">
        <x:v>1362</x:v>
      </x:c>
      <x:c r="G424" s="3" t="s">
        <x:v>1020</x:v>
      </x:c>
    </x:row>
    <x:row r="425" ht="120">
      <x:c r="A425" s="3" t="s">
        <x:v>1363</x:v>
      </x:c>
      <x:c r="B425" s="3" t="s">
        <x:v>1123</x:v>
      </x:c>
      <x:c r="C425" s="3" t="s">
        <x:v>1364</x:v>
      </x:c>
      <x:c r="D425" s="4" t="s">
        <x:v>1017</x:v>
      </x:c>
      <x:c r="E425" s="4" t="s">
        <x:v>1365</x:v>
      </x:c>
      <x:c r="F425" s="4" t="s">
        <x:v>1366</x:v>
      </x:c>
      <x:c r="G425" s="3" t="s">
        <x:v>1020</x:v>
      </x:c>
    </x:row>
    <x:row r="426" ht="120">
      <x:c r="A426" s="3" t="s">
        <x:v>1367</x:v>
      </x:c>
      <x:c r="B426" s="3" t="s">
        <x:v>1123</x:v>
      </x:c>
      <x:c r="C426" s="3" t="s">
        <x:v>1368</x:v>
      </x:c>
      <x:c r="D426" s="4" t="s">
        <x:v>1017</x:v>
      </x:c>
      <x:c r="E426" s="4" t="s">
        <x:v>1369</x:v>
      </x:c>
      <x:c r="F426" s="4" t="s">
        <x:v>1370</x:v>
      </x:c>
      <x:c r="G426" s="3" t="s">
        <x:v>1020</x:v>
      </x:c>
    </x:row>
    <x:row r="427" ht="90">
      <x:c r="A427" s="3" t="s">
        <x:v>1371</x:v>
      </x:c>
      <x:c r="B427" s="3" t="s">
        <x:v>1123</x:v>
      </x:c>
      <x:c r="C427" s="3" t="s">
        <x:v>1372</x:v>
      </x:c>
      <x:c r="D427" s="4" t="s">
        <x:v>1017</x:v>
      </x:c>
      <x:c r="E427" s="4" t="s">
        <x:v>1373</x:v>
      </x:c>
      <x:c r="F427" s="4" t="s">
        <x:v>1374</x:v>
      </x:c>
      <x:c r="G427" s="3" t="s">
        <x:v>1020</x:v>
      </x:c>
    </x:row>
    <x:row r="428" ht="150">
      <x:c r="A428" s="3" t="s">
        <x:v>1375</x:v>
      </x:c>
      <x:c r="B428" s="3" t="s">
        <x:v>1123</x:v>
      </x:c>
      <x:c r="C428" s="3" t="s">
        <x:v>1376</x:v>
      </x:c>
      <x:c r="D428" s="4" t="s">
        <x:v>1017</x:v>
      </x:c>
      <x:c r="E428" s="4" t="s">
        <x:v>1377</x:v>
      </x:c>
      <x:c r="F428" s="4" t="s">
        <x:v>1378</x:v>
      </x:c>
      <x:c r="G428" s="3" t="s">
        <x:v>1020</x:v>
      </x:c>
    </x:row>
    <x:row r="429" ht="135">
      <x:c r="A429" s="3" t="s">
        <x:v>1379</x:v>
      </x:c>
      <x:c r="B429" s="3" t="s">
        <x:v>1123</x:v>
      </x:c>
      <x:c r="C429" s="3" t="s">
        <x:v>1380</x:v>
      </x:c>
      <x:c r="D429" s="4" t="s">
        <x:v>1017</x:v>
      </x:c>
      <x:c r="E429" s="4" t="s">
        <x:v>1381</x:v>
      </x:c>
      <x:c r="F429" s="4" t="s">
        <x:v>1382</x:v>
      </x:c>
      <x:c r="G429" s="3" t="s">
        <x:v>1020</x:v>
      </x:c>
    </x:row>
    <x:row r="430" ht="195">
      <x:c r="A430" s="3" t="s">
        <x:v>1383</x:v>
      </x:c>
      <x:c r="B430" s="3" t="s">
        <x:v>1123</x:v>
      </x:c>
      <x:c r="C430" s="3" t="s">
        <x:v>1384</x:v>
      </x:c>
      <x:c r="D430" s="4" t="s">
        <x:v>1017</x:v>
      </x:c>
      <x:c r="E430" s="4" t="s">
        <x:v>1385</x:v>
      </x:c>
      <x:c r="F430" s="4" t="s">
        <x:v>1386</x:v>
      </x:c>
      <x:c r="G430" s="3" t="s">
        <x:v>1020</x:v>
      </x:c>
    </x:row>
    <x:row r="431" ht="240">
      <x:c r="A431" s="3" t="s">
        <x:v>1387</x:v>
      </x:c>
      <x:c r="B431" s="3" t="s">
        <x:v>1123</x:v>
      </x:c>
      <x:c r="C431" s="3" t="s">
        <x:v>1388</x:v>
      </x:c>
      <x:c r="D431" s="4" t="s">
        <x:v>1017</x:v>
      </x:c>
      <x:c r="E431" s="4" t="s">
        <x:v>1389</x:v>
      </x:c>
      <x:c r="F431" s="4" t="s">
        <x:v>1390</x:v>
      </x:c>
      <x:c r="G431" s="3" t="s">
        <x:v>1020</x:v>
      </x:c>
    </x:row>
    <x:row r="432" ht="409.5">
      <x:c r="A432" s="3" t="s">
        <x:v>1391</x:v>
      </x:c>
      <x:c r="B432" s="3" t="s">
        <x:v>1123</x:v>
      </x:c>
      <x:c r="C432" s="3" t="s">
        <x:v>1392</x:v>
      </x:c>
      <x:c r="D432" s="4" t="s">
        <x:v>1017</x:v>
      </x:c>
      <x:c r="E432" s="4" t="s">
        <x:v>1393</x:v>
      </x:c>
      <x:c r="F432" s="4" t="s">
        <x:v>1394</x:v>
      </x:c>
      <x:c r="G432" s="3" t="s">
        <x:v>1020</x:v>
      </x:c>
    </x:row>
    <x:row r="433" ht="90">
      <x:c r="A433" s="3" t="s">
        <x:v>1395</x:v>
      </x:c>
      <x:c r="B433" s="3" t="s">
        <x:v>1123</x:v>
      </x:c>
      <x:c r="C433" s="3" t="s">
        <x:v>1396</x:v>
      </x:c>
      <x:c r="D433" s="4" t="s">
        <x:v>1017</x:v>
      </x:c>
      <x:c r="E433" s="4" t="s">
        <x:v>1397</x:v>
      </x:c>
      <x:c r="F433" s="4" t="s">
        <x:v>1398</x:v>
      </x:c>
      <x:c r="G433" s="3" t="s">
        <x:v>1020</x:v>
      </x:c>
    </x:row>
    <x:row r="434" ht="120">
      <x:c r="A434" s="3" t="s">
        <x:v>1399</x:v>
      </x:c>
      <x:c r="B434" s="3" t="s">
        <x:v>1123</x:v>
      </x:c>
      <x:c r="C434" s="3" t="s">
        <x:v>1400</x:v>
      </x:c>
      <x:c r="D434" s="4" t="s">
        <x:v>1017</x:v>
      </x:c>
      <x:c r="E434" s="4" t="s">
        <x:v>1401</x:v>
      </x:c>
      <x:c r="F434" s="4" t="s">
        <x:v>1402</x:v>
      </x:c>
      <x:c r="G434" s="3" t="s">
        <x:v>1020</x:v>
      </x:c>
    </x:row>
    <x:row r="435" ht="135">
      <x:c r="A435" s="3" t="s">
        <x:v>1403</x:v>
      </x:c>
      <x:c r="B435" s="3" t="s">
        <x:v>1123</x:v>
      </x:c>
      <x:c r="C435" s="3" t="s">
        <x:v>1404</x:v>
      </x:c>
      <x:c r="D435" s="4" t="s">
        <x:v>1017</x:v>
      </x:c>
      <x:c r="E435" s="4" t="s">
        <x:v>1405</x:v>
      </x:c>
      <x:c r="F435" s="4" t="s">
        <x:v>1406</x:v>
      </x:c>
      <x:c r="G435" s="3" t="s">
        <x:v>1020</x:v>
      </x:c>
    </x:row>
    <x:row r="436" ht="180">
      <x:c r="A436" s="3" t="s">
        <x:v>1407</x:v>
      </x:c>
      <x:c r="B436" s="3" t="s">
        <x:v>1123</x:v>
      </x:c>
      <x:c r="C436" s="3" t="s">
        <x:v>1408</x:v>
      </x:c>
      <x:c r="D436" s="4" t="s">
        <x:v>1017</x:v>
      </x:c>
      <x:c r="E436" s="4" t="s">
        <x:v>1409</x:v>
      </x:c>
      <x:c r="F436" s="4" t="s">
        <x:v>1410</x:v>
      </x:c>
      <x:c r="G436" s="3" t="s">
        <x:v>1020</x:v>
      </x:c>
    </x:row>
    <x:row r="437" ht="105">
      <x:c r="A437" s="3" t="s">
        <x:v>1411</x:v>
      </x:c>
      <x:c r="B437" s="3" t="s">
        <x:v>1123</x:v>
      </x:c>
      <x:c r="C437" s="3" t="s">
        <x:v>1412</x:v>
      </x:c>
      <x:c r="D437" s="4" t="s">
        <x:v>1017</x:v>
      </x:c>
      <x:c r="E437" s="4" t="s">
        <x:v>1413</x:v>
      </x:c>
      <x:c r="F437" s="4" t="s">
        <x:v>1414</x:v>
      </x:c>
      <x:c r="G437" s="3" t="s">
        <x:v>1020</x:v>
      </x:c>
    </x:row>
    <x:row r="438" ht="345">
      <x:c r="A438" s="3" t="s">
        <x:v>1415</x:v>
      </x:c>
      <x:c r="B438" s="3" t="s">
        <x:v>1123</x:v>
      </x:c>
      <x:c r="C438" s="3" t="s">
        <x:v>1416</x:v>
      </x:c>
      <x:c r="D438" s="4" t="s">
        <x:v>1017</x:v>
      </x:c>
      <x:c r="E438" s="4" t="s">
        <x:v>1417</x:v>
      </x:c>
      <x:c r="F438" s="4" t="s">
        <x:v>1418</x:v>
      </x:c>
      <x:c r="G438" s="3" t="s">
        <x:v>1020</x:v>
      </x:c>
    </x:row>
    <x:row r="439" ht="150">
      <x:c r="A439" s="3" t="s">
        <x:v>1419</x:v>
      </x:c>
      <x:c r="B439" s="3" t="s">
        <x:v>1123</x:v>
      </x:c>
      <x:c r="C439" s="3" t="s">
        <x:v>1420</x:v>
      </x:c>
      <x:c r="D439" s="4" t="s">
        <x:v>1017</x:v>
      </x:c>
      <x:c r="E439" s="4" t="s">
        <x:v>1421</x:v>
      </x:c>
      <x:c r="F439" s="4" t="s">
        <x:v>1422</x:v>
      </x:c>
      <x:c r="G439" s="3" t="s">
        <x:v>1020</x:v>
      </x:c>
    </x:row>
    <x:row r="440" ht="75">
      <x:c r="A440" s="3" t="s">
        <x:v>1423</x:v>
      </x:c>
      <x:c r="B440" s="3" t="s">
        <x:v>1123</x:v>
      </x:c>
      <x:c r="C440" s="3" t="s">
        <x:v>1424</x:v>
      </x:c>
      <x:c r="D440" s="4" t="s">
        <x:v>1017</x:v>
      </x:c>
      <x:c r="E440" s="4" t="s">
        <x:v>1425</x:v>
      </x:c>
      <x:c r="F440" s="4" t="s">
        <x:v>1426</x:v>
      </x:c>
      <x:c r="G440" s="3" t="s">
        <x:v>1020</x:v>
      </x:c>
    </x:row>
    <x:row r="441" ht="150">
      <x:c r="A441" s="3" t="s">
        <x:v>1427</x:v>
      </x:c>
      <x:c r="B441" s="3" t="s">
        <x:v>1123</x:v>
      </x:c>
      <x:c r="C441" s="3" t="s">
        <x:v>1428</x:v>
      </x:c>
      <x:c r="D441" s="4" t="s">
        <x:v>1017</x:v>
      </x:c>
      <x:c r="E441" s="4" t="s">
        <x:v>1429</x:v>
      </x:c>
      <x:c r="F441" s="4" t="s">
        <x:v>1430</x:v>
      </x:c>
      <x:c r="G441" s="3" t="s">
        <x:v>1020</x:v>
      </x:c>
    </x:row>
    <x:row r="442" ht="150">
      <x:c r="A442" s="3" t="s">
        <x:v>1431</x:v>
      </x:c>
      <x:c r="B442" s="3" t="s">
        <x:v>1123</x:v>
      </x:c>
      <x:c r="C442" s="3" t="s">
        <x:v>1432</x:v>
      </x:c>
      <x:c r="D442" s="4" t="s">
        <x:v>1017</x:v>
      </x:c>
      <x:c r="E442" s="4" t="s">
        <x:v>1433</x:v>
      </x:c>
      <x:c r="F442" s="4" t="s">
        <x:v>1434</x:v>
      </x:c>
      <x:c r="G442" s="3" t="s">
        <x:v>1020</x:v>
      </x:c>
    </x:row>
    <x:row r="443" ht="105">
      <x:c r="A443" s="3" t="s">
        <x:v>1435</x:v>
      </x:c>
      <x:c r="B443" s="3" t="s">
        <x:v>1123</x:v>
      </x:c>
      <x:c r="C443" s="3" t="s">
        <x:v>1436</x:v>
      </x:c>
      <x:c r="D443" s="4" t="s">
        <x:v>1017</x:v>
      </x:c>
      <x:c r="E443" s="4" t="s">
        <x:v>1437</x:v>
      </x:c>
      <x:c r="F443" s="4" t="s">
        <x:v>1438</x:v>
      </x:c>
      <x:c r="G443" s="3" t="s">
        <x:v>1020</x:v>
      </x:c>
    </x:row>
    <x:row r="444" ht="90">
      <x:c r="A444" s="3" t="s">
        <x:v>1439</x:v>
      </x:c>
      <x:c r="B444" s="3" t="s">
        <x:v>1123</x:v>
      </x:c>
      <x:c r="C444" s="3" t="s">
        <x:v>1440</x:v>
      </x:c>
      <x:c r="D444" s="4" t="s">
        <x:v>1017</x:v>
      </x:c>
      <x:c r="E444" s="4" t="s">
        <x:v>1441</x:v>
      </x:c>
      <x:c r="F444" s="4" t="s">
        <x:v>1442</x:v>
      </x:c>
      <x:c r="G444" s="3" t="s">
        <x:v>1020</x:v>
      </x:c>
    </x:row>
    <x:row r="445" ht="180">
      <x:c r="A445" s="3" t="s">
        <x:v>1443</x:v>
      </x:c>
      <x:c r="B445" s="3" t="s">
        <x:v>1123</x:v>
      </x:c>
      <x:c r="C445" s="3" t="s">
        <x:v>1444</x:v>
      </x:c>
      <x:c r="D445" s="4" t="s">
        <x:v>1017</x:v>
      </x:c>
      <x:c r="E445" s="4" t="s">
        <x:v>1445</x:v>
      </x:c>
      <x:c r="F445" s="4" t="s">
        <x:v>1446</x:v>
      </x:c>
      <x:c r="G445" s="3" t="s">
        <x:v>1020</x:v>
      </x:c>
    </x:row>
    <x:row r="446" ht="255">
      <x:c r="A446" s="3" t="s">
        <x:v>1447</x:v>
      </x:c>
      <x:c r="B446" s="3" t="s">
        <x:v>1123</x:v>
      </x:c>
      <x:c r="C446" s="3" t="s">
        <x:v>1448</x:v>
      </x:c>
      <x:c r="D446" s="4" t="s">
        <x:v>1017</x:v>
      </x:c>
      <x:c r="E446" s="4" t="s">
        <x:v>1449</x:v>
      </x:c>
      <x:c r="F446" s="4" t="s">
        <x:v>1450</x:v>
      </x:c>
      <x:c r="G446" s="3" t="s">
        <x:v>1020</x:v>
      </x:c>
    </x:row>
    <x:row r="447" ht="90">
      <x:c r="A447" s="3" t="s">
        <x:v>1451</x:v>
      </x:c>
      <x:c r="B447" s="3" t="s">
        <x:v>1123</x:v>
      </x:c>
      <x:c r="C447" s="3" t="s">
        <x:v>1452</x:v>
      </x:c>
      <x:c r="D447" s="4" t="s">
        <x:v>1017</x:v>
      </x:c>
      <x:c r="E447" s="4" t="s">
        <x:v>1453</x:v>
      </x:c>
      <x:c r="F447" s="4" t="s">
        <x:v>1454</x:v>
      </x:c>
      <x:c r="G447" s="3" t="s">
        <x:v>1020</x:v>
      </x:c>
    </x:row>
    <x:row r="448" ht="135">
      <x:c r="A448" s="3" t="s">
        <x:v>1455</x:v>
      </x:c>
      <x:c r="B448" s="3" t="s">
        <x:v>1123</x:v>
      </x:c>
      <x:c r="C448" s="3" t="s">
        <x:v>1456</x:v>
      </x:c>
      <x:c r="D448" s="4" t="s">
        <x:v>1017</x:v>
      </x:c>
      <x:c r="E448" s="4" t="s">
        <x:v>1457</x:v>
      </x:c>
      <x:c r="F448" s="4" t="s">
        <x:v>1458</x:v>
      </x:c>
      <x:c r="G448" s="3" t="s">
        <x:v>1020</x:v>
      </x:c>
    </x:row>
    <x:row r="449" ht="90">
      <x:c r="A449" s="3" t="s">
        <x:v>1459</x:v>
      </x:c>
      <x:c r="B449" s="3" t="s">
        <x:v>1123</x:v>
      </x:c>
      <x:c r="C449" s="3" t="s">
        <x:v>1460</x:v>
      </x:c>
      <x:c r="D449" s="4" t="s">
        <x:v>1017</x:v>
      </x:c>
      <x:c r="E449" s="4" t="s">
        <x:v>1461</x:v>
      </x:c>
      <x:c r="F449" s="4" t="s">
        <x:v>1462</x:v>
      </x:c>
      <x:c r="G449" s="3" t="s">
        <x:v>1020</x:v>
      </x:c>
    </x:row>
    <x:row r="450" ht="105">
      <x:c r="A450" s="3" t="s">
        <x:v>1463</x:v>
      </x:c>
      <x:c r="B450" s="3" t="s">
        <x:v>1123</x:v>
      </x:c>
      <x:c r="C450" s="3" t="s">
        <x:v>1464</x:v>
      </x:c>
      <x:c r="D450" s="4" t="s">
        <x:v>1017</x:v>
      </x:c>
      <x:c r="E450" s="4" t="s">
        <x:v>1465</x:v>
      </x:c>
      <x:c r="F450" s="4" t="s">
        <x:v>1466</x:v>
      </x:c>
      <x:c r="G450" s="3" t="s">
        <x:v>1020</x:v>
      </x:c>
    </x:row>
    <x:row r="451" ht="165">
      <x:c r="A451" s="3" t="s">
        <x:v>1467</x:v>
      </x:c>
      <x:c r="B451" s="3" t="s">
        <x:v>1123</x:v>
      </x:c>
      <x:c r="C451" s="3" t="s">
        <x:v>1468</x:v>
      </x:c>
      <x:c r="D451" s="4" t="s">
        <x:v>1017</x:v>
      </x:c>
      <x:c r="E451" s="4" t="s">
        <x:v>1469</x:v>
      </x:c>
      <x:c r="F451" s="4" t="s">
        <x:v>1470</x:v>
      </x:c>
      <x:c r="G451" s="3" t="s">
        <x:v>1020</x:v>
      </x:c>
    </x:row>
    <x:row r="452" ht="150">
      <x:c r="A452" s="3" t="s">
        <x:v>1471</x:v>
      </x:c>
      <x:c r="B452" s="3" t="s">
        <x:v>1123</x:v>
      </x:c>
      <x:c r="C452" s="3" t="s">
        <x:v>1472</x:v>
      </x:c>
      <x:c r="D452" s="4" t="s">
        <x:v>1017</x:v>
      </x:c>
      <x:c r="E452" s="4" t="s">
        <x:v>1473</x:v>
      </x:c>
      <x:c r="F452" s="4" t="s">
        <x:v>1474</x:v>
      </x:c>
      <x:c r="G452" s="3" t="s">
        <x:v>1020</x:v>
      </x:c>
    </x:row>
    <x:row r="453" ht="90">
      <x:c r="A453" s="3" t="s">
        <x:v>1475</x:v>
      </x:c>
      <x:c r="B453" s="3" t="s">
        <x:v>1123</x:v>
      </x:c>
      <x:c r="C453" s="3" t="s">
        <x:v>1476</x:v>
      </x:c>
      <x:c r="D453" s="4" t="s">
        <x:v>1017</x:v>
      </x:c>
      <x:c r="E453" s="4" t="s">
        <x:v>1477</x:v>
      </x:c>
      <x:c r="F453" s="4" t="s">
        <x:v>1478</x:v>
      </x:c>
      <x:c r="G453" s="3" t="s">
        <x:v>1020</x:v>
      </x:c>
    </x:row>
    <x:row r="454" ht="105">
      <x:c r="A454" s="3" t="s">
        <x:v>1479</x:v>
      </x:c>
      <x:c r="B454" s="3" t="s">
        <x:v>1123</x:v>
      </x:c>
      <x:c r="C454" s="3" t="s">
        <x:v>1480</x:v>
      </x:c>
      <x:c r="D454" s="4" t="s">
        <x:v>1017</x:v>
      </x:c>
      <x:c r="E454" s="4" t="s">
        <x:v>1481</x:v>
      </x:c>
      <x:c r="F454" s="4" t="s">
        <x:v>1482</x:v>
      </x:c>
      <x:c r="G454" s="3" t="s">
        <x:v>1020</x:v>
      </x:c>
    </x:row>
    <x:row r="455" ht="120">
      <x:c r="A455" s="3" t="s">
        <x:v>1483</x:v>
      </x:c>
      <x:c r="B455" s="3" t="s">
        <x:v>1123</x:v>
      </x:c>
      <x:c r="C455" s="3" t="s">
        <x:v>1484</x:v>
      </x:c>
      <x:c r="D455" s="4" t="s">
        <x:v>1017</x:v>
      </x:c>
      <x:c r="E455" s="4" t="s">
        <x:v>1485</x:v>
      </x:c>
      <x:c r="F455" s="4" t="s">
        <x:v>1486</x:v>
      </x:c>
      <x:c r="G455" s="3" t="s">
        <x:v>1020</x:v>
      </x:c>
    </x:row>
    <x:row r="456" ht="120">
      <x:c r="A456" s="3" t="s">
        <x:v>1487</x:v>
      </x:c>
      <x:c r="B456" s="3" t="s">
        <x:v>1123</x:v>
      </x:c>
      <x:c r="C456" s="3" t="s">
        <x:v>1488</x:v>
      </x:c>
      <x:c r="D456" s="4" t="s">
        <x:v>1017</x:v>
      </x:c>
      <x:c r="E456" s="4" t="s">
        <x:v>1489</x:v>
      </x:c>
      <x:c r="F456" s="4" t="s">
        <x:v>1490</x:v>
      </x:c>
      <x:c r="G456" s="3" t="s">
        <x:v>1020</x:v>
      </x:c>
    </x:row>
    <x:row r="457" ht="75">
      <x:c r="A457" s="3" t="s">
        <x:v>1491</x:v>
      </x:c>
      <x:c r="B457" s="3" t="s">
        <x:v>1123</x:v>
      </x:c>
      <x:c r="C457" s="3" t="s">
        <x:v>1492</x:v>
      </x:c>
      <x:c r="D457" s="4" t="s">
        <x:v>1017</x:v>
      </x:c>
      <x:c r="E457" s="4" t="s">
        <x:v>1493</x:v>
      </x:c>
      <x:c r="F457" s="4" t="s">
        <x:v>1494</x:v>
      </x:c>
      <x:c r="G457" s="3" t="s">
        <x:v>1020</x:v>
      </x:c>
    </x:row>
    <x:row r="458" ht="120">
      <x:c r="A458" s="3" t="s">
        <x:v>1495</x:v>
      </x:c>
      <x:c r="B458" s="3" t="s">
        <x:v>1123</x:v>
      </x:c>
      <x:c r="C458" s="3" t="s">
        <x:v>1496</x:v>
      </x:c>
      <x:c r="D458" s="4" t="s">
        <x:v>1017</x:v>
      </x:c>
      <x:c r="E458" s="4" t="s">
        <x:v>1497</x:v>
      </x:c>
      <x:c r="F458" s="4" t="s">
        <x:v>1498</x:v>
      </x:c>
      <x:c r="G458" s="3" t="s">
        <x:v>1020</x:v>
      </x:c>
    </x:row>
    <x:row r="459" ht="60">
      <x:c r="A459" s="3" t="s">
        <x:v>1499</x:v>
      </x:c>
      <x:c r="B459" s="3" t="s">
        <x:v>1123</x:v>
      </x:c>
      <x:c r="C459" s="3" t="s">
        <x:v>1500</x:v>
      </x:c>
      <x:c r="D459" s="4" t="s">
        <x:v>1017</x:v>
      </x:c>
      <x:c r="E459" s="4" t="s">
        <x:v>1501</x:v>
      </x:c>
      <x:c r="F459" s="4" t="s">
        <x:v>1502</x:v>
      </x:c>
      <x:c r="G459" s="3" t="s">
        <x:v>1020</x:v>
      </x:c>
    </x:row>
    <x:row r="460" ht="105">
      <x:c r="A460" s="3" t="s">
        <x:v>1503</x:v>
      </x:c>
      <x:c r="B460" s="3" t="s">
        <x:v>1123</x:v>
      </x:c>
      <x:c r="C460" s="3" t="s">
        <x:v>1504</x:v>
      </x:c>
      <x:c r="D460" s="4" t="s">
        <x:v>1017</x:v>
      </x:c>
      <x:c r="E460" s="4" t="s">
        <x:v>1505</x:v>
      </x:c>
      <x:c r="F460" s="4" t="s">
        <x:v>1506</x:v>
      </x:c>
      <x:c r="G460" s="3" t="s">
        <x:v>1020</x:v>
      </x:c>
    </x:row>
    <x:row r="461" ht="150">
      <x:c r="A461" s="3" t="s">
        <x:v>1507</x:v>
      </x:c>
      <x:c r="B461" s="3" t="s">
        <x:v>1123</x:v>
      </x:c>
      <x:c r="C461" s="3" t="s">
        <x:v>1508</x:v>
      </x:c>
      <x:c r="D461" s="4" t="s">
        <x:v>1017</x:v>
      </x:c>
      <x:c r="E461" s="4" t="s">
        <x:v>1509</x:v>
      </x:c>
      <x:c r="F461" s="4" t="s">
        <x:v>1510</x:v>
      </x:c>
      <x:c r="G461" s="3" t="s">
        <x:v>1020</x:v>
      </x:c>
    </x:row>
    <x:row r="462" ht="90">
      <x:c r="A462" s="3" t="s">
        <x:v>1511</x:v>
      </x:c>
      <x:c r="B462" s="3" t="s">
        <x:v>1123</x:v>
      </x:c>
      <x:c r="C462" s="3" t="s">
        <x:v>1512</x:v>
      </x:c>
      <x:c r="D462" s="4" t="s">
        <x:v>1017</x:v>
      </x:c>
      <x:c r="E462" s="4" t="s">
        <x:v>1513</x:v>
      </x:c>
      <x:c r="F462" s="4" t="s">
        <x:v>1514</x:v>
      </x:c>
      <x:c r="G462" s="3" t="s">
        <x:v>1020</x:v>
      </x:c>
    </x:row>
    <x:row r="463" ht="180">
      <x:c r="A463" s="3" t="s">
        <x:v>1515</x:v>
      </x:c>
      <x:c r="B463" s="3" t="s">
        <x:v>1123</x:v>
      </x:c>
      <x:c r="C463" s="3" t="s">
        <x:v>1516</x:v>
      </x:c>
      <x:c r="D463" s="4" t="s">
        <x:v>1017</x:v>
      </x:c>
      <x:c r="E463" s="4" t="s">
        <x:v>1517</x:v>
      </x:c>
      <x:c r="F463" s="4" t="s">
        <x:v>1518</x:v>
      </x:c>
      <x:c r="G463" s="3" t="s">
        <x:v>1020</x:v>
      </x:c>
    </x:row>
    <x:row r="464" ht="75">
      <x:c r="A464" s="3" t="s">
        <x:v>1519</x:v>
      </x:c>
      <x:c r="B464" s="3" t="s">
        <x:v>1123</x:v>
      </x:c>
      <x:c r="C464" s="3" t="s">
        <x:v>1520</x:v>
      </x:c>
      <x:c r="D464" s="4" t="s">
        <x:v>1017</x:v>
      </x:c>
      <x:c r="E464" s="4" t="s">
        <x:v>1521</x:v>
      </x:c>
      <x:c r="F464" s="4" t="s">
        <x:v>1522</x:v>
      </x:c>
      <x:c r="G464" s="3" t="s">
        <x:v>1020</x:v>
      </x:c>
    </x:row>
    <x:row r="465" ht="45">
      <x:c r="A465" s="3" t="s">
        <x:v>1523</x:v>
      </x:c>
      <x:c r="B465" s="3" t="s">
        <x:v>1123</x:v>
      </x:c>
      <x:c r="C465" s="3" t="s">
        <x:v>1524</x:v>
      </x:c>
      <x:c r="D465" s="4" t="s">
        <x:v>1017</x:v>
      </x:c>
      <x:c r="E465" s="4" t="s">
        <x:v>1525</x:v>
      </x:c>
      <x:c r="F465" s="4" t="s">
        <x:v>1526</x:v>
      </x:c>
      <x:c r="G465" s="3" t="s">
        <x:v>1020</x:v>
      </x:c>
    </x:row>
    <x:row r="466" ht="135">
      <x:c r="A466" s="3" t="s">
        <x:v>1527</x:v>
      </x:c>
      <x:c r="B466" s="3" t="s">
        <x:v>1123</x:v>
      </x:c>
      <x:c r="C466" s="3" t="s">
        <x:v>1528</x:v>
      </x:c>
      <x:c r="D466" s="4" t="s">
        <x:v>1017</x:v>
      </x:c>
      <x:c r="E466" s="4" t="s">
        <x:v>1529</x:v>
      </x:c>
      <x:c r="F466" s="4" t="s">
        <x:v>1530</x:v>
      </x:c>
      <x:c r="G466" s="3" t="s">
        <x:v>1020</x:v>
      </x:c>
    </x:row>
    <x:row r="467" ht="150">
      <x:c r="A467" s="3" t="s">
        <x:v>1531</x:v>
      </x:c>
      <x:c r="B467" s="3" t="s">
        <x:v>1123</x:v>
      </x:c>
      <x:c r="C467" s="3" t="s">
        <x:v>1532</x:v>
      </x:c>
      <x:c r="D467" s="4" t="s">
        <x:v>1017</x:v>
      </x:c>
      <x:c r="E467" s="4" t="s">
        <x:v>1533</x:v>
      </x:c>
      <x:c r="F467" s="4" t="s">
        <x:v>1534</x:v>
      </x:c>
      <x:c r="G467" s="3" t="s">
        <x:v>1020</x:v>
      </x:c>
    </x:row>
    <x:row r="468" ht="90">
      <x:c r="A468" s="3" t="s">
        <x:v>1535</x:v>
      </x:c>
      <x:c r="B468" s="3" t="s">
        <x:v>1123</x:v>
      </x:c>
      <x:c r="C468" s="3" t="s">
        <x:v>1536</x:v>
      </x:c>
      <x:c r="D468" s="4" t="s">
        <x:v>1017</x:v>
      </x:c>
      <x:c r="E468" s="4" t="s">
        <x:v>1537</x:v>
      </x:c>
      <x:c r="F468" s="4" t="s">
        <x:v>1538</x:v>
      </x:c>
      <x:c r="G468" s="3" t="s">
        <x:v>1020</x:v>
      </x:c>
    </x:row>
    <x:row r="469" ht="165">
      <x:c r="A469" s="3" t="s">
        <x:v>1539</x:v>
      </x:c>
      <x:c r="B469" s="3" t="s">
        <x:v>1123</x:v>
      </x:c>
      <x:c r="C469" s="3" t="s">
        <x:v>1540</x:v>
      </x:c>
      <x:c r="D469" s="4" t="s">
        <x:v>1017</x:v>
      </x:c>
      <x:c r="E469" s="4" t="s">
        <x:v>1541</x:v>
      </x:c>
      <x:c r="F469" s="4" t="s">
        <x:v>1542</x:v>
      </x:c>
      <x:c r="G469" s="3" t="s">
        <x:v>1020</x:v>
      </x:c>
    </x:row>
    <x:row r="470" ht="90">
      <x:c r="A470" s="3" t="s">
        <x:v>1543</x:v>
      </x:c>
      <x:c r="B470" s="3" t="s">
        <x:v>1123</x:v>
      </x:c>
      <x:c r="C470" s="3" t="s">
        <x:v>1544</x:v>
      </x:c>
      <x:c r="D470" s="4" t="s">
        <x:v>1017</x:v>
      </x:c>
      <x:c r="E470" s="4" t="s">
        <x:v>1545</x:v>
      </x:c>
      <x:c r="F470" s="4" t="s">
        <x:v>1546</x:v>
      </x:c>
      <x:c r="G470" s="3" t="s">
        <x:v>1020</x:v>
      </x:c>
    </x:row>
    <x:row r="471" ht="135">
      <x:c r="A471" s="3" t="s">
        <x:v>1547</x:v>
      </x:c>
      <x:c r="B471" s="3" t="s">
        <x:v>1123</x:v>
      </x:c>
      <x:c r="C471" s="3" t="s">
        <x:v>1548</x:v>
      </x:c>
      <x:c r="D471" s="4" t="s">
        <x:v>1017</x:v>
      </x:c>
      <x:c r="E471" s="4" t="s">
        <x:v>1549</x:v>
      </x:c>
      <x:c r="F471" s="4" t="s">
        <x:v>1550</x:v>
      </x:c>
      <x:c r="G471" s="3" t="s">
        <x:v>1020</x:v>
      </x:c>
    </x:row>
    <x:row r="472" ht="75">
      <x:c r="A472" s="3" t="s">
        <x:v>1551</x:v>
      </x:c>
      <x:c r="B472" s="3" t="s">
        <x:v>1123</x:v>
      </x:c>
      <x:c r="C472" s="3" t="s">
        <x:v>1552</x:v>
      </x:c>
      <x:c r="D472" s="4" t="s">
        <x:v>1017</x:v>
      </x:c>
      <x:c r="E472" s="4" t="s">
        <x:v>1553</x:v>
      </x:c>
      <x:c r="F472" s="4" t="s">
        <x:v>1554</x:v>
      </x:c>
      <x:c r="G472" s="3" t="s">
        <x:v>1020</x:v>
      </x:c>
    </x:row>
    <x:row r="473" ht="135">
      <x:c r="A473" s="3" t="s">
        <x:v>1555</x:v>
      </x:c>
      <x:c r="B473" s="3" t="s">
        <x:v>1123</x:v>
      </x:c>
      <x:c r="C473" s="3" t="s">
        <x:v>1556</x:v>
      </x:c>
      <x:c r="D473" s="4" t="s">
        <x:v>1017</x:v>
      </x:c>
      <x:c r="E473" s="4" t="s">
        <x:v>1557</x:v>
      </x:c>
      <x:c r="F473" s="4" t="s">
        <x:v>1558</x:v>
      </x:c>
      <x:c r="G473" s="3" t="s">
        <x:v>1020</x:v>
      </x:c>
    </x:row>
    <x:row r="474" ht="45">
      <x:c r="A474" s="3" t="s">
        <x:v>1559</x:v>
      </x:c>
      <x:c r="B474" s="3" t="s">
        <x:v>1123</x:v>
      </x:c>
      <x:c r="C474" s="3" t="s">
        <x:v>1560</x:v>
      </x:c>
      <x:c r="D474" s="4" t="s">
        <x:v>1017</x:v>
      </x:c>
      <x:c r="E474" s="4" t="s">
        <x:v>1561</x:v>
      </x:c>
      <x:c r="F474" s="4" t="s">
        <x:v>1562</x:v>
      </x:c>
      <x:c r="G474" s="3" t="s">
        <x:v>1020</x:v>
      </x:c>
    </x:row>
    <x:row r="475" ht="75">
      <x:c r="A475" s="3" t="s">
        <x:v>1563</x:v>
      </x:c>
      <x:c r="B475" s="3" t="s">
        <x:v>1123</x:v>
      </x:c>
      <x:c r="C475" s="3" t="s">
        <x:v>1564</x:v>
      </x:c>
      <x:c r="D475" s="4" t="s">
        <x:v>1017</x:v>
      </x:c>
      <x:c r="E475" s="4" t="s">
        <x:v>1565</x:v>
      </x:c>
      <x:c r="F475" s="4" t="s">
        <x:v>1566</x:v>
      </x:c>
      <x:c r="G475" s="3" t="s">
        <x:v>1020</x:v>
      </x:c>
    </x:row>
    <x:row r="476" ht="150">
      <x:c r="A476" s="3" t="s">
        <x:v>1567</x:v>
      </x:c>
      <x:c r="B476" s="3" t="s">
        <x:v>1123</x:v>
      </x:c>
      <x:c r="C476" s="3" t="s">
        <x:v>1568</x:v>
      </x:c>
      <x:c r="D476" s="4" t="s">
        <x:v>1017</x:v>
      </x:c>
      <x:c r="E476" s="4" t="s">
        <x:v>1569</x:v>
      </x:c>
      <x:c r="F476" s="4" t="s">
        <x:v>1570</x:v>
      </x:c>
      <x:c r="G476" s="3" t="s">
        <x:v>1020</x:v>
      </x:c>
    </x:row>
    <x:row r="477" ht="270">
      <x:c r="A477" s="3" t="s">
        <x:v>1571</x:v>
      </x:c>
      <x:c r="B477" s="3" t="s">
        <x:v>1123</x:v>
      </x:c>
      <x:c r="C477" s="3" t="s">
        <x:v>1572</x:v>
      </x:c>
      <x:c r="D477" s="4" t="s">
        <x:v>1017</x:v>
      </x:c>
      <x:c r="E477" s="4" t="s">
        <x:v>1573</x:v>
      </x:c>
      <x:c r="F477" s="4" t="s">
        <x:v>1574</x:v>
      </x:c>
      <x:c r="G477" s="3" t="s">
        <x:v>1020</x:v>
      </x:c>
    </x:row>
    <x:row r="478" ht="105">
      <x:c r="A478" s="3" t="s">
        <x:v>1575</x:v>
      </x:c>
      <x:c r="B478" s="3" t="s">
        <x:v>1123</x:v>
      </x:c>
      <x:c r="C478" s="3" t="s">
        <x:v>1576</x:v>
      </x:c>
      <x:c r="D478" s="4" t="s">
        <x:v>1017</x:v>
      </x:c>
      <x:c r="E478" s="4" t="s">
        <x:v>1577</x:v>
      </x:c>
      <x:c r="F478" s="4" t="s">
        <x:v>1578</x:v>
      </x:c>
      <x:c r="G478" s="3" t="s">
        <x:v>1020</x:v>
      </x:c>
    </x:row>
    <x:row r="479" ht="150">
      <x:c r="A479" s="3" t="s">
        <x:v>1579</x:v>
      </x:c>
      <x:c r="B479" s="3" t="s">
        <x:v>1123</x:v>
      </x:c>
      <x:c r="C479" s="3" t="s">
        <x:v>1580</x:v>
      </x:c>
      <x:c r="D479" s="4" t="s">
        <x:v>1017</x:v>
      </x:c>
      <x:c r="E479" s="4" t="s">
        <x:v>1581</x:v>
      </x:c>
      <x:c r="F479" s="4" t="s">
        <x:v>1582</x:v>
      </x:c>
      <x:c r="G479" s="3" t="s">
        <x:v>1020</x:v>
      </x:c>
    </x:row>
    <x:row r="480" ht="195">
      <x:c r="A480" s="3" t="s">
        <x:v>1583</x:v>
      </x:c>
      <x:c r="B480" s="3" t="s">
        <x:v>1123</x:v>
      </x:c>
      <x:c r="C480" s="3" t="s">
        <x:v>1584</x:v>
      </x:c>
      <x:c r="D480" s="4" t="s">
        <x:v>1017</x:v>
      </x:c>
      <x:c r="E480" s="4" t="s">
        <x:v>1585</x:v>
      </x:c>
      <x:c r="F480" s="4" t="s">
        <x:v>1586</x:v>
      </x:c>
      <x:c r="G480" s="3" t="s">
        <x:v>1020</x:v>
      </x:c>
    </x:row>
    <x:row r="481" ht="135">
      <x:c r="A481" s="3" t="s">
        <x:v>1587</x:v>
      </x:c>
      <x:c r="B481" s="3" t="s">
        <x:v>1123</x:v>
      </x:c>
      <x:c r="C481" s="3" t="s">
        <x:v>1588</x:v>
      </x:c>
      <x:c r="D481" s="4" t="s">
        <x:v>1017</x:v>
      </x:c>
      <x:c r="E481" s="4" t="s">
        <x:v>1589</x:v>
      </x:c>
      <x:c r="F481" s="4" t="s">
        <x:v>1590</x:v>
      </x:c>
      <x:c r="G481" s="3" t="s">
        <x:v>1020</x:v>
      </x:c>
    </x:row>
    <x:row r="482" ht="210">
      <x:c r="A482" s="3" t="s">
        <x:v>1591</x:v>
      </x:c>
      <x:c r="B482" s="3" t="s">
        <x:v>1123</x:v>
      </x:c>
      <x:c r="C482" s="3" t="s">
        <x:v>1592</x:v>
      </x:c>
      <x:c r="D482" s="4" t="s">
        <x:v>1017</x:v>
      </x:c>
      <x:c r="E482" s="4" t="s">
        <x:v>1593</x:v>
      </x:c>
      <x:c r="F482" s="4" t="s">
        <x:v>1594</x:v>
      </x:c>
      <x:c r="G482" s="3" t="s">
        <x:v>1020</x:v>
      </x:c>
    </x:row>
    <x:row r="483" ht="135">
      <x:c r="A483" s="3" t="s">
        <x:v>1595</x:v>
      </x:c>
      <x:c r="B483" s="3" t="s">
        <x:v>1123</x:v>
      </x:c>
      <x:c r="C483" s="3" t="s">
        <x:v>1596</x:v>
      </x:c>
      <x:c r="D483" s="4" t="s">
        <x:v>1017</x:v>
      </x:c>
      <x:c r="E483" s="4" t="s">
        <x:v>1597</x:v>
      </x:c>
      <x:c r="F483" s="4" t="s">
        <x:v>1598</x:v>
      </x:c>
      <x:c r="G483" s="3" t="s">
        <x:v>1020</x:v>
      </x:c>
    </x:row>
    <x:row r="484" ht="105">
      <x:c r="A484" s="3" t="s">
        <x:v>1599</x:v>
      </x:c>
      <x:c r="B484" s="3" t="s">
        <x:v>1123</x:v>
      </x:c>
      <x:c r="C484" s="3" t="s">
        <x:v>1600</x:v>
      </x:c>
      <x:c r="D484" s="4" t="s">
        <x:v>1017</x:v>
      </x:c>
      <x:c r="E484" s="4" t="s">
        <x:v>1601</x:v>
      </x:c>
      <x:c r="F484" s="4" t="s">
        <x:v>1602</x:v>
      </x:c>
      <x:c r="G484" s="3" t="s">
        <x:v>1020</x:v>
      </x:c>
    </x:row>
    <x:row r="485" ht="150">
      <x:c r="A485" s="3" t="s">
        <x:v>1603</x:v>
      </x:c>
      <x:c r="B485" s="3" t="s">
        <x:v>1123</x:v>
      </x:c>
      <x:c r="C485" s="3" t="s">
        <x:v>1604</x:v>
      </x:c>
      <x:c r="D485" s="4" t="s">
        <x:v>1017</x:v>
      </x:c>
      <x:c r="E485" s="4" t="s">
        <x:v>1605</x:v>
      </x:c>
      <x:c r="F485" s="4" t="s">
        <x:v>1606</x:v>
      </x:c>
      <x:c r="G485" s="3" t="s">
        <x:v>1020</x:v>
      </x:c>
    </x:row>
    <x:row r="486" ht="135">
      <x:c r="A486" s="3" t="s">
        <x:v>1607</x:v>
      </x:c>
      <x:c r="B486" s="3" t="s">
        <x:v>1123</x:v>
      </x:c>
      <x:c r="C486" s="3" t="s">
        <x:v>1608</x:v>
      </x:c>
      <x:c r="D486" s="4" t="s">
        <x:v>1017</x:v>
      </x:c>
      <x:c r="E486" s="4" t="s">
        <x:v>1609</x:v>
      </x:c>
      <x:c r="F486" s="4" t="s">
        <x:v>1610</x:v>
      </x:c>
      <x:c r="G486" s="3" t="s">
        <x:v>1020</x:v>
      </x:c>
    </x:row>
    <x:row r="487" ht="150">
      <x:c r="A487" s="3" t="s">
        <x:v>1611</x:v>
      </x:c>
      <x:c r="B487" s="3" t="s">
        <x:v>1123</x:v>
      </x:c>
      <x:c r="C487" s="3" t="s">
        <x:v>1612</x:v>
      </x:c>
      <x:c r="D487" s="4" t="s">
        <x:v>1017</x:v>
      </x:c>
      <x:c r="E487" s="4" t="s">
        <x:v>1613</x:v>
      </x:c>
      <x:c r="F487" s="4" t="s">
        <x:v>1614</x:v>
      </x:c>
      <x:c r="G487" s="3" t="s">
        <x:v>1020</x:v>
      </x:c>
    </x:row>
    <x:row r="488" ht="75">
      <x:c r="A488" s="3" t="s">
        <x:v>1615</x:v>
      </x:c>
      <x:c r="B488" s="3" t="s">
        <x:v>1123</x:v>
      </x:c>
      <x:c r="C488" s="3" t="s">
        <x:v>1616</x:v>
      </x:c>
      <x:c r="D488" s="4" t="s">
        <x:v>1017</x:v>
      </x:c>
      <x:c r="E488" s="4" t="s">
        <x:v>1617</x:v>
      </x:c>
      <x:c r="F488" s="4" t="s">
        <x:v>1618</x:v>
      </x:c>
      <x:c r="G488" s="3" t="s">
        <x:v>1020</x:v>
      </x:c>
    </x:row>
    <x:row r="489" ht="180">
      <x:c r="A489" s="3" t="s">
        <x:v>1619</x:v>
      </x:c>
      <x:c r="B489" s="3" t="s">
        <x:v>1123</x:v>
      </x:c>
      <x:c r="C489" s="3" t="s">
        <x:v>1620</x:v>
      </x:c>
      <x:c r="D489" s="4" t="s">
        <x:v>1017</x:v>
      </x:c>
      <x:c r="E489" s="4" t="s">
        <x:v>1621</x:v>
      </x:c>
      <x:c r="F489" s="4" t="s">
        <x:v>1622</x:v>
      </x:c>
      <x:c r="G489" s="3" t="s">
        <x:v>1020</x:v>
      </x:c>
    </x:row>
    <x:row r="490" ht="120">
      <x:c r="A490" s="3" t="s">
        <x:v>1623</x:v>
      </x:c>
      <x:c r="B490" s="3" t="s">
        <x:v>1624</x:v>
      </x:c>
      <x:c r="C490" s="3" t="s">
        <x:v>1625</x:v>
      </x:c>
      <x:c r="D490" s="4" t="s">
        <x:v>1017</x:v>
      </x:c>
      <x:c r="E490" s="4" t="s">
        <x:v>1626</x:v>
      </x:c>
      <x:c r="F490" s="4" t="s">
        <x:v>1627</x:v>
      </x:c>
      <x:c r="G490" s="3" t="s">
        <x:v>1020</x:v>
      </x:c>
    </x:row>
    <x:row r="491" ht="105">
      <x:c r="A491" s="3" t="s">
        <x:v>1628</x:v>
      </x:c>
      <x:c r="B491" s="3" t="s">
        <x:v>1624</x:v>
      </x:c>
      <x:c r="C491" s="3" t="s">
        <x:v>1629</x:v>
      </x:c>
      <x:c r="D491" s="4" t="s">
        <x:v>1017</x:v>
      </x:c>
      <x:c r="E491" s="4" t="s">
        <x:v>1630</x:v>
      </x:c>
      <x:c r="F491" s="4" t="s">
        <x:v>1631</x:v>
      </x:c>
      <x:c r="G491" s="3" t="s">
        <x:v>1020</x:v>
      </x:c>
    </x:row>
    <x:row r="492" ht="120">
      <x:c r="A492" s="3" t="s">
        <x:v>1632</x:v>
      </x:c>
      <x:c r="B492" s="3" t="s">
        <x:v>1624</x:v>
      </x:c>
      <x:c r="C492" s="3" t="s">
        <x:v>1633</x:v>
      </x:c>
      <x:c r="D492" s="4" t="s">
        <x:v>1017</x:v>
      </x:c>
      <x:c r="E492" s="4" t="s">
        <x:v>1634</x:v>
      </x:c>
      <x:c r="F492" s="4" t="s">
        <x:v>1635</x:v>
      </x:c>
      <x:c r="G492" s="3" t="s">
        <x:v>1020</x:v>
      </x:c>
    </x:row>
    <x:row r="493" ht="90">
      <x:c r="A493" s="3" t="s">
        <x:v>1636</x:v>
      </x:c>
      <x:c r="B493" s="3" t="s">
        <x:v>1624</x:v>
      </x:c>
      <x:c r="C493" s="3" t="s">
        <x:v>1637</x:v>
      </x:c>
      <x:c r="D493" s="4" t="s">
        <x:v>1017</x:v>
      </x:c>
      <x:c r="E493" s="4" t="s">
        <x:v>1638</x:v>
      </x:c>
      <x:c r="F493" s="4" t="s">
        <x:v>1639</x:v>
      </x:c>
      <x:c r="G493" s="3" t="s">
        <x:v>1020</x:v>
      </x:c>
    </x:row>
    <x:row r="494" ht="165">
      <x:c r="A494" s="3" t="s">
        <x:v>1640</x:v>
      </x:c>
      <x:c r="B494" s="3" t="s">
        <x:v>1624</x:v>
      </x:c>
      <x:c r="C494" s="3" t="s">
        <x:v>1641</x:v>
      </x:c>
      <x:c r="D494" s="4" t="s">
        <x:v>1017</x:v>
      </x:c>
      <x:c r="E494" s="4" t="s">
        <x:v>1642</x:v>
      </x:c>
      <x:c r="F494" s="4" t="s">
        <x:v>1643</x:v>
      </x:c>
      <x:c r="G494" s="3" t="s">
        <x:v>1020</x:v>
      </x:c>
    </x:row>
    <x:row r="495" ht="135">
      <x:c r="A495" s="3" t="s">
        <x:v>1644</x:v>
      </x:c>
      <x:c r="B495" s="3" t="s">
        <x:v>1624</x:v>
      </x:c>
      <x:c r="C495" s="3" t="s">
        <x:v>1645</x:v>
      </x:c>
      <x:c r="D495" s="4" t="s">
        <x:v>1017</x:v>
      </x:c>
      <x:c r="E495" s="4" t="s">
        <x:v>1646</x:v>
      </x:c>
      <x:c r="F495" s="4" t="s">
        <x:v>1647</x:v>
      </x:c>
      <x:c r="G495" s="3" t="s">
        <x:v>1020</x:v>
      </x:c>
    </x:row>
    <x:row r="496" ht="75">
      <x:c r="A496" s="3" t="s">
        <x:v>1648</x:v>
      </x:c>
      <x:c r="B496" s="3" t="s">
        <x:v>1624</x:v>
      </x:c>
      <x:c r="C496" s="3" t="s">
        <x:v>1649</x:v>
      </x:c>
      <x:c r="D496" s="4" t="s">
        <x:v>1017</x:v>
      </x:c>
      <x:c r="E496" s="4" t="s">
        <x:v>1650</x:v>
      </x:c>
      <x:c r="F496" s="4" t="s">
        <x:v>1651</x:v>
      </x:c>
      <x:c r="G496" s="3" t="s">
        <x:v>1020</x:v>
      </x:c>
    </x:row>
    <x:row r="497" ht="75">
      <x:c r="A497" s="3" t="s">
        <x:v>1652</x:v>
      </x:c>
      <x:c r="B497" s="3" t="s">
        <x:v>1624</x:v>
      </x:c>
      <x:c r="C497" s="3" t="s">
        <x:v>1653</x:v>
      </x:c>
      <x:c r="D497" s="4" t="s">
        <x:v>1017</x:v>
      </x:c>
      <x:c r="E497" s="4" t="s">
        <x:v>1654</x:v>
      </x:c>
      <x:c r="F497" s="4" t="s">
        <x:v>1655</x:v>
      </x:c>
      <x:c r="G497" s="3" t="s">
        <x:v>1020</x:v>
      </x:c>
    </x:row>
    <x:row r="498" ht="90">
      <x:c r="A498" s="3" t="s">
        <x:v>1656</x:v>
      </x:c>
      <x:c r="B498" s="3" t="s">
        <x:v>1624</x:v>
      </x:c>
      <x:c r="C498" s="3" t="s">
        <x:v>1657</x:v>
      </x:c>
      <x:c r="D498" s="4" t="s">
        <x:v>1017</x:v>
      </x:c>
      <x:c r="E498" s="4" t="s">
        <x:v>1658</x:v>
      </x:c>
      <x:c r="F498" s="4" t="s">
        <x:v>1659</x:v>
      </x:c>
      <x:c r="G498" s="3" t="s">
        <x:v>1020</x:v>
      </x:c>
    </x:row>
    <x:row r="499" ht="120">
      <x:c r="A499" s="3" t="s">
        <x:v>1660</x:v>
      </x:c>
      <x:c r="B499" s="3" t="s">
        <x:v>1624</x:v>
      </x:c>
      <x:c r="C499" s="3" t="s">
        <x:v>1661</x:v>
      </x:c>
      <x:c r="D499" s="4" t="s">
        <x:v>1017</x:v>
      </x:c>
      <x:c r="E499" s="4" t="s">
        <x:v>1662</x:v>
      </x:c>
      <x:c r="F499" s="4" t="s">
        <x:v>1663</x:v>
      </x:c>
      <x:c r="G499" s="3" t="s">
        <x:v>1020</x:v>
      </x:c>
    </x:row>
    <x:row r="500" ht="120">
      <x:c r="A500" s="3" t="s">
        <x:v>1664</x:v>
      </x:c>
      <x:c r="B500" s="3" t="s">
        <x:v>1624</x:v>
      </x:c>
      <x:c r="C500" s="3" t="s">
        <x:v>1665</x:v>
      </x:c>
      <x:c r="D500" s="4" t="s">
        <x:v>1017</x:v>
      </x:c>
      <x:c r="E500" s="4" t="s">
        <x:v>1666</x:v>
      </x:c>
      <x:c r="F500" s="4" t="s">
        <x:v>1667</x:v>
      </x:c>
      <x:c r="G500" s="3" t="s">
        <x:v>1020</x:v>
      </x:c>
    </x:row>
    <x:row r="501" ht="105">
      <x:c r="A501" s="3" t="s">
        <x:v>1668</x:v>
      </x:c>
      <x:c r="B501" s="3" t="s">
        <x:v>1624</x:v>
      </x:c>
      <x:c r="C501" s="3" t="s">
        <x:v>1669</x:v>
      </x:c>
      <x:c r="D501" s="4" t="s">
        <x:v>1017</x:v>
      </x:c>
      <x:c r="E501" s="4" t="s">
        <x:v>1670</x:v>
      </x:c>
      <x:c r="F501" s="4" t="s">
        <x:v>1671</x:v>
      </x:c>
      <x:c r="G501" s="3" t="s">
        <x:v>1020</x:v>
      </x:c>
    </x:row>
    <x:row r="502" ht="150">
      <x:c r="A502" s="3" t="s">
        <x:v>1672</x:v>
      </x:c>
      <x:c r="B502" s="3" t="s">
        <x:v>1624</x:v>
      </x:c>
      <x:c r="C502" s="3" t="s">
        <x:v>1673</x:v>
      </x:c>
      <x:c r="D502" s="4" t="s">
        <x:v>1017</x:v>
      </x:c>
      <x:c r="E502" s="4" t="s">
        <x:v>1674</x:v>
      </x:c>
      <x:c r="F502" s="4" t="s">
        <x:v>1675</x:v>
      </x:c>
      <x:c r="G502" s="3" t="s">
        <x:v>1020</x:v>
      </x:c>
    </x:row>
    <x:row r="503" ht="105">
      <x:c r="A503" s="3" t="s">
        <x:v>1676</x:v>
      </x:c>
      <x:c r="B503" s="3" t="s">
        <x:v>1624</x:v>
      </x:c>
      <x:c r="C503" s="3" t="s">
        <x:v>1677</x:v>
      </x:c>
      <x:c r="D503" s="4" t="s">
        <x:v>1017</x:v>
      </x:c>
      <x:c r="E503" s="4" t="s">
        <x:v>1678</x:v>
      </x:c>
      <x:c r="F503" s="4" t="s">
        <x:v>1679</x:v>
      </x:c>
      <x:c r="G503" s="3" t="s">
        <x:v>1020</x:v>
      </x:c>
    </x:row>
    <x:row r="504" ht="120">
      <x:c r="A504" s="3" t="s">
        <x:v>1680</x:v>
      </x:c>
      <x:c r="B504" s="3" t="s">
        <x:v>1624</x:v>
      </x:c>
      <x:c r="C504" s="3" t="s">
        <x:v>1681</x:v>
      </x:c>
      <x:c r="D504" s="4" t="s">
        <x:v>1017</x:v>
      </x:c>
      <x:c r="E504" s="4" t="s">
        <x:v>1682</x:v>
      </x:c>
      <x:c r="F504" s="4" t="s">
        <x:v>1683</x:v>
      </x:c>
      <x:c r="G504" s="3" t="s">
        <x:v>1020</x:v>
      </x:c>
    </x:row>
    <x:row r="505" ht="165">
      <x:c r="A505" s="3" t="s">
        <x:v>1684</x:v>
      </x:c>
      <x:c r="B505" s="3" t="s">
        <x:v>1624</x:v>
      </x:c>
      <x:c r="C505" s="3" t="s">
        <x:v>1685</x:v>
      </x:c>
      <x:c r="D505" s="4" t="s">
        <x:v>1017</x:v>
      </x:c>
      <x:c r="E505" s="4" t="s">
        <x:v>1686</x:v>
      </x:c>
      <x:c r="F505" s="4" t="s">
        <x:v>1687</x:v>
      </x:c>
      <x:c r="G505" s="3" t="s">
        <x:v>1020</x:v>
      </x:c>
    </x:row>
    <x:row r="506" ht="90">
      <x:c r="A506" s="3" t="s">
        <x:v>1688</x:v>
      </x:c>
      <x:c r="B506" s="3" t="s">
        <x:v>1624</x:v>
      </x:c>
      <x:c r="C506" s="3" t="s">
        <x:v>1689</x:v>
      </x:c>
      <x:c r="D506" s="4" t="s">
        <x:v>1017</x:v>
      </x:c>
      <x:c r="E506" s="4" t="s">
        <x:v>1690</x:v>
      </x:c>
      <x:c r="F506" s="4" t="s">
        <x:v>1691</x:v>
      </x:c>
      <x:c r="G506" s="3" t="s">
        <x:v>1020</x:v>
      </x:c>
    </x:row>
    <x:row r="507" ht="60">
      <x:c r="A507" s="3" t="s">
        <x:v>1692</x:v>
      </x:c>
      <x:c r="B507" s="3" t="s">
        <x:v>1624</x:v>
      </x:c>
      <x:c r="C507" s="3" t="s">
        <x:v>1693</x:v>
      </x:c>
      <x:c r="D507" s="4" t="s">
        <x:v>1017</x:v>
      </x:c>
      <x:c r="E507" s="4" t="s">
        <x:v>1694</x:v>
      </x:c>
      <x:c r="F507" s="4" t="s">
        <x:v>1695</x:v>
      </x:c>
      <x:c r="G507" s="3" t="s">
        <x:v>1020</x:v>
      </x:c>
    </x:row>
    <x:row r="508" ht="105">
      <x:c r="A508" s="3" t="s">
        <x:v>1696</x:v>
      </x:c>
      <x:c r="B508" s="3" t="s">
        <x:v>1624</x:v>
      </x:c>
      <x:c r="C508" s="3" t="s">
        <x:v>1697</x:v>
      </x:c>
      <x:c r="D508" s="4" t="s">
        <x:v>1017</x:v>
      </x:c>
      <x:c r="E508" s="4" t="s">
        <x:v>1698</x:v>
      </x:c>
      <x:c r="F508" s="4" t="s">
        <x:v>1699</x:v>
      </x:c>
      <x:c r="G508" s="3" t="s">
        <x:v>1020</x:v>
      </x:c>
    </x:row>
    <x:row r="509" ht="90">
      <x:c r="A509" s="3" t="s">
        <x:v>1700</x:v>
      </x:c>
      <x:c r="B509" s="3" t="s">
        <x:v>1624</x:v>
      </x:c>
      <x:c r="C509" s="3" t="s">
        <x:v>1701</x:v>
      </x:c>
      <x:c r="D509" s="4" t="s">
        <x:v>1017</x:v>
      </x:c>
      <x:c r="E509" s="4" t="s">
        <x:v>1702</x:v>
      </x:c>
      <x:c r="F509" s="4" t="s">
        <x:v>1703</x:v>
      </x:c>
      <x:c r="G509" s="3" t="s">
        <x:v>1020</x:v>
      </x:c>
    </x:row>
    <x:row r="510" ht="135">
      <x:c r="A510" s="3" t="s">
        <x:v>1704</x:v>
      </x:c>
      <x:c r="B510" s="3" t="s">
        <x:v>1624</x:v>
      </x:c>
      <x:c r="C510" s="3" t="s">
        <x:v>1705</x:v>
      </x:c>
      <x:c r="D510" s="4" t="s">
        <x:v>1017</x:v>
      </x:c>
      <x:c r="E510" s="4" t="s">
        <x:v>1706</x:v>
      </x:c>
      <x:c r="F510" s="4" t="s">
        <x:v>1707</x:v>
      </x:c>
      <x:c r="G510" s="3" t="s">
        <x:v>1020</x:v>
      </x:c>
    </x:row>
    <x:row r="511" ht="285">
      <x:c r="A511" s="3" t="s">
        <x:v>1708</x:v>
      </x:c>
      <x:c r="B511" s="3" t="s">
        <x:v>1624</x:v>
      </x:c>
      <x:c r="C511" s="3" t="s">
        <x:v>1709</x:v>
      </x:c>
      <x:c r="D511" s="4" t="s">
        <x:v>1017</x:v>
      </x:c>
      <x:c r="E511" s="4" t="s">
        <x:v>1710</x:v>
      </x:c>
      <x:c r="F511" s="4" t="s">
        <x:v>1711</x:v>
      </x:c>
      <x:c r="G511" s="3" t="s">
        <x:v>1020</x:v>
      </x:c>
    </x:row>
    <x:row r="512" ht="135">
      <x:c r="A512" s="3" t="s">
        <x:v>1712</x:v>
      </x:c>
      <x:c r="B512" s="3" t="s">
        <x:v>1624</x:v>
      </x:c>
      <x:c r="C512" s="3" t="s">
        <x:v>1713</x:v>
      </x:c>
      <x:c r="D512" s="4" t="s">
        <x:v>1017</x:v>
      </x:c>
      <x:c r="E512" s="4" t="s">
        <x:v>1714</x:v>
      </x:c>
      <x:c r="F512" s="4" t="s">
        <x:v>1715</x:v>
      </x:c>
      <x:c r="G512" s="3" t="s">
        <x:v>1020</x:v>
      </x:c>
    </x:row>
    <x:row r="513" ht="195">
      <x:c r="A513" s="3" t="s">
        <x:v>1716</x:v>
      </x:c>
      <x:c r="B513" s="3" t="s">
        <x:v>1624</x:v>
      </x:c>
      <x:c r="C513" s="3" t="s">
        <x:v>1717</x:v>
      </x:c>
      <x:c r="D513" s="4" t="s">
        <x:v>1017</x:v>
      </x:c>
      <x:c r="E513" s="4" t="s">
        <x:v>1718</x:v>
      </x:c>
      <x:c r="F513" s="4" t="s">
        <x:v>1719</x:v>
      </x:c>
      <x:c r="G513" s="3" t="s">
        <x:v>1020</x:v>
      </x:c>
    </x:row>
    <x:row r="514" ht="75">
      <x:c r="A514" s="3" t="s">
        <x:v>1720</x:v>
      </x:c>
      <x:c r="B514" s="3" t="s">
        <x:v>1624</x:v>
      </x:c>
      <x:c r="C514" s="3" t="s">
        <x:v>1721</x:v>
      </x:c>
      <x:c r="D514" s="4" t="s">
        <x:v>1017</x:v>
      </x:c>
      <x:c r="E514" s="4" t="s">
        <x:v>1722</x:v>
      </x:c>
      <x:c r="F514" s="4" t="s">
        <x:v>1723</x:v>
      </x:c>
      <x:c r="G514" s="3" t="s">
        <x:v>1020</x:v>
      </x:c>
    </x:row>
    <x:row r="515" ht="360">
      <x:c r="A515" s="3" t="s">
        <x:v>1724</x:v>
      </x:c>
      <x:c r="B515" s="3" t="s">
        <x:v>1725</x:v>
      </x:c>
      <x:c r="C515" s="3" t="s">
        <x:v>1726</x:v>
      </x:c>
      <x:c r="D515" s="4" t="s">
        <x:v>1017</x:v>
      </x:c>
      <x:c r="E515" s="4" t="s">
        <x:v>1727</x:v>
      </x:c>
      <x:c r="F515" s="4" t="s">
        <x:v>1728</x:v>
      </x:c>
      <x:c r="G515" s="3" t="s">
        <x:v>1020</x:v>
      </x:c>
    </x:row>
    <x:row r="516" ht="210">
      <x:c r="A516" s="3" t="s">
        <x:v>1729</x:v>
      </x:c>
      <x:c r="B516" s="3" t="s">
        <x:v>1725</x:v>
      </x:c>
      <x:c r="C516" s="3" t="s">
        <x:v>1730</x:v>
      </x:c>
      <x:c r="D516" s="4" t="s">
        <x:v>1017</x:v>
      </x:c>
      <x:c r="E516" s="4" t="s">
        <x:v>1731</x:v>
      </x:c>
      <x:c r="F516" s="4" t="s">
        <x:v>1732</x:v>
      </x:c>
      <x:c r="G516" s="3" t="s">
        <x:v>1020</x:v>
      </x:c>
    </x:row>
    <x:row r="517" ht="165">
      <x:c r="A517" s="3" t="s">
        <x:v>1733</x:v>
      </x:c>
      <x:c r="B517" s="3" t="s">
        <x:v>1725</x:v>
      </x:c>
      <x:c r="C517" s="3" t="s">
        <x:v>1734</x:v>
      </x:c>
      <x:c r="D517" s="4" t="s">
        <x:v>1017</x:v>
      </x:c>
      <x:c r="E517" s="4" t="s">
        <x:v>1735</x:v>
      </x:c>
      <x:c r="F517" s="4" t="s">
        <x:v>1736</x:v>
      </x:c>
      <x:c r="G517" s="3" t="s">
        <x:v>1020</x:v>
      </x:c>
    </x:row>
    <x:row r="518" ht="210">
      <x:c r="A518" s="3" t="s">
        <x:v>1737</x:v>
      </x:c>
      <x:c r="B518" s="3" t="s">
        <x:v>1725</x:v>
      </x:c>
      <x:c r="C518" s="3" t="s">
        <x:v>1738</x:v>
      </x:c>
      <x:c r="D518" s="4" t="s">
        <x:v>1017</x:v>
      </x:c>
      <x:c r="E518" s="4" t="s">
        <x:v>1739</x:v>
      </x:c>
      <x:c r="F518" s="4" t="s">
        <x:v>1740</x:v>
      </x:c>
      <x:c r="G518" s="3" t="s">
        <x:v>1020</x:v>
      </x:c>
    </x:row>
    <x:row r="519" ht="330">
      <x:c r="A519" s="3" t="s">
        <x:v>1741</x:v>
      </x:c>
      <x:c r="B519" s="3" t="s">
        <x:v>1725</x:v>
      </x:c>
      <x:c r="C519" s="3" t="s">
        <x:v>1742</x:v>
      </x:c>
      <x:c r="D519" s="4" t="s">
        <x:v>1017</x:v>
      </x:c>
      <x:c r="E519" s="4" t="s">
        <x:v>1743</x:v>
      </x:c>
      <x:c r="F519" s="4" t="s">
        <x:v>1744</x:v>
      </x:c>
      <x:c r="G519" s="3" t="s">
        <x:v>1020</x:v>
      </x:c>
    </x:row>
    <x:row r="520" ht="240">
      <x:c r="A520" s="3" t="s">
        <x:v>1745</x:v>
      </x:c>
      <x:c r="B520" s="3" t="s">
        <x:v>1725</x:v>
      </x:c>
      <x:c r="C520" s="3" t="s">
        <x:v>1746</x:v>
      </x:c>
      <x:c r="D520" s="4" t="s">
        <x:v>1017</x:v>
      </x:c>
      <x:c r="E520" s="4" t="s">
        <x:v>1747</x:v>
      </x:c>
      <x:c r="F520" s="4" t="s">
        <x:v>1748</x:v>
      </x:c>
      <x:c r="G520" s="3" t="s">
        <x:v>1020</x:v>
      </x:c>
    </x:row>
    <x:row r="521" ht="375">
      <x:c r="A521" s="3" t="s">
        <x:v>1749</x:v>
      </x:c>
      <x:c r="B521" s="3" t="s">
        <x:v>1725</x:v>
      </x:c>
      <x:c r="C521" s="3" t="s">
        <x:v>1750</x:v>
      </x:c>
      <x:c r="D521" s="4" t="s">
        <x:v>1017</x:v>
      </x:c>
      <x:c r="E521" s="4" t="s">
        <x:v>1751</x:v>
      </x:c>
      <x:c r="F521" s="4" t="s">
        <x:v>1752</x:v>
      </x:c>
      <x:c r="G521" s="3" t="s">
        <x:v>1020</x:v>
      </x:c>
    </x:row>
    <x:row r="522" ht="300">
      <x:c r="A522" s="3" t="s">
        <x:v>1753</x:v>
      </x:c>
      <x:c r="B522" s="3" t="s">
        <x:v>1725</x:v>
      </x:c>
      <x:c r="C522" s="3" t="s">
        <x:v>1754</x:v>
      </x:c>
      <x:c r="D522" s="4" t="s">
        <x:v>1017</x:v>
      </x:c>
      <x:c r="E522" s="4" t="s">
        <x:v>1755</x:v>
      </x:c>
      <x:c r="F522" s="4" t="s">
        <x:v>1756</x:v>
      </x:c>
      <x:c r="G522" s="3" t="s">
        <x:v>1020</x:v>
      </x:c>
    </x:row>
    <x:row r="523" ht="390">
      <x:c r="A523" s="3" t="s">
        <x:v>1757</x:v>
      </x:c>
      <x:c r="B523" s="3" t="s">
        <x:v>1725</x:v>
      </x:c>
      <x:c r="C523" s="3" t="s">
        <x:v>1758</x:v>
      </x:c>
      <x:c r="D523" s="4" t="s">
        <x:v>1017</x:v>
      </x:c>
      <x:c r="E523" s="4" t="s">
        <x:v>1759</x:v>
      </x:c>
      <x:c r="F523" s="4" t="s">
        <x:v>1760</x:v>
      </x:c>
      <x:c r="G523" s="3" t="s">
        <x:v>1020</x:v>
      </x:c>
    </x:row>
    <x:row r="524">
      <x:c r="A524" s="3" t="s">
        <x:v>1761</x:v>
      </x:c>
      <x:c r="B524" s="3" t="s">
        <x:v>1762</x:v>
      </x:c>
      <x:c r="C524" s="3" t="s">
        <x:v>1763</x:v>
      </x:c>
      <x:c r="D524" s="4" t="s">
        <x:v>1764</x:v>
      </x:c>
      <x:c r="E524" s="4"/>
      <x:c r="F524" s="4" t="s">
        <x:v>1765</x:v>
      </x:c>
      <x:c r="G524" s="3" t="s">
        <x:v>1020</x:v>
      </x:c>
    </x:row>
    <x:row r="525">
      <x:c r="A525" s="3" t="s">
        <x:v>1766</x:v>
      </x:c>
      <x:c r="B525" s="3" t="s">
        <x:v>1762</x:v>
      </x:c>
      <x:c r="C525" s="3" t="s">
        <x:v>1767</x:v>
      </x:c>
      <x:c r="D525" s="4" t="s">
        <x:v>1764</x:v>
      </x:c>
      <x:c r="E525" s="4"/>
      <x:c r="F525" s="4" t="s">
        <x:v>1768</x:v>
      </x:c>
      <x:c r="G525" s="3" t="s">
        <x:v>1020</x:v>
      </x:c>
    </x:row>
    <x:row r="526">
      <x:c r="A526" s="3" t="s">
        <x:v>1769</x:v>
      </x:c>
      <x:c r="B526" s="3" t="s">
        <x:v>1762</x:v>
      </x:c>
      <x:c r="C526" s="3" t="s">
        <x:v>1625</x:v>
      </x:c>
      <x:c r="D526" s="4" t="s">
        <x:v>1764</x:v>
      </x:c>
      <x:c r="E526" s="4"/>
      <x:c r="F526" s="4" t="s">
        <x:v>1627</x:v>
      </x:c>
      <x:c r="G526" s="3" t="s">
        <x:v>1020</x:v>
      </x:c>
    </x:row>
    <x:row r="527">
      <x:c r="A527" s="3" t="s">
        <x:v>1770</x:v>
      </x:c>
      <x:c r="B527" s="3" t="s">
        <x:v>1762</x:v>
      </x:c>
      <x:c r="C527" s="3" t="s">
        <x:v>1771</x:v>
      </x:c>
      <x:c r="D527" s="4" t="s">
        <x:v>1764</x:v>
      </x:c>
      <x:c r="E527" s="4"/>
      <x:c r="F527" s="4" t="s">
        <x:v>1772</x:v>
      </x:c>
      <x:c r="G527" s="3" t="s">
        <x:v>1020</x:v>
      </x:c>
    </x:row>
    <x:row r="528">
      <x:c r="A528" s="3" t="s">
        <x:v>1773</x:v>
      </x:c>
      <x:c r="B528" s="3" t="s">
        <x:v>1762</x:v>
      </x:c>
      <x:c r="C528" s="3" t="s">
        <x:v>1629</x:v>
      </x:c>
      <x:c r="D528" s="4" t="s">
        <x:v>1764</x:v>
      </x:c>
      <x:c r="E528" s="4"/>
      <x:c r="F528" s="4" t="s">
        <x:v>1631</x:v>
      </x:c>
      <x:c r="G528" s="3" t="s">
        <x:v>1020</x:v>
      </x:c>
    </x:row>
    <x:row r="529">
      <x:c r="A529" s="3" t="s">
        <x:v>1774</x:v>
      </x:c>
      <x:c r="B529" s="3" t="s">
        <x:v>1762</x:v>
      </x:c>
      <x:c r="C529" s="3" t="s">
        <x:v>1633</x:v>
      </x:c>
      <x:c r="D529" s="4" t="s">
        <x:v>1764</x:v>
      </x:c>
      <x:c r="E529" s="4"/>
      <x:c r="F529" s="4" t="s">
        <x:v>1635</x:v>
      </x:c>
      <x:c r="G529" s="3" t="s">
        <x:v>1020</x:v>
      </x:c>
    </x:row>
    <x:row r="530">
      <x:c r="A530" s="3" t="s">
        <x:v>1775</x:v>
      </x:c>
      <x:c r="B530" s="3" t="s">
        <x:v>1762</x:v>
      </x:c>
      <x:c r="C530" s="3" t="s">
        <x:v>1776</x:v>
      </x:c>
      <x:c r="D530" s="4" t="s">
        <x:v>1764</x:v>
      </x:c>
      <x:c r="E530" s="4"/>
      <x:c r="F530" s="4" t="s">
        <x:v>1777</x:v>
      </x:c>
      <x:c r="G530" s="3" t="s">
        <x:v>1020</x:v>
      </x:c>
    </x:row>
    <x:row r="531">
      <x:c r="A531" s="3" t="s">
        <x:v>1778</x:v>
      </x:c>
      <x:c r="B531" s="3" t="s">
        <x:v>1762</x:v>
      </x:c>
      <x:c r="C531" s="3" t="s">
        <x:v>1637</x:v>
      </x:c>
      <x:c r="D531" s="4" t="s">
        <x:v>1764</x:v>
      </x:c>
      <x:c r="E531" s="4"/>
      <x:c r="F531" s="4" t="s">
        <x:v>1639</x:v>
      </x:c>
      <x:c r="G531" s="3" t="s">
        <x:v>1020</x:v>
      </x:c>
    </x:row>
    <x:row r="532">
      <x:c r="A532" s="3" t="s">
        <x:v>1779</x:v>
      </x:c>
      <x:c r="B532" s="3" t="s">
        <x:v>1762</x:v>
      </x:c>
      <x:c r="C532" s="3" t="s">
        <x:v>1641</x:v>
      </x:c>
      <x:c r="D532" s="4" t="s">
        <x:v>1764</x:v>
      </x:c>
      <x:c r="E532" s="4"/>
      <x:c r="F532" s="4" t="s">
        <x:v>1643</x:v>
      </x:c>
      <x:c r="G532" s="3" t="s">
        <x:v>1020</x:v>
      </x:c>
    </x:row>
    <x:row r="533">
      <x:c r="A533" s="3" t="s">
        <x:v>1780</x:v>
      </x:c>
      <x:c r="B533" s="3" t="s">
        <x:v>1762</x:v>
      </x:c>
      <x:c r="C533" s="3" t="s">
        <x:v>1781</x:v>
      </x:c>
      <x:c r="D533" s="4" t="s">
        <x:v>1764</x:v>
      </x:c>
      <x:c r="E533" s="4"/>
      <x:c r="F533" s="4" t="s">
        <x:v>1782</x:v>
      </x:c>
      <x:c r="G533" s="3" t="s">
        <x:v>1020</x:v>
      </x:c>
    </x:row>
    <x:row r="534">
      <x:c r="A534" s="3" t="s">
        <x:v>1783</x:v>
      </x:c>
      <x:c r="B534" s="3" t="s">
        <x:v>1762</x:v>
      </x:c>
      <x:c r="C534" s="3" t="s">
        <x:v>1784</x:v>
      </x:c>
      <x:c r="D534" s="4" t="s">
        <x:v>1764</x:v>
      </x:c>
      <x:c r="E534" s="4"/>
      <x:c r="F534" s="4" t="s">
        <x:v>1785</x:v>
      </x:c>
      <x:c r="G534" s="3" t="s">
        <x:v>1020</x:v>
      </x:c>
    </x:row>
    <x:row r="535">
      <x:c r="A535" s="3" t="s">
        <x:v>1786</x:v>
      </x:c>
      <x:c r="B535" s="3" t="s">
        <x:v>1762</x:v>
      </x:c>
      <x:c r="C535" s="3" t="s">
        <x:v>1787</x:v>
      </x:c>
      <x:c r="D535" s="4" t="s">
        <x:v>1764</x:v>
      </x:c>
      <x:c r="E535" s="4"/>
      <x:c r="F535" s="4" t="s">
        <x:v>1788</x:v>
      </x:c>
      <x:c r="G535" s="3" t="s">
        <x:v>1020</x:v>
      </x:c>
    </x:row>
    <x:row r="536">
      <x:c r="A536" s="3" t="s">
        <x:v>1789</x:v>
      </x:c>
      <x:c r="B536" s="3" t="s">
        <x:v>1762</x:v>
      </x:c>
      <x:c r="C536" s="3" t="s">
        <x:v>1790</x:v>
      </x:c>
      <x:c r="D536" s="4" t="s">
        <x:v>1764</x:v>
      </x:c>
      <x:c r="E536" s="4"/>
      <x:c r="F536" s="4" t="s">
        <x:v>1791</x:v>
      </x:c>
      <x:c r="G536" s="3" t="s">
        <x:v>1020</x:v>
      </x:c>
    </x:row>
    <x:row r="537">
      <x:c r="A537" s="3" t="s">
        <x:v>1792</x:v>
      </x:c>
      <x:c r="B537" s="3" t="s">
        <x:v>1762</x:v>
      </x:c>
      <x:c r="C537" s="3" t="s">
        <x:v>1793</x:v>
      </x:c>
      <x:c r="D537" s="4" t="s">
        <x:v>1764</x:v>
      </x:c>
      <x:c r="E537" s="4"/>
      <x:c r="F537" s="4" t="s">
        <x:v>1794</x:v>
      </x:c>
      <x:c r="G537" s="3" t="s">
        <x:v>1020</x:v>
      </x:c>
    </x:row>
    <x:row r="538">
      <x:c r="A538" s="3" t="s">
        <x:v>1795</x:v>
      </x:c>
      <x:c r="B538" s="3" t="s">
        <x:v>1762</x:v>
      </x:c>
      <x:c r="C538" s="3" t="s">
        <x:v>1796</x:v>
      </x:c>
      <x:c r="D538" s="4" t="s">
        <x:v>1764</x:v>
      </x:c>
      <x:c r="E538" s="4"/>
      <x:c r="F538" s="4" t="s">
        <x:v>1797</x:v>
      </x:c>
      <x:c r="G538" s="3" t="s">
        <x:v>1020</x:v>
      </x:c>
    </x:row>
    <x:row r="539">
      <x:c r="A539" s="3" t="s">
        <x:v>1798</x:v>
      </x:c>
      <x:c r="B539" s="3" t="s">
        <x:v>1762</x:v>
      </x:c>
      <x:c r="C539" s="3" t="s">
        <x:v>1799</x:v>
      </x:c>
      <x:c r="D539" s="4" t="s">
        <x:v>1764</x:v>
      </x:c>
      <x:c r="E539" s="4"/>
      <x:c r="F539" s="4" t="s">
        <x:v>1800</x:v>
      </x:c>
      <x:c r="G539" s="3" t="s">
        <x:v>1020</x:v>
      </x:c>
    </x:row>
    <x:row r="540">
      <x:c r="A540" s="3" t="s">
        <x:v>1801</x:v>
      </x:c>
      <x:c r="B540" s="3" t="s">
        <x:v>1762</x:v>
      </x:c>
      <x:c r="C540" s="3" t="s">
        <x:v>1802</x:v>
      </x:c>
      <x:c r="D540" s="4" t="s">
        <x:v>1764</x:v>
      </x:c>
      <x:c r="E540" s="4"/>
      <x:c r="F540" s="4" t="s">
        <x:v>1803</x:v>
      </x:c>
      <x:c r="G540" s="3" t="s">
        <x:v>1020</x:v>
      </x:c>
    </x:row>
    <x:row r="541">
      <x:c r="A541" s="3" t="s">
        <x:v>1804</x:v>
      </x:c>
      <x:c r="B541" s="3" t="s">
        <x:v>1762</x:v>
      </x:c>
      <x:c r="C541" s="3" t="s">
        <x:v>1805</x:v>
      </x:c>
      <x:c r="D541" s="4" t="s">
        <x:v>1764</x:v>
      </x:c>
      <x:c r="E541" s="4"/>
      <x:c r="F541" s="4" t="s">
        <x:v>1806</x:v>
      </x:c>
      <x:c r="G541" s="3" t="s">
        <x:v>1020</x:v>
      </x:c>
    </x:row>
    <x:row r="542">
      <x:c r="A542" s="3" t="s">
        <x:v>1807</x:v>
      </x:c>
      <x:c r="B542" s="3" t="s">
        <x:v>1762</x:v>
      </x:c>
      <x:c r="C542" s="3" t="s">
        <x:v>1808</x:v>
      </x:c>
      <x:c r="D542" s="4" t="s">
        <x:v>1764</x:v>
      </x:c>
      <x:c r="E542" s="4"/>
      <x:c r="F542" s="4" t="s">
        <x:v>1809</x:v>
      </x:c>
      <x:c r="G542" s="3" t="s">
        <x:v>1020</x:v>
      </x:c>
    </x:row>
    <x:row r="543">
      <x:c r="A543" s="3" t="s">
        <x:v>1810</x:v>
      </x:c>
      <x:c r="B543" s="3" t="s">
        <x:v>1762</x:v>
      </x:c>
      <x:c r="C543" s="3" t="s">
        <x:v>1811</x:v>
      </x:c>
      <x:c r="D543" s="4" t="s">
        <x:v>1764</x:v>
      </x:c>
      <x:c r="E543" s="4"/>
      <x:c r="F543" s="4" t="s">
        <x:v>1812</x:v>
      </x:c>
      <x:c r="G543" s="3" t="s">
        <x:v>1020</x:v>
      </x:c>
    </x:row>
    <x:row r="544">
      <x:c r="A544" s="3" t="s">
        <x:v>1813</x:v>
      </x:c>
      <x:c r="B544" s="3" t="s">
        <x:v>1762</x:v>
      </x:c>
      <x:c r="C544" s="3" t="s">
        <x:v>1645</x:v>
      </x:c>
      <x:c r="D544" s="4" t="s">
        <x:v>1764</x:v>
      </x:c>
      <x:c r="E544" s="4"/>
      <x:c r="F544" s="4" t="s">
        <x:v>1647</x:v>
      </x:c>
      <x:c r="G544" s="3" t="s">
        <x:v>1020</x:v>
      </x:c>
    </x:row>
    <x:row r="545">
      <x:c r="A545" s="3" t="s">
        <x:v>1814</x:v>
      </x:c>
      <x:c r="B545" s="3" t="s">
        <x:v>1762</x:v>
      </x:c>
      <x:c r="C545" s="3" t="s">
        <x:v>1815</x:v>
      </x:c>
      <x:c r="D545" s="4" t="s">
        <x:v>1764</x:v>
      </x:c>
      <x:c r="E545" s="4"/>
      <x:c r="F545" s="4" t="s">
        <x:v>1816</x:v>
      </x:c>
      <x:c r="G545" s="3" t="s">
        <x:v>1020</x:v>
      </x:c>
    </x:row>
    <x:row r="546">
      <x:c r="A546" s="3" t="s">
        <x:v>1817</x:v>
      </x:c>
      <x:c r="B546" s="3" t="s">
        <x:v>1762</x:v>
      </x:c>
      <x:c r="C546" s="3" t="s">
        <x:v>1818</x:v>
      </x:c>
      <x:c r="D546" s="4" t="s">
        <x:v>1764</x:v>
      </x:c>
      <x:c r="E546" s="4"/>
      <x:c r="F546" s="4" t="s">
        <x:v>1819</x:v>
      </x:c>
      <x:c r="G546" s="3" t="s">
        <x:v>1020</x:v>
      </x:c>
    </x:row>
    <x:row r="547">
      <x:c r="A547" s="3" t="s">
        <x:v>1820</x:v>
      </x:c>
      <x:c r="B547" s="3" t="s">
        <x:v>1762</x:v>
      </x:c>
      <x:c r="C547" s="3" t="s">
        <x:v>1649</x:v>
      </x:c>
      <x:c r="D547" s="4" t="s">
        <x:v>1764</x:v>
      </x:c>
      <x:c r="E547" s="4"/>
      <x:c r="F547" s="4" t="s">
        <x:v>1651</x:v>
      </x:c>
      <x:c r="G547" s="3" t="s">
        <x:v>1020</x:v>
      </x:c>
    </x:row>
    <x:row r="548">
      <x:c r="A548" s="3" t="s">
        <x:v>1821</x:v>
      </x:c>
      <x:c r="B548" s="3" t="s">
        <x:v>1762</x:v>
      </x:c>
      <x:c r="C548" s="3" t="s">
        <x:v>1822</x:v>
      </x:c>
      <x:c r="D548" s="4" t="s">
        <x:v>1764</x:v>
      </x:c>
      <x:c r="E548" s="4"/>
      <x:c r="F548" s="4" t="s">
        <x:v>1823</x:v>
      </x:c>
      <x:c r="G548" s="3" t="s">
        <x:v>1020</x:v>
      </x:c>
    </x:row>
    <x:row r="549">
      <x:c r="A549" s="3" t="s">
        <x:v>1824</x:v>
      </x:c>
      <x:c r="B549" s="3" t="s">
        <x:v>1762</x:v>
      </x:c>
      <x:c r="C549" s="3" t="s">
        <x:v>1653</x:v>
      </x:c>
      <x:c r="D549" s="4" t="s">
        <x:v>1764</x:v>
      </x:c>
      <x:c r="E549" s="4"/>
      <x:c r="F549" s="4" t="s">
        <x:v>1655</x:v>
      </x:c>
      <x:c r="G549" s="3" t="s">
        <x:v>1020</x:v>
      </x:c>
    </x:row>
    <x:row r="550">
      <x:c r="A550" s="3" t="s">
        <x:v>1825</x:v>
      </x:c>
      <x:c r="B550" s="3" t="s">
        <x:v>1762</x:v>
      </x:c>
      <x:c r="C550" s="3" t="s">
        <x:v>1826</x:v>
      </x:c>
      <x:c r="D550" s="4" t="s">
        <x:v>1764</x:v>
      </x:c>
      <x:c r="E550" s="4"/>
      <x:c r="F550" s="4" t="s">
        <x:v>1827</x:v>
      </x:c>
      <x:c r="G550" s="3" t="s">
        <x:v>1020</x:v>
      </x:c>
    </x:row>
    <x:row r="551">
      <x:c r="A551" s="3" t="s">
        <x:v>1828</x:v>
      </x:c>
      <x:c r="B551" s="3" t="s">
        <x:v>1762</x:v>
      </x:c>
      <x:c r="C551" s="3" t="s">
        <x:v>1657</x:v>
      </x:c>
      <x:c r="D551" s="4" t="s">
        <x:v>1764</x:v>
      </x:c>
      <x:c r="E551" s="4"/>
      <x:c r="F551" s="4" t="s">
        <x:v>1659</x:v>
      </x:c>
      <x:c r="G551" s="3" t="s">
        <x:v>1020</x:v>
      </x:c>
    </x:row>
    <x:row r="552">
      <x:c r="A552" s="3" t="s">
        <x:v>1829</x:v>
      </x:c>
      <x:c r="B552" s="3" t="s">
        <x:v>1762</x:v>
      </x:c>
      <x:c r="C552" s="3" t="s">
        <x:v>1830</x:v>
      </x:c>
      <x:c r="D552" s="4" t="s">
        <x:v>1764</x:v>
      </x:c>
      <x:c r="E552" s="4"/>
      <x:c r="F552" s="4" t="s">
        <x:v>1831</x:v>
      </x:c>
      <x:c r="G552" s="3" t="s">
        <x:v>1020</x:v>
      </x:c>
    </x:row>
    <x:row r="553">
      <x:c r="A553" s="3" t="s">
        <x:v>1832</x:v>
      </x:c>
      <x:c r="B553" s="3" t="s">
        <x:v>1762</x:v>
      </x:c>
      <x:c r="C553" s="3" t="s">
        <x:v>1833</x:v>
      </x:c>
      <x:c r="D553" s="4" t="s">
        <x:v>1764</x:v>
      </x:c>
      <x:c r="E553" s="4"/>
      <x:c r="F553" s="4" t="s">
        <x:v>1834</x:v>
      </x:c>
      <x:c r="G553" s="3" t="s">
        <x:v>1020</x:v>
      </x:c>
    </x:row>
    <x:row r="554">
      <x:c r="A554" s="3" t="s">
        <x:v>1835</x:v>
      </x:c>
      <x:c r="B554" s="3" t="s">
        <x:v>1762</x:v>
      </x:c>
      <x:c r="C554" s="3" t="s">
        <x:v>1836</x:v>
      </x:c>
      <x:c r="D554" s="4" t="s">
        <x:v>1764</x:v>
      </x:c>
      <x:c r="E554" s="4"/>
      <x:c r="F554" s="4" t="s">
        <x:v>1837</x:v>
      </x:c>
      <x:c r="G554" s="3" t="s">
        <x:v>1020</x:v>
      </x:c>
    </x:row>
    <x:row r="555" ht="30">
      <x:c r="A555" s="3" t="s">
        <x:v>1838</x:v>
      </x:c>
      <x:c r="B555" s="3" t="s">
        <x:v>1762</x:v>
      </x:c>
      <x:c r="C555" s="3" t="s">
        <x:v>1839</x:v>
      </x:c>
      <x:c r="D555" s="4" t="s">
        <x:v>1764</x:v>
      </x:c>
      <x:c r="E555" s="4"/>
      <x:c r="F555" s="4" t="s">
        <x:v>1840</x:v>
      </x:c>
      <x:c r="G555" s="3" t="s">
        <x:v>1020</x:v>
      </x:c>
    </x:row>
    <x:row r="556">
      <x:c r="A556" s="3" t="s">
        <x:v>1841</x:v>
      </x:c>
      <x:c r="B556" s="3" t="s">
        <x:v>1762</x:v>
      </x:c>
      <x:c r="C556" s="3" t="s">
        <x:v>1842</x:v>
      </x:c>
      <x:c r="D556" s="4" t="s">
        <x:v>1764</x:v>
      </x:c>
      <x:c r="E556" s="4"/>
      <x:c r="F556" s="4" t="s">
        <x:v>1843</x:v>
      </x:c>
      <x:c r="G556" s="3" t="s">
        <x:v>1020</x:v>
      </x:c>
    </x:row>
    <x:row r="557">
      <x:c r="A557" s="3" t="s">
        <x:v>1844</x:v>
      </x:c>
      <x:c r="B557" s="3" t="s">
        <x:v>1762</x:v>
      </x:c>
      <x:c r="C557" s="3" t="s">
        <x:v>1661</x:v>
      </x:c>
      <x:c r="D557" s="4" t="s">
        <x:v>1764</x:v>
      </x:c>
      <x:c r="E557" s="4"/>
      <x:c r="F557" s="4" t="s">
        <x:v>1663</x:v>
      </x:c>
      <x:c r="G557" s="3" t="s">
        <x:v>1020</x:v>
      </x:c>
    </x:row>
    <x:row r="558">
      <x:c r="A558" s="3" t="s">
        <x:v>1845</x:v>
      </x:c>
      <x:c r="B558" s="3" t="s">
        <x:v>1762</x:v>
      </x:c>
      <x:c r="C558" s="3" t="s">
        <x:v>1665</x:v>
      </x:c>
      <x:c r="D558" s="4" t="s">
        <x:v>1764</x:v>
      </x:c>
      <x:c r="E558" s="4"/>
      <x:c r="F558" s="4" t="s">
        <x:v>1667</x:v>
      </x:c>
      <x:c r="G558" s="3" t="s">
        <x:v>1020</x:v>
      </x:c>
    </x:row>
    <x:row r="559">
      <x:c r="A559" s="3" t="s">
        <x:v>1846</x:v>
      </x:c>
      <x:c r="B559" s="3" t="s">
        <x:v>1762</x:v>
      </x:c>
      <x:c r="C559" s="3" t="s">
        <x:v>1847</x:v>
      </x:c>
      <x:c r="D559" s="4" t="s">
        <x:v>1764</x:v>
      </x:c>
      <x:c r="E559" s="4"/>
      <x:c r="F559" s="4" t="s">
        <x:v>1848</x:v>
      </x:c>
      <x:c r="G559" s="3" t="s">
        <x:v>1020</x:v>
      </x:c>
    </x:row>
    <x:row r="560">
      <x:c r="A560" s="3" t="s">
        <x:v>1849</x:v>
      </x:c>
      <x:c r="B560" s="3" t="s">
        <x:v>1762</x:v>
      </x:c>
      <x:c r="C560" s="3" t="s">
        <x:v>1669</x:v>
      </x:c>
      <x:c r="D560" s="4" t="s">
        <x:v>1764</x:v>
      </x:c>
      <x:c r="E560" s="4"/>
      <x:c r="F560" s="4" t="s">
        <x:v>1671</x:v>
      </x:c>
      <x:c r="G560" s="3" t="s">
        <x:v>1020</x:v>
      </x:c>
    </x:row>
    <x:row r="561">
      <x:c r="A561" s="3" t="s">
        <x:v>1850</x:v>
      </x:c>
      <x:c r="B561" s="3" t="s">
        <x:v>1762</x:v>
      </x:c>
      <x:c r="C561" s="3" t="s">
        <x:v>1673</x:v>
      </x:c>
      <x:c r="D561" s="4" t="s">
        <x:v>1764</x:v>
      </x:c>
      <x:c r="E561" s="4"/>
      <x:c r="F561" s="4" t="s">
        <x:v>1675</x:v>
      </x:c>
      <x:c r="G561" s="3" t="s">
        <x:v>1020</x:v>
      </x:c>
    </x:row>
    <x:row r="562">
      <x:c r="A562" s="3" t="s">
        <x:v>1851</x:v>
      </x:c>
      <x:c r="B562" s="3" t="s">
        <x:v>1762</x:v>
      </x:c>
      <x:c r="C562" s="3" t="s">
        <x:v>1852</x:v>
      </x:c>
      <x:c r="D562" s="4" t="s">
        <x:v>1764</x:v>
      </x:c>
      <x:c r="E562" s="4"/>
      <x:c r="F562" s="4" t="s">
        <x:v>1853</x:v>
      </x:c>
      <x:c r="G562" s="3" t="s">
        <x:v>1020</x:v>
      </x:c>
    </x:row>
    <x:row r="563">
      <x:c r="A563" s="3" t="s">
        <x:v>1854</x:v>
      </x:c>
      <x:c r="B563" s="3" t="s">
        <x:v>1762</x:v>
      </x:c>
      <x:c r="C563" s="3" t="s">
        <x:v>1855</x:v>
      </x:c>
      <x:c r="D563" s="4" t="s">
        <x:v>1764</x:v>
      </x:c>
      <x:c r="E563" s="4"/>
      <x:c r="F563" s="4" t="s">
        <x:v>1856</x:v>
      </x:c>
      <x:c r="G563" s="3" t="s">
        <x:v>1020</x:v>
      </x:c>
    </x:row>
    <x:row r="564">
      <x:c r="A564" s="3" t="s">
        <x:v>1857</x:v>
      </x:c>
      <x:c r="B564" s="3" t="s">
        <x:v>1762</x:v>
      </x:c>
      <x:c r="C564" s="3" t="s">
        <x:v>1677</x:v>
      </x:c>
      <x:c r="D564" s="4" t="s">
        <x:v>1764</x:v>
      </x:c>
      <x:c r="E564" s="4"/>
      <x:c r="F564" s="4" t="s">
        <x:v>1679</x:v>
      </x:c>
      <x:c r="G564" s="3" t="s">
        <x:v>1020</x:v>
      </x:c>
    </x:row>
    <x:row r="565">
      <x:c r="A565" s="3" t="s">
        <x:v>1858</x:v>
      </x:c>
      <x:c r="B565" s="3" t="s">
        <x:v>1762</x:v>
      </x:c>
      <x:c r="C565" s="3" t="s">
        <x:v>1859</x:v>
      </x:c>
      <x:c r="D565" s="4" t="s">
        <x:v>1764</x:v>
      </x:c>
      <x:c r="E565" s="4"/>
      <x:c r="F565" s="4" t="s">
        <x:v>1860</x:v>
      </x:c>
      <x:c r="G565" s="3" t="s">
        <x:v>1020</x:v>
      </x:c>
    </x:row>
    <x:row r="566">
      <x:c r="A566" s="3" t="s">
        <x:v>1861</x:v>
      </x:c>
      <x:c r="B566" s="3" t="s">
        <x:v>1762</x:v>
      </x:c>
      <x:c r="C566" s="3" t="s">
        <x:v>1681</x:v>
      </x:c>
      <x:c r="D566" s="4" t="s">
        <x:v>1764</x:v>
      </x:c>
      <x:c r="E566" s="4"/>
      <x:c r="F566" s="4" t="s">
        <x:v>1683</x:v>
      </x:c>
      <x:c r="G566" s="3" t="s">
        <x:v>1020</x:v>
      </x:c>
    </x:row>
    <x:row r="567">
      <x:c r="A567" s="3" t="s">
        <x:v>1862</x:v>
      </x:c>
      <x:c r="B567" s="3" t="s">
        <x:v>1762</x:v>
      </x:c>
      <x:c r="C567" s="3" t="s">
        <x:v>1685</x:v>
      </x:c>
      <x:c r="D567" s="4" t="s">
        <x:v>1764</x:v>
      </x:c>
      <x:c r="E567" s="4"/>
      <x:c r="F567" s="4" t="s">
        <x:v>1687</x:v>
      </x:c>
      <x:c r="G567" s="3" t="s">
        <x:v>1020</x:v>
      </x:c>
    </x:row>
    <x:row r="568">
      <x:c r="A568" s="3" t="s">
        <x:v>1863</x:v>
      </x:c>
      <x:c r="B568" s="3" t="s">
        <x:v>1762</x:v>
      </x:c>
      <x:c r="C568" s="3" t="s">
        <x:v>1864</x:v>
      </x:c>
      <x:c r="D568" s="4" t="s">
        <x:v>1764</x:v>
      </x:c>
      <x:c r="E568" s="4"/>
      <x:c r="F568" s="4" t="s">
        <x:v>1865</x:v>
      </x:c>
      <x:c r="G568" s="3" t="s">
        <x:v>1020</x:v>
      </x:c>
    </x:row>
    <x:row r="569">
      <x:c r="A569" s="3" t="s">
        <x:v>1866</x:v>
      </x:c>
      <x:c r="B569" s="3" t="s">
        <x:v>1762</x:v>
      </x:c>
      <x:c r="C569" s="3" t="s">
        <x:v>1867</x:v>
      </x:c>
      <x:c r="D569" s="4" t="s">
        <x:v>1764</x:v>
      </x:c>
      <x:c r="E569" s="4"/>
      <x:c r="F569" s="4" t="s">
        <x:v>1868</x:v>
      </x:c>
      <x:c r="G569" s="3" t="s">
        <x:v>1020</x:v>
      </x:c>
    </x:row>
    <x:row r="570">
      <x:c r="A570" s="3" t="s">
        <x:v>1869</x:v>
      </x:c>
      <x:c r="B570" s="3" t="s">
        <x:v>1762</x:v>
      </x:c>
      <x:c r="C570" s="3" t="s">
        <x:v>1870</x:v>
      </x:c>
      <x:c r="D570" s="4" t="s">
        <x:v>1764</x:v>
      </x:c>
      <x:c r="E570" s="4"/>
      <x:c r="F570" s="4" t="s">
        <x:v>1871</x:v>
      </x:c>
      <x:c r="G570" s="3" t="s">
        <x:v>1020</x:v>
      </x:c>
    </x:row>
    <x:row r="571">
      <x:c r="A571" s="3" t="s">
        <x:v>1872</x:v>
      </x:c>
      <x:c r="B571" s="3" t="s">
        <x:v>1762</x:v>
      </x:c>
      <x:c r="C571" s="3" t="s">
        <x:v>1873</x:v>
      </x:c>
      <x:c r="D571" s="4" t="s">
        <x:v>1764</x:v>
      </x:c>
      <x:c r="E571" s="4"/>
      <x:c r="F571" s="4" t="s">
        <x:v>1874</x:v>
      </x:c>
      <x:c r="G571" s="3" t="s">
        <x:v>1020</x:v>
      </x:c>
    </x:row>
    <x:row r="572">
      <x:c r="A572" s="3" t="s">
        <x:v>1875</x:v>
      </x:c>
      <x:c r="B572" s="3" t="s">
        <x:v>1762</x:v>
      </x:c>
      <x:c r="C572" s="3" t="s">
        <x:v>1689</x:v>
      </x:c>
      <x:c r="D572" s="4" t="s">
        <x:v>1764</x:v>
      </x:c>
      <x:c r="E572" s="4"/>
      <x:c r="F572" s="4" t="s">
        <x:v>1691</x:v>
      </x:c>
      <x:c r="G572" s="3" t="s">
        <x:v>1020</x:v>
      </x:c>
    </x:row>
    <x:row r="573">
      <x:c r="A573" s="3" t="s">
        <x:v>1876</x:v>
      </x:c>
      <x:c r="B573" s="3" t="s">
        <x:v>1762</x:v>
      </x:c>
      <x:c r="C573" s="3" t="s">
        <x:v>1877</x:v>
      </x:c>
      <x:c r="D573" s="4" t="s">
        <x:v>1764</x:v>
      </x:c>
      <x:c r="E573" s="4"/>
      <x:c r="F573" s="4" t="s">
        <x:v>1878</x:v>
      </x:c>
      <x:c r="G573" s="3" t="s">
        <x:v>1020</x:v>
      </x:c>
    </x:row>
    <x:row r="574">
      <x:c r="A574" s="3" t="s">
        <x:v>1879</x:v>
      </x:c>
      <x:c r="B574" s="3" t="s">
        <x:v>1762</x:v>
      </x:c>
      <x:c r="C574" s="3" t="s">
        <x:v>1693</x:v>
      </x:c>
      <x:c r="D574" s="4" t="s">
        <x:v>1764</x:v>
      </x:c>
      <x:c r="E574" s="4"/>
      <x:c r="F574" s="4" t="s">
        <x:v>1695</x:v>
      </x:c>
      <x:c r="G574" s="3" t="s">
        <x:v>1020</x:v>
      </x:c>
    </x:row>
    <x:row r="575">
      <x:c r="A575" s="3" t="s">
        <x:v>1880</x:v>
      </x:c>
      <x:c r="B575" s="3" t="s">
        <x:v>1762</x:v>
      </x:c>
      <x:c r="C575" s="3" t="s">
        <x:v>1881</x:v>
      </x:c>
      <x:c r="D575" s="4" t="s">
        <x:v>1764</x:v>
      </x:c>
      <x:c r="E575" s="4"/>
      <x:c r="F575" s="4" t="s">
        <x:v>1882</x:v>
      </x:c>
      <x:c r="G575" s="3" t="s">
        <x:v>1020</x:v>
      </x:c>
    </x:row>
    <x:row r="576">
      <x:c r="A576" s="3" t="s">
        <x:v>1883</x:v>
      </x:c>
      <x:c r="B576" s="3" t="s">
        <x:v>1762</x:v>
      </x:c>
      <x:c r="C576" s="3" t="s">
        <x:v>1884</x:v>
      </x:c>
      <x:c r="D576" s="4" t="s">
        <x:v>1764</x:v>
      </x:c>
      <x:c r="E576" s="4"/>
      <x:c r="F576" s="4" t="s">
        <x:v>1885</x:v>
      </x:c>
      <x:c r="G576" s="3" t="s">
        <x:v>1020</x:v>
      </x:c>
    </x:row>
    <x:row r="577">
      <x:c r="A577" s="3" t="s">
        <x:v>1886</x:v>
      </x:c>
      <x:c r="B577" s="3" t="s">
        <x:v>1762</x:v>
      </x:c>
      <x:c r="C577" s="3" t="s">
        <x:v>1887</x:v>
      </x:c>
      <x:c r="D577" s="4" t="s">
        <x:v>1764</x:v>
      </x:c>
      <x:c r="E577" s="4"/>
      <x:c r="F577" s="4" t="s">
        <x:v>1888</x:v>
      </x:c>
      <x:c r="G577" s="3" t="s">
        <x:v>1020</x:v>
      </x:c>
    </x:row>
    <x:row r="578">
      <x:c r="A578" s="3" t="s">
        <x:v>1889</x:v>
      </x:c>
      <x:c r="B578" s="3" t="s">
        <x:v>1762</x:v>
      </x:c>
      <x:c r="C578" s="3" t="s">
        <x:v>1890</x:v>
      </x:c>
      <x:c r="D578" s="4" t="s">
        <x:v>1764</x:v>
      </x:c>
      <x:c r="E578" s="4"/>
      <x:c r="F578" s="4" t="s">
        <x:v>1891</x:v>
      </x:c>
      <x:c r="G578" s="3" t="s">
        <x:v>1020</x:v>
      </x:c>
    </x:row>
    <x:row r="579">
      <x:c r="A579" s="3" t="s">
        <x:v>1892</x:v>
      </x:c>
      <x:c r="B579" s="3" t="s">
        <x:v>1762</x:v>
      </x:c>
      <x:c r="C579" s="3" t="s">
        <x:v>1893</x:v>
      </x:c>
      <x:c r="D579" s="4" t="s">
        <x:v>1764</x:v>
      </x:c>
      <x:c r="E579" s="4"/>
      <x:c r="F579" s="4" t="s">
        <x:v>1894</x:v>
      </x:c>
      <x:c r="G579" s="3" t="s">
        <x:v>1020</x:v>
      </x:c>
    </x:row>
    <x:row r="580">
      <x:c r="A580" s="3" t="s">
        <x:v>1895</x:v>
      </x:c>
      <x:c r="B580" s="3" t="s">
        <x:v>1762</x:v>
      </x:c>
      <x:c r="C580" s="3" t="s">
        <x:v>1697</x:v>
      </x:c>
      <x:c r="D580" s="4" t="s">
        <x:v>1764</x:v>
      </x:c>
      <x:c r="E580" s="4"/>
      <x:c r="F580" s="4" t="s">
        <x:v>1699</x:v>
      </x:c>
      <x:c r="G580" s="3" t="s">
        <x:v>1020</x:v>
      </x:c>
    </x:row>
    <x:row r="581">
      <x:c r="A581" s="3" t="s">
        <x:v>1896</x:v>
      </x:c>
      <x:c r="B581" s="3" t="s">
        <x:v>1762</x:v>
      </x:c>
      <x:c r="C581" s="3" t="s">
        <x:v>1701</x:v>
      </x:c>
      <x:c r="D581" s="4" t="s">
        <x:v>1764</x:v>
      </x:c>
      <x:c r="E581" s="4"/>
      <x:c r="F581" s="4" t="s">
        <x:v>1703</x:v>
      </x:c>
      <x:c r="G581" s="3" t="s">
        <x:v>1020</x:v>
      </x:c>
    </x:row>
    <x:row r="582">
      <x:c r="A582" s="3" t="s">
        <x:v>1897</x:v>
      </x:c>
      <x:c r="B582" s="3" t="s">
        <x:v>1762</x:v>
      </x:c>
      <x:c r="C582" s="3" t="s">
        <x:v>1705</x:v>
      </x:c>
      <x:c r="D582" s="4" t="s">
        <x:v>1764</x:v>
      </x:c>
      <x:c r="E582" s="4"/>
      <x:c r="F582" s="4" t="s">
        <x:v>1707</x:v>
      </x:c>
      <x:c r="G582" s="3" t="s">
        <x:v>1020</x:v>
      </x:c>
    </x:row>
    <x:row r="583">
      <x:c r="A583" s="3" t="s">
        <x:v>1898</x:v>
      </x:c>
      <x:c r="B583" s="3" t="s">
        <x:v>1762</x:v>
      </x:c>
      <x:c r="C583" s="3" t="s">
        <x:v>1899</x:v>
      </x:c>
      <x:c r="D583" s="4" t="s">
        <x:v>1764</x:v>
      </x:c>
      <x:c r="E583" s="4"/>
      <x:c r="F583" s="4" t="s">
        <x:v>1900</x:v>
      </x:c>
      <x:c r="G583" s="3" t="s">
        <x:v>1020</x:v>
      </x:c>
    </x:row>
    <x:row r="584">
      <x:c r="A584" s="3" t="s">
        <x:v>1901</x:v>
      </x:c>
      <x:c r="B584" s="3" t="s">
        <x:v>1762</x:v>
      </x:c>
      <x:c r="C584" s="3" t="s">
        <x:v>1902</x:v>
      </x:c>
      <x:c r="D584" s="4" t="s">
        <x:v>1764</x:v>
      </x:c>
      <x:c r="E584" s="4"/>
      <x:c r="F584" s="4" t="s">
        <x:v>1903</x:v>
      </x:c>
      <x:c r="G584" s="3" t="s">
        <x:v>1020</x:v>
      </x:c>
    </x:row>
    <x:row r="585">
      <x:c r="A585" s="3" t="s">
        <x:v>1904</x:v>
      </x:c>
      <x:c r="B585" s="3" t="s">
        <x:v>1762</x:v>
      </x:c>
      <x:c r="C585" s="3" t="s">
        <x:v>1905</x:v>
      </x:c>
      <x:c r="D585" s="4" t="s">
        <x:v>1764</x:v>
      </x:c>
      <x:c r="E585" s="4"/>
      <x:c r="F585" s="4" t="s">
        <x:v>1906</x:v>
      </x:c>
      <x:c r="G585" s="3" t="s">
        <x:v>1020</x:v>
      </x:c>
    </x:row>
    <x:row r="586">
      <x:c r="A586" s="3" t="s">
        <x:v>1907</x:v>
      </x:c>
      <x:c r="B586" s="3" t="s">
        <x:v>1762</x:v>
      </x:c>
      <x:c r="C586" s="3" t="s">
        <x:v>1908</x:v>
      </x:c>
      <x:c r="D586" s="4" t="s">
        <x:v>1764</x:v>
      </x:c>
      <x:c r="E586" s="4"/>
      <x:c r="F586" s="4" t="s">
        <x:v>1909</x:v>
      </x:c>
      <x:c r="G586" s="3" t="s">
        <x:v>1020</x:v>
      </x:c>
    </x:row>
    <x:row r="587">
      <x:c r="A587" s="3" t="s">
        <x:v>1910</x:v>
      </x:c>
      <x:c r="B587" s="3" t="s">
        <x:v>1762</x:v>
      </x:c>
      <x:c r="C587" s="3" t="s">
        <x:v>1911</x:v>
      </x:c>
      <x:c r="D587" s="4" t="s">
        <x:v>1764</x:v>
      </x:c>
      <x:c r="E587" s="4"/>
      <x:c r="F587" s="4" t="s">
        <x:v>1912</x:v>
      </x:c>
      <x:c r="G587" s="3" t="s">
        <x:v>1020</x:v>
      </x:c>
    </x:row>
    <x:row r="588">
      <x:c r="A588" s="3" t="s">
        <x:v>1913</x:v>
      </x:c>
      <x:c r="B588" s="3" t="s">
        <x:v>1762</x:v>
      </x:c>
      <x:c r="C588" s="3" t="s">
        <x:v>1914</x:v>
      </x:c>
      <x:c r="D588" s="4" t="s">
        <x:v>1764</x:v>
      </x:c>
      <x:c r="E588" s="4"/>
      <x:c r="F588" s="4" t="s">
        <x:v>1915</x:v>
      </x:c>
      <x:c r="G588" s="3" t="s">
        <x:v>1020</x:v>
      </x:c>
    </x:row>
    <x:row r="589">
      <x:c r="A589" s="3" t="s">
        <x:v>1916</x:v>
      </x:c>
      <x:c r="B589" s="3" t="s">
        <x:v>1762</x:v>
      </x:c>
      <x:c r="C589" s="3" t="s">
        <x:v>1917</x:v>
      </x:c>
      <x:c r="D589" s="4" t="s">
        <x:v>1764</x:v>
      </x:c>
      <x:c r="E589" s="4"/>
      <x:c r="F589" s="4" t="s">
        <x:v>1918</x:v>
      </x:c>
      <x:c r="G589" s="3" t="s">
        <x:v>1020</x:v>
      </x:c>
    </x:row>
    <x:row r="590">
      <x:c r="A590" s="3" t="s">
        <x:v>1919</x:v>
      </x:c>
      <x:c r="B590" s="3" t="s">
        <x:v>1762</x:v>
      </x:c>
      <x:c r="C590" s="3" t="s">
        <x:v>1920</x:v>
      </x:c>
      <x:c r="D590" s="4" t="s">
        <x:v>1764</x:v>
      </x:c>
      <x:c r="E590" s="4"/>
      <x:c r="F590" s="4" t="s">
        <x:v>1921</x:v>
      </x:c>
      <x:c r="G590" s="3" t="s">
        <x:v>1020</x:v>
      </x:c>
    </x:row>
    <x:row r="591">
      <x:c r="A591" s="3" t="s">
        <x:v>1922</x:v>
      </x:c>
      <x:c r="B591" s="3" t="s">
        <x:v>1762</x:v>
      </x:c>
      <x:c r="C591" s="3" t="s">
        <x:v>1923</x:v>
      </x:c>
      <x:c r="D591" s="4" t="s">
        <x:v>1764</x:v>
      </x:c>
      <x:c r="E591" s="4"/>
      <x:c r="F591" s="4" t="s">
        <x:v>1924</x:v>
      </x:c>
      <x:c r="G591" s="3" t="s">
        <x:v>1020</x:v>
      </x:c>
    </x:row>
    <x:row r="592">
      <x:c r="A592" s="3" t="s">
        <x:v>1925</x:v>
      </x:c>
      <x:c r="B592" s="3" t="s">
        <x:v>1762</x:v>
      </x:c>
      <x:c r="C592" s="3" t="s">
        <x:v>1926</x:v>
      </x:c>
      <x:c r="D592" s="4" t="s">
        <x:v>1764</x:v>
      </x:c>
      <x:c r="E592" s="4"/>
      <x:c r="F592" s="4" t="s">
        <x:v>1927</x:v>
      </x:c>
      <x:c r="G592" s="3" t="s">
        <x:v>1020</x:v>
      </x:c>
    </x:row>
    <x:row r="593">
      <x:c r="A593" s="3" t="s">
        <x:v>1928</x:v>
      </x:c>
      <x:c r="B593" s="3" t="s">
        <x:v>1762</x:v>
      </x:c>
      <x:c r="C593" s="3" t="s">
        <x:v>1713</x:v>
      </x:c>
      <x:c r="D593" s="4" t="s">
        <x:v>1764</x:v>
      </x:c>
      <x:c r="E593" s="4"/>
      <x:c r="F593" s="4" t="s">
        <x:v>1715</x:v>
      </x:c>
      <x:c r="G593" s="3" t="s">
        <x:v>1020</x:v>
      </x:c>
    </x:row>
    <x:row r="594">
      <x:c r="A594" s="3" t="s">
        <x:v>1929</x:v>
      </x:c>
      <x:c r="B594" s="3" t="s">
        <x:v>1762</x:v>
      </x:c>
      <x:c r="C594" s="3" t="s">
        <x:v>1930</x:v>
      </x:c>
      <x:c r="D594" s="4" t="s">
        <x:v>1764</x:v>
      </x:c>
      <x:c r="E594" s="4"/>
      <x:c r="F594" s="4" t="s">
        <x:v>1931</x:v>
      </x:c>
      <x:c r="G594" s="3" t="s">
        <x:v>1020</x:v>
      </x:c>
    </x:row>
    <x:row r="595">
      <x:c r="A595" s="3" t="s">
        <x:v>1932</x:v>
      </x:c>
      <x:c r="B595" s="3" t="s">
        <x:v>1762</x:v>
      </x:c>
      <x:c r="C595" s="3" t="s">
        <x:v>1717</x:v>
      </x:c>
      <x:c r="D595" s="4" t="s">
        <x:v>1764</x:v>
      </x:c>
      <x:c r="E595" s="4"/>
      <x:c r="F595" s="4" t="s">
        <x:v>1719</x:v>
      </x:c>
      <x:c r="G595" s="3" t="s">
        <x:v>1020</x:v>
      </x:c>
    </x:row>
    <x:row r="596">
      <x:c r="A596" s="3" t="s">
        <x:v>1933</x:v>
      </x:c>
      <x:c r="B596" s="3" t="s">
        <x:v>1762</x:v>
      </x:c>
      <x:c r="C596" s="3" t="s">
        <x:v>1934</x:v>
      </x:c>
      <x:c r="D596" s="4" t="s">
        <x:v>1764</x:v>
      </x:c>
      <x:c r="E596" s="4"/>
      <x:c r="F596" s="4" t="s">
        <x:v>1935</x:v>
      </x:c>
      <x:c r="G596" s="3" t="s">
        <x:v>1020</x:v>
      </x:c>
    </x:row>
    <x:row r="597">
      <x:c r="A597" s="3" t="s">
        <x:v>1936</x:v>
      </x:c>
      <x:c r="B597" s="3" t="s">
        <x:v>1762</x:v>
      </x:c>
      <x:c r="C597" s="3" t="s">
        <x:v>1721</x:v>
      </x:c>
      <x:c r="D597" s="4" t="s">
        <x:v>1764</x:v>
      </x:c>
      <x:c r="E597" s="4"/>
      <x:c r="F597" s="4" t="s">
        <x:v>1723</x:v>
      </x:c>
      <x:c r="G597" s="3" t="s">
        <x:v>1020</x:v>
      </x:c>
    </x:row>
    <x:row r="598">
      <x:c r="A598" s="3" t="s">
        <x:v>1937</x:v>
      </x:c>
      <x:c r="B598" s="3" t="s">
        <x:v>1762</x:v>
      </x:c>
      <x:c r="C598" s="3" t="s">
        <x:v>1938</x:v>
      </x:c>
      <x:c r="D598" s="4" t="s">
        <x:v>1764</x:v>
      </x:c>
      <x:c r="E598" s="4"/>
      <x:c r="F598" s="4" t="s">
        <x:v>1939</x:v>
      </x:c>
      <x:c r="G598" s="3" t="s">
        <x:v>1020</x:v>
      </x:c>
    </x:row>
    <x:row r="599">
      <x:c r="A599" s="3" t="s">
        <x:v>1940</x:v>
      </x:c>
      <x:c r="B599" s="3" t="s">
        <x:v>1762</x:v>
      </x:c>
      <x:c r="C599" s="3" t="s">
        <x:v>1941</x:v>
      </x:c>
      <x:c r="D599" s="4" t="s">
        <x:v>1764</x:v>
      </x:c>
      <x:c r="E599" s="4"/>
      <x:c r="F599" s="4" t="s">
        <x:v>1942</x:v>
      </x:c>
      <x:c r="G599" s="3" t="s">
        <x:v>1020</x:v>
      </x:c>
    </x:row>
    <x:row r="600">
      <x:c r="A600" s="3" t="s">
        <x:v>1943</x:v>
      </x:c>
      <x:c r="B600" s="3" t="s">
        <x:v>1762</x:v>
      </x:c>
      <x:c r="C600" s="3" t="s">
        <x:v>1944</x:v>
      </x:c>
      <x:c r="D600" s="4" t="s">
        <x:v>1764</x:v>
      </x:c>
      <x:c r="E600" s="4"/>
      <x:c r="F600" s="4" t="s">
        <x:v>1945</x:v>
      </x:c>
      <x:c r="G600" s="3" t="s">
        <x:v>1020</x:v>
      </x:c>
    </x:row>
    <x:row r="601">
      <x:c r="A601" s="3" t="s">
        <x:v>1946</x:v>
      </x:c>
      <x:c r="B601" s="3" t="s">
        <x:v>1762</x:v>
      </x:c>
      <x:c r="C601" s="3" t="s">
        <x:v>1947</x:v>
      </x:c>
      <x:c r="D601" s="4" t="s">
        <x:v>1764</x:v>
      </x:c>
      <x:c r="E601" s="4"/>
      <x:c r="F601" s="4" t="s">
        <x:v>1948</x:v>
      </x:c>
      <x:c r="G601" s="3" t="s">
        <x:v>1020</x:v>
      </x:c>
    </x:row>
    <x:row r="602">
      <x:c r="A602" s="3" t="s">
        <x:v>1949</x:v>
      </x:c>
      <x:c r="B602" s="3" t="s">
        <x:v>1762</x:v>
      </x:c>
      <x:c r="C602" s="3" t="s">
        <x:v>1950</x:v>
      </x:c>
      <x:c r="D602" s="4" t="s">
        <x:v>1764</x:v>
      </x:c>
      <x:c r="E602" s="4"/>
      <x:c r="F602" s="4" t="s">
        <x:v>1951</x:v>
      </x:c>
      <x:c r="G602" s="3" t="s">
        <x:v>1020</x:v>
      </x:c>
    </x:row>
    <x:row r="603">
      <x:c r="A603" s="3" t="s">
        <x:v>1952</x:v>
      </x:c>
      <x:c r="B603" s="3" t="s">
        <x:v>1953</x:v>
      </x:c>
      <x:c r="C603" s="3" t="s">
        <x:v>1954</x:v>
      </x:c>
      <x:c r="D603" s="4" t="s">
        <x:v>1955</x:v>
      </x:c>
      <x:c r="E603" s="4"/>
      <x:c r="F603" s="4" t="s">
        <x:v>1956</x:v>
      </x:c>
      <x:c r="G603" s="3" t="s">
        <x:v>1020</x:v>
      </x:c>
    </x:row>
    <x:row r="604">
      <x:c r="A604" s="3" t="s">
        <x:v>1957</x:v>
      </x:c>
      <x:c r="B604" s="3" t="s">
        <x:v>1953</x:v>
      </x:c>
      <x:c r="C604" s="3" t="s">
        <x:v>1958</x:v>
      </x:c>
      <x:c r="D604" s="4" t="s">
        <x:v>1959</x:v>
      </x:c>
      <x:c r="E604" s="4"/>
      <x:c r="F604" s="4" t="s">
        <x:v>1960</x:v>
      </x:c>
      <x:c r="G604" s="3" t="s">
        <x:v>1020</x:v>
      </x:c>
    </x:row>
    <x:row r="605">
      <x:c r="A605" s="3" t="s">
        <x:v>1961</x:v>
      </x:c>
      <x:c r="B605" s="3" t="s">
        <x:v>1953</x:v>
      </x:c>
      <x:c r="C605" s="3" t="s">
        <x:v>1128</x:v>
      </x:c>
      <x:c r="D605" s="4" t="s">
        <x:v>1962</x:v>
      </x:c>
      <x:c r="E605" s="4"/>
      <x:c r="F605" s="4" t="s">
        <x:v>1130</x:v>
      </x:c>
      <x:c r="G605" s="3" t="s">
        <x:v>1020</x:v>
      </x:c>
    </x:row>
    <x:row r="606">
      <x:c r="A606" s="3" t="s">
        <x:v>1963</x:v>
      </x:c>
      <x:c r="B606" s="3" t="s">
        <x:v>1953</x:v>
      </x:c>
      <x:c r="C606" s="3" t="s">
        <x:v>1964</x:v>
      </x:c>
      <x:c r="D606" s="4" t="s">
        <x:v>1965</x:v>
      </x:c>
      <x:c r="E606" s="4"/>
      <x:c r="F606" s="4" t="s">
        <x:v>1966</x:v>
      </x:c>
      <x:c r="G606" s="3" t="s">
        <x:v>1020</x:v>
      </x:c>
    </x:row>
    <x:row r="607">
      <x:c r="A607" s="3" t="s">
        <x:v>1967</x:v>
      </x:c>
      <x:c r="B607" s="3" t="s">
        <x:v>1953</x:v>
      </x:c>
      <x:c r="C607" s="3" t="s">
        <x:v>1968</x:v>
      </x:c>
      <x:c r="D607" s="4" t="s">
        <x:v>1969</x:v>
      </x:c>
      <x:c r="E607" s="4"/>
      <x:c r="F607" s="4" t="s">
        <x:v>1970</x:v>
      </x:c>
      <x:c r="G607" s="3" t="s">
        <x:v>1020</x:v>
      </x:c>
    </x:row>
    <x:row r="608">
      <x:c r="A608" s="3" t="s">
        <x:v>1971</x:v>
      </x:c>
      <x:c r="B608" s="3" t="s">
        <x:v>1953</x:v>
      </x:c>
      <x:c r="C608" s="3" t="s">
        <x:v>1972</x:v>
      </x:c>
      <x:c r="D608" s="4" t="s">
        <x:v>1973</x:v>
      </x:c>
      <x:c r="E608" s="4"/>
      <x:c r="F608" s="4" t="s">
        <x:v>1974</x:v>
      </x:c>
      <x:c r="G608" s="3" t="s">
        <x:v>1020</x:v>
      </x:c>
    </x:row>
    <x:row r="609">
      <x:c r="A609" s="3" t="s">
        <x:v>1975</x:v>
      </x:c>
      <x:c r="B609" s="3" t="s">
        <x:v>1953</x:v>
      </x:c>
      <x:c r="C609" s="3" t="s">
        <x:v>1016</x:v>
      </x:c>
      <x:c r="D609" s="4" t="s">
        <x:v>1976</x:v>
      </x:c>
      <x:c r="E609" s="4"/>
      <x:c r="F609" s="4" t="s">
        <x:v>1019</x:v>
      </x:c>
      <x:c r="G609" s="3" t="s">
        <x:v>1020</x:v>
      </x:c>
    </x:row>
    <x:row r="610">
      <x:c r="A610" s="3" t="s">
        <x:v>1977</x:v>
      </x:c>
      <x:c r="B610" s="3" t="s">
        <x:v>1953</x:v>
      </x:c>
      <x:c r="C610" s="3" t="s">
        <x:v>1978</x:v>
      </x:c>
      <x:c r="D610" s="4" t="s">
        <x:v>1979</x:v>
      </x:c>
      <x:c r="E610" s="4"/>
      <x:c r="F610" s="4" t="s">
        <x:v>1980</x:v>
      </x:c>
      <x:c r="G610" s="3" t="s">
        <x:v>1020</x:v>
      </x:c>
    </x:row>
    <x:row r="611">
      <x:c r="A611" s="3" t="s">
        <x:v>1981</x:v>
      </x:c>
      <x:c r="B611" s="3" t="s">
        <x:v>1953</x:v>
      </x:c>
      <x:c r="C611" s="3" t="s">
        <x:v>1982</x:v>
      </x:c>
      <x:c r="D611" s="4" t="s">
        <x:v>1983</x:v>
      </x:c>
      <x:c r="E611" s="4"/>
      <x:c r="F611" s="4" t="s">
        <x:v>1984</x:v>
      </x:c>
      <x:c r="G611" s="3" t="s">
        <x:v>1020</x:v>
      </x:c>
    </x:row>
    <x:row r="612">
      <x:c r="A612" s="3" t="s">
        <x:v>1985</x:v>
      </x:c>
      <x:c r="B612" s="3" t="s">
        <x:v>1953</x:v>
      </x:c>
      <x:c r="C612" s="3" t="s">
        <x:v>1180</x:v>
      </x:c>
      <x:c r="D612" s="4" t="s">
        <x:v>1986</x:v>
      </x:c>
      <x:c r="E612" s="4"/>
      <x:c r="F612" s="4" t="s">
        <x:v>1182</x:v>
      </x:c>
      <x:c r="G612" s="3" t="s">
        <x:v>1020</x:v>
      </x:c>
    </x:row>
    <x:row r="613">
      <x:c r="A613" s="3" t="s">
        <x:v>1987</x:v>
      </x:c>
      <x:c r="B613" s="3" t="s">
        <x:v>1953</x:v>
      </x:c>
      <x:c r="C613" s="3" t="s">
        <x:v>1988</x:v>
      </x:c>
      <x:c r="D613" s="4" t="s">
        <x:v>1989</x:v>
      </x:c>
      <x:c r="E613" s="4"/>
      <x:c r="F613" s="4" t="s">
        <x:v>1990</x:v>
      </x:c>
      <x:c r="G613" s="3" t="s">
        <x:v>1020</x:v>
      </x:c>
    </x:row>
    <x:row r="614">
      <x:c r="A614" s="3" t="s">
        <x:v>1991</x:v>
      </x:c>
      <x:c r="B614" s="3" t="s">
        <x:v>1953</x:v>
      </x:c>
      <x:c r="C614" s="3" t="s">
        <x:v>1212</x:v>
      </x:c>
      <x:c r="D614" s="4" t="s">
        <x:v>1976</x:v>
      </x:c>
      <x:c r="E614" s="4"/>
      <x:c r="F614" s="4" t="s">
        <x:v>1214</x:v>
      </x:c>
      <x:c r="G614" s="3" t="s">
        <x:v>1020</x:v>
      </x:c>
    </x:row>
    <x:row r="615">
      <x:c r="A615" s="3" t="s">
        <x:v>1992</x:v>
      </x:c>
      <x:c r="B615" s="3" t="s">
        <x:v>1953</x:v>
      </x:c>
      <x:c r="C615" s="3" t="s">
        <x:v>1993</x:v>
      </x:c>
      <x:c r="D615" s="4" t="s">
        <x:v>1994</x:v>
      </x:c>
      <x:c r="E615" s="4"/>
      <x:c r="F615" s="4" t="s">
        <x:v>1995</x:v>
      </x:c>
      <x:c r="G615" s="3" t="s">
        <x:v>1020</x:v>
      </x:c>
    </x:row>
    <x:row r="616">
      <x:c r="A616" s="3" t="s">
        <x:v>1996</x:v>
      </x:c>
      <x:c r="B616" s="3" t="s">
        <x:v>1953</x:v>
      </x:c>
      <x:c r="C616" s="3" t="s">
        <x:v>1997</x:v>
      </x:c>
      <x:c r="D616" s="4" t="s">
        <x:v>1998</x:v>
      </x:c>
      <x:c r="E616" s="4"/>
      <x:c r="F616" s="4" t="s">
        <x:v>1999</x:v>
      </x:c>
      <x:c r="G616" s="3" t="s">
        <x:v>1020</x:v>
      </x:c>
    </x:row>
    <x:row r="617">
      <x:c r="A617" s="3" t="s">
        <x:v>2000</x:v>
      </x:c>
      <x:c r="B617" s="3" t="s">
        <x:v>1953</x:v>
      </x:c>
      <x:c r="C617" s="3" t="s">
        <x:v>2001</x:v>
      </x:c>
      <x:c r="D617" s="4" t="s">
        <x:v>1983</x:v>
      </x:c>
      <x:c r="E617" s="4"/>
      <x:c r="F617" s="4" t="s">
        <x:v>2002</x:v>
      </x:c>
      <x:c r="G617" s="3" t="s">
        <x:v>1020</x:v>
      </x:c>
    </x:row>
    <x:row r="618">
      <x:c r="A618" s="3" t="s">
        <x:v>2003</x:v>
      </x:c>
      <x:c r="B618" s="3" t="s">
        <x:v>1953</x:v>
      </x:c>
      <x:c r="C618" s="3" t="s">
        <x:v>2004</x:v>
      </x:c>
      <x:c r="D618" s="4" t="s">
        <x:v>1989</x:v>
      </x:c>
      <x:c r="E618" s="4"/>
      <x:c r="F618" s="4" t="s">
        <x:v>2005</x:v>
      </x:c>
      <x:c r="G618" s="3" t="s">
        <x:v>1020</x:v>
      </x:c>
    </x:row>
    <x:row r="619">
      <x:c r="A619" s="3" t="s">
        <x:v>2006</x:v>
      </x:c>
      <x:c r="B619" s="3" t="s">
        <x:v>1953</x:v>
      </x:c>
      <x:c r="C619" s="3" t="s">
        <x:v>2007</x:v>
      </x:c>
      <x:c r="D619" s="4" t="s">
        <x:v>2008</x:v>
      </x:c>
      <x:c r="E619" s="4"/>
      <x:c r="F619" s="4" t="s">
        <x:v>2009</x:v>
      </x:c>
      <x:c r="G619" s="3" t="s">
        <x:v>1020</x:v>
      </x:c>
    </x:row>
    <x:row r="620">
      <x:c r="A620" s="3" t="s">
        <x:v>2010</x:v>
      </x:c>
      <x:c r="B620" s="3" t="s">
        <x:v>1953</x:v>
      </x:c>
      <x:c r="C620" s="3" t="s">
        <x:v>1022</x:v>
      </x:c>
      <x:c r="D620" s="4" t="s">
        <x:v>2011</x:v>
      </x:c>
      <x:c r="E620" s="4"/>
      <x:c r="F620" s="4" t="s">
        <x:v>1024</x:v>
      </x:c>
      <x:c r="G620" s="3" t="s">
        <x:v>1020</x:v>
      </x:c>
    </x:row>
    <x:row r="621">
      <x:c r="A621" s="3" t="s">
        <x:v>2012</x:v>
      </x:c>
      <x:c r="B621" s="3" t="s">
        <x:v>1953</x:v>
      </x:c>
      <x:c r="C621" s="3" t="s">
        <x:v>2013</x:v>
      </x:c>
      <x:c r="D621" s="4" t="s">
        <x:v>2014</x:v>
      </x:c>
      <x:c r="E621" s="4"/>
      <x:c r="F621" s="4" t="s">
        <x:v>2015</x:v>
      </x:c>
      <x:c r="G621" s="3" t="s">
        <x:v>1020</x:v>
      </x:c>
    </x:row>
    <x:row r="622">
      <x:c r="A622" s="3" t="s">
        <x:v>2016</x:v>
      </x:c>
      <x:c r="B622" s="3" t="s">
        <x:v>1953</x:v>
      </x:c>
      <x:c r="C622" s="3" t="s">
        <x:v>2017</x:v>
      </x:c>
      <x:c r="D622" s="4" t="s">
        <x:v>2018</x:v>
      </x:c>
      <x:c r="E622" s="4"/>
      <x:c r="F622" s="4" t="s">
        <x:v>2019</x:v>
      </x:c>
      <x:c r="G622" s="3" t="s">
        <x:v>1020</x:v>
      </x:c>
    </x:row>
    <x:row r="623">
      <x:c r="A623" s="3" t="s">
        <x:v>2020</x:v>
      </x:c>
      <x:c r="B623" s="3" t="s">
        <x:v>1953</x:v>
      </x:c>
      <x:c r="C623" s="3" t="s">
        <x:v>1248</x:v>
      </x:c>
      <x:c r="D623" s="4" t="s">
        <x:v>2021</x:v>
      </x:c>
      <x:c r="E623" s="4"/>
      <x:c r="F623" s="4" t="s">
        <x:v>1250</x:v>
      </x:c>
      <x:c r="G623" s="3" t="s">
        <x:v>1020</x:v>
      </x:c>
    </x:row>
    <x:row r="624">
      <x:c r="A624" s="3" t="s">
        <x:v>2022</x:v>
      </x:c>
      <x:c r="B624" s="3" t="s">
        <x:v>1953</x:v>
      </x:c>
      <x:c r="C624" s="3" t="s">
        <x:v>2023</x:v>
      </x:c>
      <x:c r="D624" s="4" t="s">
        <x:v>2024</x:v>
      </x:c>
      <x:c r="E624" s="4"/>
      <x:c r="F624" s="4" t="s">
        <x:v>2025</x:v>
      </x:c>
      <x:c r="G624" s="3" t="s">
        <x:v>1020</x:v>
      </x:c>
    </x:row>
    <x:row r="625">
      <x:c r="A625" s="3" t="s">
        <x:v>2026</x:v>
      </x:c>
      <x:c r="B625" s="3" t="s">
        <x:v>1953</x:v>
      </x:c>
      <x:c r="C625" s="3" t="s">
        <x:v>2027</x:v>
      </x:c>
      <x:c r="D625" s="4" t="s">
        <x:v>2028</x:v>
      </x:c>
      <x:c r="E625" s="4"/>
      <x:c r="F625" s="4" t="s">
        <x:v>2029</x:v>
      </x:c>
      <x:c r="G625" s="3" t="s">
        <x:v>1020</x:v>
      </x:c>
    </x:row>
    <x:row r="626">
      <x:c r="A626" s="3" t="s">
        <x:v>2030</x:v>
      </x:c>
      <x:c r="B626" s="3" t="s">
        <x:v>1953</x:v>
      </x:c>
      <x:c r="C626" s="3" t="s">
        <x:v>2031</x:v>
      </x:c>
      <x:c r="D626" s="4" t="s">
        <x:v>2032</x:v>
      </x:c>
      <x:c r="E626" s="4"/>
      <x:c r="F626" s="4" t="s">
        <x:v>2033</x:v>
      </x:c>
      <x:c r="G626" s="3" t="s">
        <x:v>1020</x:v>
      </x:c>
    </x:row>
    <x:row r="627">
      <x:c r="A627" s="3" t="s">
        <x:v>2034</x:v>
      </x:c>
      <x:c r="B627" s="3" t="s">
        <x:v>1953</x:v>
      </x:c>
      <x:c r="C627" s="3" t="s">
        <x:v>2035</x:v>
      </x:c>
      <x:c r="D627" s="4" t="s">
        <x:v>1983</x:v>
      </x:c>
      <x:c r="E627" s="4"/>
      <x:c r="F627" s="4" t="s">
        <x:v>2036</x:v>
      </x:c>
      <x:c r="G627" s="3" t="s">
        <x:v>1020</x:v>
      </x:c>
    </x:row>
    <x:row r="628">
      <x:c r="A628" s="3" t="s">
        <x:v>2037</x:v>
      </x:c>
      <x:c r="B628" s="3" t="s">
        <x:v>1953</x:v>
      </x:c>
      <x:c r="C628" s="3" t="s">
        <x:v>2038</x:v>
      </x:c>
      <x:c r="D628" s="4" t="s">
        <x:v>2039</x:v>
      </x:c>
      <x:c r="E628" s="4"/>
      <x:c r="F628" s="4" t="s">
        <x:v>2040</x:v>
      </x:c>
      <x:c r="G628" s="3" t="s">
        <x:v>1020</x:v>
      </x:c>
    </x:row>
    <x:row r="629">
      <x:c r="A629" s="3" t="s">
        <x:v>2041</x:v>
      </x:c>
      <x:c r="B629" s="3" t="s">
        <x:v>1953</x:v>
      </x:c>
      <x:c r="C629" s="3" t="s">
        <x:v>2042</x:v>
      </x:c>
      <x:c r="D629" s="4" t="s">
        <x:v>2043</x:v>
      </x:c>
      <x:c r="E629" s="4"/>
      <x:c r="F629" s="4" t="s">
        <x:v>2044</x:v>
      </x:c>
      <x:c r="G629" s="3" t="s">
        <x:v>1020</x:v>
      </x:c>
    </x:row>
    <x:row r="630">
      <x:c r="A630" s="3" t="s">
        <x:v>2045</x:v>
      </x:c>
      <x:c r="B630" s="3" t="s">
        <x:v>1953</x:v>
      </x:c>
      <x:c r="C630" s="3" t="s">
        <x:v>2046</x:v>
      </x:c>
      <x:c r="D630" s="4" t="s">
        <x:v>2047</x:v>
      </x:c>
      <x:c r="E630" s="4"/>
      <x:c r="F630" s="4" t="s">
        <x:v>2048</x:v>
      </x:c>
      <x:c r="G630" s="3" t="s">
        <x:v>1020</x:v>
      </x:c>
    </x:row>
    <x:row r="631">
      <x:c r="A631" s="3" t="s">
        <x:v>2049</x:v>
      </x:c>
      <x:c r="B631" s="3" t="s">
        <x:v>1953</x:v>
      </x:c>
      <x:c r="C631" s="3" t="s">
        <x:v>1292</x:v>
      </x:c>
      <x:c r="D631" s="4" t="s">
        <x:v>2050</x:v>
      </x:c>
      <x:c r="E631" s="4"/>
      <x:c r="F631" s="4" t="s">
        <x:v>1294</x:v>
      </x:c>
      <x:c r="G631" s="3" t="s">
        <x:v>1020</x:v>
      </x:c>
    </x:row>
    <x:row r="632">
      <x:c r="A632" s="3" t="s">
        <x:v>2051</x:v>
      </x:c>
      <x:c r="B632" s="3" t="s">
        <x:v>1953</x:v>
      </x:c>
      <x:c r="C632" s="3" t="s">
        <x:v>1026</x:v>
      </x:c>
      <x:c r="D632" s="4" t="s">
        <x:v>2052</x:v>
      </x:c>
      <x:c r="E632" s="4"/>
      <x:c r="F632" s="4" t="s">
        <x:v>1028</x:v>
      </x:c>
      <x:c r="G632" s="3" t="s">
        <x:v>1020</x:v>
      </x:c>
    </x:row>
    <x:row r="633">
      <x:c r="A633" s="3" t="s">
        <x:v>2053</x:v>
      </x:c>
      <x:c r="B633" s="3" t="s">
        <x:v>1953</x:v>
      </x:c>
      <x:c r="C633" s="3" t="s">
        <x:v>1300</x:v>
      </x:c>
      <x:c r="D633" s="4" t="s">
        <x:v>2054</x:v>
      </x:c>
      <x:c r="E633" s="4"/>
      <x:c r="F633" s="4" t="s">
        <x:v>1302</x:v>
      </x:c>
      <x:c r="G633" s="3" t="s">
        <x:v>1020</x:v>
      </x:c>
    </x:row>
    <x:row r="634">
      <x:c r="A634" s="3" t="s">
        <x:v>2055</x:v>
      </x:c>
      <x:c r="B634" s="3" t="s">
        <x:v>1953</x:v>
      </x:c>
      <x:c r="C634" s="3" t="s">
        <x:v>2056</x:v>
      </x:c>
      <x:c r="D634" s="4" t="s">
        <x:v>2057</x:v>
      </x:c>
      <x:c r="E634" s="4"/>
      <x:c r="F634" s="4" t="s">
        <x:v>2058</x:v>
      </x:c>
      <x:c r="G634" s="3" t="s">
        <x:v>1020</x:v>
      </x:c>
    </x:row>
    <x:row r="635">
      <x:c r="A635" s="3" t="s">
        <x:v>2059</x:v>
      </x:c>
      <x:c r="B635" s="3" t="s">
        <x:v>1953</x:v>
      </x:c>
      <x:c r="C635" s="3" t="s">
        <x:v>1316</x:v>
      </x:c>
      <x:c r="D635" s="4" t="s">
        <x:v>2060</x:v>
      </x:c>
      <x:c r="E635" s="4"/>
      <x:c r="F635" s="4" t="s">
        <x:v>1318</x:v>
      </x:c>
      <x:c r="G635" s="3" t="s">
        <x:v>1020</x:v>
      </x:c>
    </x:row>
    <x:row r="636">
      <x:c r="A636" s="3" t="s">
        <x:v>2061</x:v>
      </x:c>
      <x:c r="B636" s="3" t="s">
        <x:v>1953</x:v>
      </x:c>
      <x:c r="C636" s="3" t="s">
        <x:v>1030</x:v>
      </x:c>
      <x:c r="D636" s="4" t="s">
        <x:v>2062</x:v>
      </x:c>
      <x:c r="E636" s="4"/>
      <x:c r="F636" s="4" t="s">
        <x:v>1032</x:v>
      </x:c>
      <x:c r="G636" s="3" t="s">
        <x:v>1020</x:v>
      </x:c>
    </x:row>
    <x:row r="637">
      <x:c r="A637" s="3" t="s">
        <x:v>2063</x:v>
      </x:c>
      <x:c r="B637" s="3" t="s">
        <x:v>1953</x:v>
      </x:c>
      <x:c r="C637" s="3" t="s">
        <x:v>2064</x:v>
      </x:c>
      <x:c r="D637" s="4" t="s">
        <x:v>1983</x:v>
      </x:c>
      <x:c r="E637" s="4"/>
      <x:c r="F637" s="4" t="s">
        <x:v>2065</x:v>
      </x:c>
      <x:c r="G637" s="3" t="s">
        <x:v>1020</x:v>
      </x:c>
    </x:row>
    <x:row r="638">
      <x:c r="A638" s="3" t="s">
        <x:v>2066</x:v>
      </x:c>
      <x:c r="B638" s="3" t="s">
        <x:v>1953</x:v>
      </x:c>
      <x:c r="C638" s="3" t="s">
        <x:v>2067</x:v>
      </x:c>
      <x:c r="D638" s="4" t="s">
        <x:v>2068</x:v>
      </x:c>
      <x:c r="E638" s="4"/>
      <x:c r="F638" s="4" t="s">
        <x:v>2069</x:v>
      </x:c>
      <x:c r="G638" s="3" t="s">
        <x:v>1020</x:v>
      </x:c>
    </x:row>
    <x:row r="639">
      <x:c r="A639" s="3" t="s">
        <x:v>2070</x:v>
      </x:c>
      <x:c r="B639" s="3" t="s">
        <x:v>1953</x:v>
      </x:c>
      <x:c r="C639" s="3" t="s">
        <x:v>2071</x:v>
      </x:c>
      <x:c r="D639" s="4" t="s">
        <x:v>2072</x:v>
      </x:c>
      <x:c r="E639" s="4"/>
      <x:c r="F639" s="4" t="s">
        <x:v>2073</x:v>
      </x:c>
      <x:c r="G639" s="3" t="s">
        <x:v>1020</x:v>
      </x:c>
    </x:row>
    <x:row r="640">
      <x:c r="A640" s="3" t="s">
        <x:v>2074</x:v>
      </x:c>
      <x:c r="B640" s="3" t="s">
        <x:v>1953</x:v>
      </x:c>
      <x:c r="C640" s="3" t="s">
        <x:v>2075</x:v>
      </x:c>
      <x:c r="D640" s="4" t="s">
        <x:v>2076</x:v>
      </x:c>
      <x:c r="E640" s="4"/>
      <x:c r="F640" s="4" t="s">
        <x:v>2077</x:v>
      </x:c>
      <x:c r="G640" s="3" t="s">
        <x:v>1020</x:v>
      </x:c>
    </x:row>
    <x:row r="641">
      <x:c r="A641" s="3" t="s">
        <x:v>2078</x:v>
      </x:c>
      <x:c r="B641" s="3" t="s">
        <x:v>1953</x:v>
      </x:c>
      <x:c r="C641" s="3" t="s">
        <x:v>2079</x:v>
      </x:c>
      <x:c r="D641" s="4" t="s">
        <x:v>1983</x:v>
      </x:c>
      <x:c r="E641" s="4"/>
      <x:c r="F641" s="4" t="s">
        <x:v>2080</x:v>
      </x:c>
      <x:c r="G641" s="3" t="s">
        <x:v>1020</x:v>
      </x:c>
    </x:row>
    <x:row r="642">
      <x:c r="A642" s="3" t="s">
        <x:v>2081</x:v>
      </x:c>
      <x:c r="B642" s="3" t="s">
        <x:v>1953</x:v>
      </x:c>
      <x:c r="C642" s="3" t="s">
        <x:v>2082</x:v>
      </x:c>
      <x:c r="D642" s="4" t="s">
        <x:v>1983</x:v>
      </x:c>
      <x:c r="E642" s="4"/>
      <x:c r="F642" s="4" t="s">
        <x:v>2083</x:v>
      </x:c>
      <x:c r="G642" s="3" t="s">
        <x:v>1020</x:v>
      </x:c>
    </x:row>
    <x:row r="643">
      <x:c r="A643" s="3" t="s">
        <x:v>2084</x:v>
      </x:c>
      <x:c r="B643" s="3" t="s">
        <x:v>1953</x:v>
      </x:c>
      <x:c r="C643" s="3" t="s">
        <x:v>2085</x:v>
      </x:c>
      <x:c r="D643" s="4" t="s">
        <x:v>1983</x:v>
      </x:c>
      <x:c r="E643" s="4"/>
      <x:c r="F643" s="4" t="s">
        <x:v>2086</x:v>
      </x:c>
      <x:c r="G643" s="3" t="s">
        <x:v>1020</x:v>
      </x:c>
    </x:row>
    <x:row r="644">
      <x:c r="A644" s="3" t="s">
        <x:v>2087</x:v>
      </x:c>
      <x:c r="B644" s="3" t="s">
        <x:v>1953</x:v>
      </x:c>
      <x:c r="C644" s="3" t="s">
        <x:v>2088</x:v>
      </x:c>
      <x:c r="D644" s="4" t="s">
        <x:v>2089</x:v>
      </x:c>
      <x:c r="E644" s="4"/>
      <x:c r="F644" s="4" t="s">
        <x:v>2090</x:v>
      </x:c>
      <x:c r="G644" s="3" t="s">
        <x:v>1020</x:v>
      </x:c>
    </x:row>
    <x:row r="645">
      <x:c r="A645" s="3" t="s">
        <x:v>2091</x:v>
      </x:c>
      <x:c r="B645" s="3" t="s">
        <x:v>1953</x:v>
      </x:c>
      <x:c r="C645" s="3" t="s">
        <x:v>2092</x:v>
      </x:c>
      <x:c r="D645" s="4" t="s">
        <x:v>2093</x:v>
      </x:c>
      <x:c r="E645" s="4"/>
      <x:c r="F645" s="4" t="s">
        <x:v>2094</x:v>
      </x:c>
      <x:c r="G645" s="3" t="s">
        <x:v>1020</x:v>
      </x:c>
    </x:row>
    <x:row r="646">
      <x:c r="A646" s="3" t="s">
        <x:v>2095</x:v>
      </x:c>
      <x:c r="B646" s="3" t="s">
        <x:v>1953</x:v>
      </x:c>
      <x:c r="C646" s="3" t="s">
        <x:v>2096</x:v>
      </x:c>
      <x:c r="D646" s="4" t="s">
        <x:v>2097</x:v>
      </x:c>
      <x:c r="E646" s="4"/>
      <x:c r="F646" s="4" t="s">
        <x:v>2098</x:v>
      </x:c>
      <x:c r="G646" s="3" t="s">
        <x:v>1020</x:v>
      </x:c>
    </x:row>
    <x:row r="647">
      <x:c r="A647" s="3" t="s">
        <x:v>2099</x:v>
      </x:c>
      <x:c r="B647" s="3" t="s">
        <x:v>1953</x:v>
      </x:c>
      <x:c r="C647" s="3" t="s">
        <x:v>1392</x:v>
      </x:c>
      <x:c r="D647" s="4" t="s">
        <x:v>1979</x:v>
      </x:c>
      <x:c r="E647" s="4"/>
      <x:c r="F647" s="4" t="s">
        <x:v>1394</x:v>
      </x:c>
      <x:c r="G647" s="3" t="s">
        <x:v>1020</x:v>
      </x:c>
    </x:row>
    <x:row r="648">
      <x:c r="A648" s="3" t="s">
        <x:v>2100</x:v>
      </x:c>
      <x:c r="B648" s="3" t="s">
        <x:v>1953</x:v>
      </x:c>
      <x:c r="C648" s="3" t="s">
        <x:v>2101</x:v>
      </x:c>
      <x:c r="D648" s="4" t="s">
        <x:v>2102</x:v>
      </x:c>
      <x:c r="E648" s="4"/>
      <x:c r="F648" s="4" t="s">
        <x:v>2103</x:v>
      </x:c>
      <x:c r="G648" s="3" t="s">
        <x:v>1020</x:v>
      </x:c>
    </x:row>
    <x:row r="649">
      <x:c r="A649" s="3" t="s">
        <x:v>2104</x:v>
      </x:c>
      <x:c r="B649" s="3" t="s">
        <x:v>1953</x:v>
      </x:c>
      <x:c r="C649" s="3" t="s">
        <x:v>1396</x:v>
      </x:c>
      <x:c r="D649" s="4" t="s">
        <x:v>2105</x:v>
      </x:c>
      <x:c r="E649" s="4"/>
      <x:c r="F649" s="4" t="s">
        <x:v>1398</x:v>
      </x:c>
      <x:c r="G649" s="3" t="s">
        <x:v>1020</x:v>
      </x:c>
    </x:row>
    <x:row r="650">
      <x:c r="A650" s="3" t="s">
        <x:v>2106</x:v>
      </x:c>
      <x:c r="B650" s="3" t="s">
        <x:v>1953</x:v>
      </x:c>
      <x:c r="C650" s="3" t="s">
        <x:v>1034</x:v>
      </x:c>
      <x:c r="D650" s="4" t="s">
        <x:v>2107</x:v>
      </x:c>
      <x:c r="E650" s="4"/>
      <x:c r="F650" s="4" t="s">
        <x:v>1036</x:v>
      </x:c>
      <x:c r="G650" s="3" t="s">
        <x:v>1020</x:v>
      </x:c>
    </x:row>
    <x:row r="651">
      <x:c r="A651" s="3" t="s">
        <x:v>2108</x:v>
      </x:c>
      <x:c r="B651" s="3" t="s">
        <x:v>1953</x:v>
      </x:c>
      <x:c r="C651" s="3" t="s">
        <x:v>1412</x:v>
      </x:c>
      <x:c r="D651" s="4" t="s">
        <x:v>2109</x:v>
      </x:c>
      <x:c r="E651" s="4"/>
      <x:c r="F651" s="4" t="s">
        <x:v>1414</x:v>
      </x:c>
      <x:c r="G651" s="3" t="s">
        <x:v>1020</x:v>
      </x:c>
    </x:row>
    <x:row r="652">
      <x:c r="A652" s="3" t="s">
        <x:v>2110</x:v>
      </x:c>
      <x:c r="B652" s="3" t="s">
        <x:v>1953</x:v>
      </x:c>
      <x:c r="C652" s="3" t="s">
        <x:v>2111</x:v>
      </x:c>
      <x:c r="D652" s="4" t="s">
        <x:v>2112</x:v>
      </x:c>
      <x:c r="E652" s="4"/>
      <x:c r="F652" s="4" t="s">
        <x:v>2113</x:v>
      </x:c>
      <x:c r="G652" s="3" t="s">
        <x:v>1020</x:v>
      </x:c>
    </x:row>
    <x:row r="653">
      <x:c r="A653" s="3" t="s">
        <x:v>2114</x:v>
      </x:c>
      <x:c r="B653" s="3" t="s">
        <x:v>1953</x:v>
      </x:c>
      <x:c r="C653" s="3" t="s">
        <x:v>2115</x:v>
      </x:c>
      <x:c r="D653" s="4" t="s">
        <x:v>2116</x:v>
      </x:c>
      <x:c r="E653" s="4"/>
      <x:c r="F653" s="4" t="s">
        <x:v>2117</x:v>
      </x:c>
      <x:c r="G653" s="3" t="s">
        <x:v>1020</x:v>
      </x:c>
    </x:row>
    <x:row r="654">
      <x:c r="A654" s="3" t="s">
        <x:v>2118</x:v>
      </x:c>
      <x:c r="B654" s="3" t="s">
        <x:v>1953</x:v>
      </x:c>
      <x:c r="C654" s="3" t="s">
        <x:v>2119</x:v>
      </x:c>
      <x:c r="D654" s="4" t="s">
        <x:v>2120</x:v>
      </x:c>
      <x:c r="E654" s="4"/>
      <x:c r="F654" s="4" t="s">
        <x:v>2121</x:v>
      </x:c>
      <x:c r="G654" s="3" t="s">
        <x:v>1020</x:v>
      </x:c>
    </x:row>
    <x:row r="655">
      <x:c r="A655" s="3" t="s">
        <x:v>2122</x:v>
      </x:c>
      <x:c r="B655" s="3" t="s">
        <x:v>1953</x:v>
      </x:c>
      <x:c r="C655" s="3" t="s">
        <x:v>1444</x:v>
      </x:c>
      <x:c r="D655" s="4" t="s">
        <x:v>1983</x:v>
      </x:c>
      <x:c r="E655" s="4"/>
      <x:c r="F655" s="4" t="s">
        <x:v>1446</x:v>
      </x:c>
      <x:c r="G655" s="3" t="s">
        <x:v>1020</x:v>
      </x:c>
    </x:row>
    <x:row r="656">
      <x:c r="A656" s="3" t="s">
        <x:v>2123</x:v>
      </x:c>
      <x:c r="B656" s="3" t="s">
        <x:v>1953</x:v>
      </x:c>
      <x:c r="C656" s="3" t="s">
        <x:v>1452</x:v>
      </x:c>
      <x:c r="D656" s="4" t="s">
        <x:v>2124</x:v>
      </x:c>
      <x:c r="E656" s="4"/>
      <x:c r="F656" s="4" t="s">
        <x:v>1454</x:v>
      </x:c>
      <x:c r="G656" s="3" t="s">
        <x:v>1020</x:v>
      </x:c>
    </x:row>
    <x:row r="657">
      <x:c r="A657" s="3" t="s">
        <x:v>2125</x:v>
      </x:c>
      <x:c r="B657" s="3" t="s">
        <x:v>1953</x:v>
      </x:c>
      <x:c r="C657" s="3" t="s">
        <x:v>2126</x:v>
      </x:c>
      <x:c r="D657" s="4" t="s">
        <x:v>1983</x:v>
      </x:c>
      <x:c r="E657" s="4"/>
      <x:c r="F657" s="4" t="s">
        <x:v>2127</x:v>
      </x:c>
      <x:c r="G657" s="3" t="s">
        <x:v>1020</x:v>
      </x:c>
    </x:row>
    <x:row r="658">
      <x:c r="A658" s="3" t="s">
        <x:v>2128</x:v>
      </x:c>
      <x:c r="B658" s="3" t="s">
        <x:v>1953</x:v>
      </x:c>
      <x:c r="C658" s="3" t="s">
        <x:v>1456</x:v>
      </x:c>
      <x:c r="D658" s="4" t="s">
        <x:v>2129</x:v>
      </x:c>
      <x:c r="E658" s="4"/>
      <x:c r="F658" s="4" t="s">
        <x:v>1458</x:v>
      </x:c>
      <x:c r="G658" s="3" t="s">
        <x:v>1020</x:v>
      </x:c>
    </x:row>
    <x:row r="659">
      <x:c r="A659" s="3" t="s">
        <x:v>2130</x:v>
      </x:c>
      <x:c r="B659" s="3" t="s">
        <x:v>1953</x:v>
      </x:c>
      <x:c r="C659" s="3" t="s">
        <x:v>1754</x:v>
      </x:c>
      <x:c r="D659" s="4" t="s">
        <x:v>2131</x:v>
      </x:c>
      <x:c r="E659" s="4"/>
      <x:c r="F659" s="4" t="s">
        <x:v>1756</x:v>
      </x:c>
      <x:c r="G659" s="3" t="s">
        <x:v>1020</x:v>
      </x:c>
    </x:row>
    <x:row r="660">
      <x:c r="A660" s="3" t="s">
        <x:v>2132</x:v>
      </x:c>
      <x:c r="B660" s="3" t="s">
        <x:v>1953</x:v>
      </x:c>
      <x:c r="C660" s="3" t="s">
        <x:v>2133</x:v>
      </x:c>
      <x:c r="D660" s="4" t="s">
        <x:v>1959</x:v>
      </x:c>
      <x:c r="E660" s="4"/>
      <x:c r="F660" s="4" t="s">
        <x:v>2134</x:v>
      </x:c>
      <x:c r="G660" s="3" t="s">
        <x:v>1020</x:v>
      </x:c>
    </x:row>
    <x:row r="661">
      <x:c r="A661" s="3" t="s">
        <x:v>2135</x:v>
      </x:c>
      <x:c r="B661" s="3" t="s">
        <x:v>1953</x:v>
      </x:c>
      <x:c r="C661" s="3" t="s">
        <x:v>2136</x:v>
      </x:c>
      <x:c r="D661" s="4" t="s">
        <x:v>1983</x:v>
      </x:c>
      <x:c r="E661" s="4"/>
      <x:c r="F661" s="4" t="s">
        <x:v>2137</x:v>
      </x:c>
      <x:c r="G661" s="3" t="s">
        <x:v>1020</x:v>
      </x:c>
    </x:row>
    <x:row r="662">
      <x:c r="A662" s="3" t="s">
        <x:v>2138</x:v>
      </x:c>
      <x:c r="B662" s="3" t="s">
        <x:v>1953</x:v>
      </x:c>
      <x:c r="C662" s="3" t="s">
        <x:v>2139</x:v>
      </x:c>
      <x:c r="D662" s="4" t="s">
        <x:v>2140</x:v>
      </x:c>
      <x:c r="E662" s="4"/>
      <x:c r="F662" s="4" t="s">
        <x:v>2141</x:v>
      </x:c>
      <x:c r="G662" s="3" t="s">
        <x:v>1020</x:v>
      </x:c>
    </x:row>
    <x:row r="663">
      <x:c r="A663" s="3" t="s">
        <x:v>2142</x:v>
      </x:c>
      <x:c r="B663" s="3" t="s">
        <x:v>1953</x:v>
      </x:c>
      <x:c r="C663" s="3" t="s">
        <x:v>1038</x:v>
      </x:c>
      <x:c r="D663" s="4" t="s">
        <x:v>2143</x:v>
      </x:c>
      <x:c r="E663" s="4"/>
      <x:c r="F663" s="4" t="s">
        <x:v>1040</x:v>
      </x:c>
      <x:c r="G663" s="3" t="s">
        <x:v>1020</x:v>
      </x:c>
    </x:row>
    <x:row r="664">
      <x:c r="A664" s="3" t="s">
        <x:v>2144</x:v>
      </x:c>
      <x:c r="B664" s="3" t="s">
        <x:v>1953</x:v>
      </x:c>
      <x:c r="C664" s="3" t="s">
        <x:v>1042</x:v>
      </x:c>
      <x:c r="D664" s="4" t="s">
        <x:v>2145</x:v>
      </x:c>
      <x:c r="E664" s="4"/>
      <x:c r="F664" s="4" t="s">
        <x:v>1044</x:v>
      </x:c>
      <x:c r="G664" s="3" t="s">
        <x:v>1020</x:v>
      </x:c>
    </x:row>
    <x:row r="665">
      <x:c r="A665" s="3" t="s">
        <x:v>2146</x:v>
      </x:c>
      <x:c r="B665" s="3" t="s">
        <x:v>1953</x:v>
      </x:c>
      <x:c r="C665" s="3" t="s">
        <x:v>2147</x:v>
      </x:c>
      <x:c r="D665" s="4" t="s">
        <x:v>2148</x:v>
      </x:c>
      <x:c r="E665" s="4"/>
      <x:c r="F665" s="4" t="s">
        <x:v>2149</x:v>
      </x:c>
      <x:c r="G665" s="3" t="s">
        <x:v>1020</x:v>
      </x:c>
    </x:row>
    <x:row r="666">
      <x:c r="A666" s="3" t="s">
        <x:v>2150</x:v>
      </x:c>
      <x:c r="B666" s="3" t="s">
        <x:v>1953</x:v>
      </x:c>
      <x:c r="C666" s="3" t="s">
        <x:v>2151</x:v>
      </x:c>
      <x:c r="D666" s="4" t="s">
        <x:v>1983</x:v>
      </x:c>
      <x:c r="E666" s="4"/>
      <x:c r="F666" s="4" t="s">
        <x:v>2152</x:v>
      </x:c>
      <x:c r="G666" s="3" t="s">
        <x:v>1020</x:v>
      </x:c>
    </x:row>
    <x:row r="667">
      <x:c r="A667" s="3" t="s">
        <x:v>2153</x:v>
      </x:c>
      <x:c r="B667" s="3" t="s">
        <x:v>1953</x:v>
      </x:c>
      <x:c r="C667" s="3" t="s">
        <x:v>2154</x:v>
      </x:c>
      <x:c r="D667" s="4" t="s">
        <x:v>2155</x:v>
      </x:c>
      <x:c r="E667" s="4"/>
      <x:c r="F667" s="4" t="s">
        <x:v>2156</x:v>
      </x:c>
      <x:c r="G667" s="3" t="s">
        <x:v>1020</x:v>
      </x:c>
    </x:row>
    <x:row r="668">
      <x:c r="A668" s="3" t="s">
        <x:v>2157</x:v>
      </x:c>
      <x:c r="B668" s="3" t="s">
        <x:v>1953</x:v>
      </x:c>
      <x:c r="C668" s="3" t="s">
        <x:v>2158</x:v>
      </x:c>
      <x:c r="D668" s="4" t="s">
        <x:v>2159</x:v>
      </x:c>
      <x:c r="E668" s="4"/>
      <x:c r="F668" s="4" t="s">
        <x:v>2160</x:v>
      </x:c>
      <x:c r="G668" s="3" t="s">
        <x:v>1020</x:v>
      </x:c>
    </x:row>
    <x:row r="669">
      <x:c r="A669" s="3" t="s">
        <x:v>2161</x:v>
      </x:c>
      <x:c r="B669" s="3" t="s">
        <x:v>1953</x:v>
      </x:c>
      <x:c r="C669" s="3" t="s">
        <x:v>1560</x:v>
      </x:c>
      <x:c r="D669" s="4" t="s">
        <x:v>2162</x:v>
      </x:c>
      <x:c r="E669" s="4"/>
      <x:c r="F669" s="4" t="s">
        <x:v>1562</x:v>
      </x:c>
      <x:c r="G669" s="3" t="s">
        <x:v>1020</x:v>
      </x:c>
    </x:row>
    <x:row r="670">
      <x:c r="A670" s="3" t="s">
        <x:v>2163</x:v>
      </x:c>
      <x:c r="B670" s="3" t="s">
        <x:v>1953</x:v>
      </x:c>
      <x:c r="C670" s="3" t="s">
        <x:v>1568</x:v>
      </x:c>
      <x:c r="D670" s="4" t="s">
        <x:v>2164</x:v>
      </x:c>
      <x:c r="E670" s="4"/>
      <x:c r="F670" s="4" t="s">
        <x:v>1570</x:v>
      </x:c>
      <x:c r="G670" s="3" t="s">
        <x:v>1020</x:v>
      </x:c>
    </x:row>
    <x:row r="671">
      <x:c r="A671" s="3" t="s">
        <x:v>2165</x:v>
      </x:c>
      <x:c r="B671" s="3" t="s">
        <x:v>1953</x:v>
      </x:c>
      <x:c r="C671" s="3" t="s">
        <x:v>2166</x:v>
      </x:c>
      <x:c r="D671" s="4" t="s">
        <x:v>2011</x:v>
      </x:c>
      <x:c r="E671" s="4"/>
      <x:c r="F671" s="4" t="s">
        <x:v>2167</x:v>
      </x:c>
      <x:c r="G671" s="3" t="s">
        <x:v>1020</x:v>
      </x:c>
    </x:row>
    <x:row r="672">
      <x:c r="A672" s="3" t="s">
        <x:v>2168</x:v>
      </x:c>
      <x:c r="B672" s="3" t="s">
        <x:v>1953</x:v>
      </x:c>
      <x:c r="C672" s="3" t="s">
        <x:v>2169</x:v>
      </x:c>
      <x:c r="D672" s="4" t="s">
        <x:v>1983</x:v>
      </x:c>
      <x:c r="E672" s="4"/>
      <x:c r="F672" s="4" t="s">
        <x:v>2170</x:v>
      </x:c>
      <x:c r="G672" s="3" t="s">
        <x:v>1020</x:v>
      </x:c>
    </x:row>
    <x:row r="673">
      <x:c r="A673" s="3" t="s">
        <x:v>2171</x:v>
      </x:c>
      <x:c r="B673" s="3" t="s">
        <x:v>1953</x:v>
      </x:c>
      <x:c r="C673" s="3" t="s">
        <x:v>2172</x:v>
      </x:c>
      <x:c r="D673" s="4" t="s">
        <x:v>2173</x:v>
      </x:c>
      <x:c r="E673" s="4"/>
      <x:c r="F673" s="4" t="s">
        <x:v>2174</x:v>
      </x:c>
      <x:c r="G673" s="3" t="s">
        <x:v>1020</x:v>
      </x:c>
    </x:row>
    <x:row r="674">
      <x:c r="A674" s="3" t="s">
        <x:v>2175</x:v>
      </x:c>
      <x:c r="B674" s="3" t="s">
        <x:v>1953</x:v>
      </x:c>
      <x:c r="C674" s="3" t="s">
        <x:v>2176</x:v>
      </x:c>
      <x:c r="D674" s="4" t="s">
        <x:v>2177</x:v>
      </x:c>
      <x:c r="E674" s="4"/>
      <x:c r="F674" s="4" t="s">
        <x:v>2178</x:v>
      </x:c>
      <x:c r="G674" s="3" t="s">
        <x:v>1020</x:v>
      </x:c>
    </x:row>
    <x:row r="675">
      <x:c r="A675" s="3" t="s">
        <x:v>2179</x:v>
      </x:c>
      <x:c r="B675" s="3" t="s">
        <x:v>1953</x:v>
      </x:c>
      <x:c r="C675" s="3" t="s">
        <x:v>2180</x:v>
      </x:c>
      <x:c r="D675" s="4" t="s">
        <x:v>2181</x:v>
      </x:c>
      <x:c r="E675" s="4"/>
      <x:c r="F675" s="4" t="s">
        <x:v>2182</x:v>
      </x:c>
      <x:c r="G675" s="3" t="s">
        <x:v>1020</x:v>
      </x:c>
    </x:row>
    <x:row r="676">
      <x:c r="A676" s="3" t="s">
        <x:v>2183</x:v>
      </x:c>
      <x:c r="B676" s="3" t="s">
        <x:v>1953</x:v>
      </x:c>
      <x:c r="C676" s="3" t="s">
        <x:v>1584</x:v>
      </x:c>
      <x:c r="D676" s="4" t="s">
        <x:v>2184</x:v>
      </x:c>
      <x:c r="E676" s="4"/>
      <x:c r="F676" s="4" t="s">
        <x:v>1586</x:v>
      </x:c>
      <x:c r="G676" s="3" t="s">
        <x:v>1020</x:v>
      </x:c>
    </x:row>
    <x:row r="677">
      <x:c r="A677" s="3" t="s">
        <x:v>2185</x:v>
      </x:c>
      <x:c r="B677" s="3" t="s">
        <x:v>1953</x:v>
      </x:c>
      <x:c r="C677" s="3" t="s">
        <x:v>2186</x:v>
      </x:c>
      <x:c r="D677" s="4" t="s">
        <x:v>1983</x:v>
      </x:c>
      <x:c r="E677" s="4"/>
      <x:c r="F677" s="4" t="s">
        <x:v>2187</x:v>
      </x:c>
      <x:c r="G677" s="3" t="s">
        <x:v>1020</x:v>
      </x:c>
    </x:row>
    <x:row r="678">
      <x:c r="A678" s="3" t="s">
        <x:v>2188</x:v>
      </x:c>
      <x:c r="B678" s="3" t="s">
        <x:v>1953</x:v>
      </x:c>
      <x:c r="C678" s="3" t="s">
        <x:v>2189</x:v>
      </x:c>
      <x:c r="D678" s="4" t="s">
        <x:v>2190</x:v>
      </x:c>
      <x:c r="E678" s="4"/>
      <x:c r="F678" s="4" t="s">
        <x:v>2191</x:v>
      </x:c>
      <x:c r="G678" s="3" t="s">
        <x:v>1020</x:v>
      </x:c>
    </x:row>
    <x:row r="679">
      <x:c r="A679" s="3" t="s">
        <x:v>2192</x:v>
      </x:c>
      <x:c r="B679" s="3" t="s">
        <x:v>1953</x:v>
      </x:c>
      <x:c r="C679" s="3" t="s">
        <x:v>2193</x:v>
      </x:c>
      <x:c r="D679" s="4" t="s">
        <x:v>1983</x:v>
      </x:c>
      <x:c r="E679" s="4"/>
      <x:c r="F679" s="4" t="s">
        <x:v>2194</x:v>
      </x:c>
      <x:c r="G679" s="3" t="s">
        <x:v>1020</x:v>
      </x:c>
    </x:row>
    <x:row r="680">
      <x:c r="A680" s="3" t="s">
        <x:v>2195</x:v>
      </x:c>
      <x:c r="B680" s="3" t="s">
        <x:v>1953</x:v>
      </x:c>
      <x:c r="C680" s="3" t="s">
        <x:v>2196</x:v>
      </x:c>
      <x:c r="D680" s="4" t="s">
        <x:v>2197</x:v>
      </x:c>
      <x:c r="E680" s="4"/>
      <x:c r="F680" s="4" t="s">
        <x:v>2198</x:v>
      </x:c>
      <x:c r="G680" s="3" t="s">
        <x:v>1020</x:v>
      </x:c>
    </x:row>
    <x:row r="681">
      <x:c r="A681" s="3" t="s">
        <x:v>2199</x:v>
      </x:c>
      <x:c r="B681" s="3" t="s">
        <x:v>1953</x:v>
      </x:c>
      <x:c r="C681" s="3" t="s">
        <x:v>2200</x:v>
      </x:c>
      <x:c r="D681" s="4" t="s">
        <x:v>2201</x:v>
      </x:c>
      <x:c r="E681" s="4"/>
      <x:c r="F681" s="4" t="s">
        <x:v>2202</x:v>
      </x:c>
      <x:c r="G681" s="3" t="s">
        <x:v>1020</x:v>
      </x:c>
    </x:row>
    <x:row r="682">
      <x:c r="A682" s="3" t="s">
        <x:v>2203</x:v>
      </x:c>
      <x:c r="B682" s="3" t="s">
        <x:v>1953</x:v>
      </x:c>
      <x:c r="C682" s="3" t="s">
        <x:v>2204</x:v>
      </x:c>
      <x:c r="D682" s="4" t="s">
        <x:v>2205</x:v>
      </x:c>
      <x:c r="E682" s="4"/>
      <x:c r="F682" s="4" t="s">
        <x:v>2206</x:v>
      </x:c>
      <x:c r="G682" s="3" t="s">
        <x:v>1020</x:v>
      </x:c>
    </x:row>
    <x:row r="683" ht="30">
      <x:c r="A683" s="3" t="s">
        <x:v>2207</x:v>
      </x:c>
      <x:c r="B683" s="3" t="s">
        <x:v>2208</x:v>
      </x:c>
      <x:c r="C683" s="3" t="s">
        <x:v>1079</x:v>
      </x:c>
      <x:c r="D683" s="4" t="s">
        <x:v>2209</x:v>
      </x:c>
      <x:c r="E683" s="4" t="s">
        <x:v>2210</x:v>
      </x:c>
      <x:c r="F683" s="4" t="s">
        <x:v>2211</x:v>
      </x:c>
      <x:c r="G683" s="3" t="s">
        <x:v>14</x:v>
      </x:c>
    </x:row>
    <x:row r="684" ht="30">
      <x:c r="A684" s="3" t="s">
        <x:v>2212</x:v>
      </x:c>
      <x:c r="B684" s="3" t="s">
        <x:v>2208</x:v>
      </x:c>
      <x:c r="C684" s="3" t="s">
        <x:v>1734</x:v>
      </x:c>
      <x:c r="D684" s="4" t="s">
        <x:v>2209</x:v>
      </x:c>
      <x:c r="E684" s="4" t="s">
        <x:v>2213</x:v>
      </x:c>
      <x:c r="F684" s="4" t="s">
        <x:v>2214</x:v>
      </x:c>
      <x:c r="G684" s="3" t="s">
        <x:v>14</x:v>
      </x:c>
    </x:row>
    <x:row r="685" ht="45">
      <x:c r="A685" s="3" t="s">
        <x:v>2215</x:v>
      </x:c>
      <x:c r="B685" s="3" t="s">
        <x:v>2208</x:v>
      </x:c>
      <x:c r="C685" s="3" t="s">
        <x:v>1738</x:v>
      </x:c>
      <x:c r="D685" s="4" t="s">
        <x:v>2209</x:v>
      </x:c>
      <x:c r="E685" s="4" t="s">
        <x:v>2216</x:v>
      </x:c>
      <x:c r="F685" s="4" t="s">
        <x:v>2217</x:v>
      </x:c>
      <x:c r="G685" s="3" t="s">
        <x:v>14</x:v>
      </x:c>
    </x:row>
    <x:row r="686" ht="45">
      <x:c r="A686" s="3" t="s">
        <x:v>2218</x:v>
      </x:c>
      <x:c r="B686" s="3" t="s">
        <x:v>2208</x:v>
      </x:c>
      <x:c r="C686" s="3" t="s">
        <x:v>1364</x:v>
      </x:c>
      <x:c r="D686" s="4" t="s">
        <x:v>2209</x:v>
      </x:c>
      <x:c r="E686" s="4" t="s">
        <x:v>2219</x:v>
      </x:c>
      <x:c r="F686" s="4" t="s">
        <x:v>2220</x:v>
      </x:c>
      <x:c r="G686" s="3" t="s">
        <x:v>14</x:v>
      </x:c>
    </x:row>
    <x:row r="687" ht="45">
      <x:c r="A687" s="3" t="s">
        <x:v>2221</x:v>
      </x:c>
      <x:c r="B687" s="3" t="s">
        <x:v>2208</x:v>
      </x:c>
      <x:c r="C687" s="3" t="s">
        <x:v>1524</x:v>
      </x:c>
      <x:c r="D687" s="4" t="s">
        <x:v>2209</x:v>
      </x:c>
      <x:c r="E687" s="4" t="s">
        <x:v>2222</x:v>
      </x:c>
      <x:c r="F687" s="4" t="s">
        <x:v>2223</x:v>
      </x:c>
      <x:c r="G687" s="3" t="s">
        <x:v>14</x:v>
      </x:c>
    </x:row>
    <x:row r="688" ht="45">
      <x:c r="A688" s="3" t="s">
        <x:v>2224</x:v>
      </x:c>
      <x:c r="B688" s="3" t="s">
        <x:v>2208</x:v>
      </x:c>
      <x:c r="C688" s="3" t="s">
        <x:v>1520</x:v>
      </x:c>
      <x:c r="D688" s="4" t="s">
        <x:v>2209</x:v>
      </x:c>
      <x:c r="E688" s="4" t="s">
        <x:v>2225</x:v>
      </x:c>
      <x:c r="F688" s="4" t="s">
        <x:v>2226</x:v>
      </x:c>
      <x:c r="G688" s="3" t="s">
        <x:v>14</x:v>
      </x:c>
    </x:row>
    <x:row r="689" ht="30">
      <x:c r="A689" s="3" t="s">
        <x:v>2227</x:v>
      </x:c>
      <x:c r="B689" s="3" t="s">
        <x:v>2208</x:v>
      </x:c>
      <x:c r="C689" s="3" t="s">
        <x:v>1099</x:v>
      </x:c>
      <x:c r="D689" s="4" t="s">
        <x:v>2209</x:v>
      </x:c>
      <x:c r="E689" s="4" t="s">
        <x:v>2228</x:v>
      </x:c>
      <x:c r="F689" s="4" t="s">
        <x:v>2229</x:v>
      </x:c>
      <x:c r="G689" s="3" t="s">
        <x:v>14</x:v>
      </x:c>
    </x:row>
    <x:row r="690" ht="45">
      <x:c r="A690" s="3" t="s">
        <x:v>2230</x:v>
      </x:c>
      <x:c r="B690" s="3" t="s">
        <x:v>2208</x:v>
      </x:c>
      <x:c r="C690" s="3" t="s">
        <x:v>1746</x:v>
      </x:c>
      <x:c r="D690" s="4" t="s">
        <x:v>2209</x:v>
      </x:c>
      <x:c r="E690" s="4" t="s">
        <x:v>2231</x:v>
      </x:c>
      <x:c r="F690" s="4" t="s">
        <x:v>2232</x:v>
      </x:c>
      <x:c r="G690" s="3" t="s">
        <x:v>14</x:v>
      </x:c>
    </x:row>
    <x:row r="691" ht="30">
      <x:c r="A691" s="3" t="s">
        <x:v>2233</x:v>
      </x:c>
      <x:c r="B691" s="3" t="s">
        <x:v>2208</x:v>
      </x:c>
      <x:c r="C691" s="3" t="s">
        <x:v>2234</x:v>
      </x:c>
      <x:c r="D691" s="4" t="s">
        <x:v>2209</x:v>
      </x:c>
      <x:c r="E691" s="4" t="s">
        <x:v>2235</x:v>
      </x:c>
      <x:c r="F691" s="4" t="s">
        <x:v>2236</x:v>
      </x:c>
      <x:c r="G691" s="3" t="s">
        <x:v>1020</x:v>
      </x:c>
    </x:row>
    <x:row r="692" ht="30">
      <x:c r="A692" s="3" t="s">
        <x:v>2237</x:v>
      </x:c>
      <x:c r="B692" s="3" t="s">
        <x:v>2238</x:v>
      </x:c>
      <x:c r="C692" s="3" t="s">
        <x:v>2239</x:v>
      </x:c>
      <x:c r="D692" s="4" t="s">
        <x:v>2209</x:v>
      </x:c>
      <x:c r="E692" s="4" t="s">
        <x:v>2240</x:v>
      </x:c>
      <x:c r="F692" s="4" t="s">
        <x:v>2241</x:v>
      </x:c>
      <x:c r="G692" s="3" t="s">
        <x:v>1020</x:v>
      </x:c>
    </x:row>
    <x:row r="693" ht="30">
      <x:c r="A693" s="3" t="s">
        <x:v>2242</x:v>
      </x:c>
      <x:c r="B693" s="3" t="s">
        <x:v>2238</x:v>
      </x:c>
      <x:c r="C693" s="3" t="s">
        <x:v>2243</x:v>
      </x:c>
      <x:c r="D693" s="4" t="s">
        <x:v>2209</x:v>
      </x:c>
      <x:c r="E693" s="4" t="s">
        <x:v>2244</x:v>
      </x:c>
      <x:c r="F693" s="4" t="s">
        <x:v>2245</x:v>
      </x:c>
      <x:c r="G693" s="3" t="s">
        <x:v>1020</x:v>
      </x:c>
    </x:row>
    <x:row r="694" ht="30">
      <x:c r="A694" s="3" t="s">
        <x:v>2246</x:v>
      </x:c>
      <x:c r="B694" s="3" t="s">
        <x:v>2238</x:v>
      </x:c>
      <x:c r="C694" s="3" t="s">
        <x:v>2247</x:v>
      </x:c>
      <x:c r="D694" s="4" t="s">
        <x:v>2209</x:v>
      </x:c>
      <x:c r="E694" s="4" t="s">
        <x:v>2248</x:v>
      </x:c>
      <x:c r="F694" s="4" t="s">
        <x:v>2249</x:v>
      </x:c>
      <x:c r="G694" s="3" t="s">
        <x:v>1020</x:v>
      </x:c>
    </x:row>
    <x:row r="695" ht="30">
      <x:c r="A695" s="3" t="s">
        <x:v>2250</x:v>
      </x:c>
      <x:c r="B695" s="3" t="s">
        <x:v>2238</x:v>
      </x:c>
      <x:c r="C695" s="3" t="s">
        <x:v>2251</x:v>
      </x:c>
      <x:c r="D695" s="4" t="s">
        <x:v>2209</x:v>
      </x:c>
      <x:c r="E695" s="4" t="s">
        <x:v>2252</x:v>
      </x:c>
      <x:c r="F695" s="4" t="s">
        <x:v>2253</x:v>
      </x:c>
      <x:c r="G695" s="3" t="s">
        <x:v>1020</x:v>
      </x:c>
    </x:row>
    <x:row r="696" ht="30">
      <x:c r="A696" s="3" t="s">
        <x:v>2254</x:v>
      </x:c>
      <x:c r="B696" s="3" t="s">
        <x:v>2238</x:v>
      </x:c>
      <x:c r="C696" s="3" t="s">
        <x:v>2255</x:v>
      </x:c>
      <x:c r="D696" s="4" t="s">
        <x:v>2209</x:v>
      </x:c>
      <x:c r="E696" s="4" t="s">
        <x:v>2256</x:v>
      </x:c>
      <x:c r="F696" s="4" t="s">
        <x:v>2257</x:v>
      </x:c>
      <x:c r="G696" s="3" t="s">
        <x:v>1020</x:v>
      </x:c>
    </x:row>
    <x:row r="697" ht="30">
      <x:c r="A697" s="3" t="s">
        <x:v>2258</x:v>
      </x:c>
      <x:c r="B697" s="3" t="s">
        <x:v>2259</x:v>
      </x:c>
      <x:c r="C697" s="3" t="s">
        <x:v>1136</x:v>
      </x:c>
      <x:c r="D697" s="4" t="s">
        <x:v>2209</x:v>
      </x:c>
      <x:c r="E697" s="4" t="s">
        <x:v>2260</x:v>
      </x:c>
      <x:c r="F697" s="4" t="s">
        <x:v>1138</x:v>
      </x:c>
      <x:c r="G697" s="3" t="s">
        <x:v>1020</x:v>
      </x:c>
    </x:row>
    <x:row r="698" ht="45">
      <x:c r="A698" s="3" t="s">
        <x:v>2261</x:v>
      </x:c>
      <x:c r="B698" s="3" t="s">
        <x:v>2259</x:v>
      </x:c>
      <x:c r="C698" s="3" t="s">
        <x:v>1115</x:v>
      </x:c>
      <x:c r="D698" s="4" t="s">
        <x:v>2209</x:v>
      </x:c>
      <x:c r="E698" s="4" t="s">
        <x:v>2262</x:v>
      </x:c>
      <x:c r="F698" s="4" t="s">
        <x:v>1117</x:v>
      </x:c>
      <x:c r="G698" s="3" t="s">
        <x:v>1020</x:v>
      </x:c>
    </x:row>
    <x:row r="699" ht="30">
      <x:c r="A699" s="3" t="s">
        <x:v>2263</x:v>
      </x:c>
      <x:c r="B699" s="3" t="s">
        <x:v>2259</x:v>
      </x:c>
      <x:c r="C699" s="3" t="s">
        <x:v>2264</x:v>
      </x:c>
      <x:c r="D699" s="4" t="s">
        <x:v>2209</x:v>
      </x:c>
      <x:c r="E699" s="4" t="s">
        <x:v>2265</x:v>
      </x:c>
      <x:c r="F699" s="4" t="s">
        <x:v>2266</x:v>
      </x:c>
      <x:c r="G699" s="3" t="s">
        <x:v>1020</x:v>
      </x:c>
    </x:row>
    <x:row r="700">
      <x:c r="A700" s="3" t="s">
        <x:v>2267</x:v>
      </x:c>
      <x:c r="B700" s="3" t="s">
        <x:v>2268</x:v>
      </x:c>
      <x:c r="C700" s="3" t="s">
        <x:v>2269</x:v>
      </x:c>
      <x:c r="D700" s="4" t="s">
        <x:v>2270</x:v>
      </x:c>
      <x:c r="E700" s="4"/>
      <x:c r="F700" s="4" t="s">
        <x:v>2271</x:v>
      </x:c>
      <x:c r="G700" s="3" t="s">
        <x:v>14</x:v>
      </x:c>
    </x:row>
    <x:row r="701">
      <x:c r="A701" s="3" t="s">
        <x:v>2272</x:v>
      </x:c>
      <x:c r="B701" s="3" t="s">
        <x:v>2268</x:v>
      </x:c>
      <x:c r="C701" s="3" t="s">
        <x:v>2273</x:v>
      </x:c>
      <x:c r="D701" s="4" t="s">
        <x:v>2270</x:v>
      </x:c>
      <x:c r="E701" s="4"/>
      <x:c r="F701" s="4" t="s">
        <x:v>2274</x:v>
      </x:c>
      <x:c r="G701" s="3" t="s">
        <x:v>14</x:v>
      </x:c>
    </x:row>
    <x:row r="702">
      <x:c r="A702" s="3" t="s">
        <x:v>2275</x:v>
      </x:c>
      <x:c r="B702" s="3" t="s">
        <x:v>2268</x:v>
      </x:c>
      <x:c r="C702" s="3" t="s">
        <x:v>2276</x:v>
      </x:c>
      <x:c r="D702" s="4" t="s">
        <x:v>2270</x:v>
      </x:c>
      <x:c r="E702" s="4"/>
      <x:c r="F702" s="4" t="s">
        <x:v>2277</x:v>
      </x:c>
      <x:c r="G702" s="3" t="s">
        <x:v>14</x:v>
      </x:c>
    </x:row>
    <x:row r="703">
      <x:c r="A703" s="3" t="s">
        <x:v>2278</x:v>
      </x:c>
      <x:c r="B703" s="3" t="s">
        <x:v>2268</x:v>
      </x:c>
      <x:c r="C703" s="3" t="s">
        <x:v>2279</x:v>
      </x:c>
      <x:c r="D703" s="4" t="s">
        <x:v>2270</x:v>
      </x:c>
      <x:c r="E703" s="4"/>
      <x:c r="F703" s="4" t="s">
        <x:v>2280</x:v>
      </x:c>
      <x:c r="G703" s="3" t="s">
        <x:v>14</x:v>
      </x:c>
    </x:row>
    <x:row r="704">
      <x:c r="A704" s="3" t="s">
        <x:v>2281</x:v>
      </x:c>
      <x:c r="B704" s="3" t="s">
        <x:v>2268</x:v>
      </x:c>
      <x:c r="C704" s="3" t="s">
        <x:v>2282</x:v>
      </x:c>
      <x:c r="D704" s="4" t="s">
        <x:v>2270</x:v>
      </x:c>
      <x:c r="E704" s="4"/>
      <x:c r="F704" s="4" t="s">
        <x:v>2283</x:v>
      </x:c>
      <x:c r="G704" s="3" t="s">
        <x:v>14</x:v>
      </x:c>
    </x:row>
    <x:row r="705">
      <x:c r="A705" s="3" t="s">
        <x:v>2284</x:v>
      </x:c>
      <x:c r="B705" s="3" t="s">
        <x:v>2268</x:v>
      </x:c>
      <x:c r="C705" s="3" t="s">
        <x:v>2285</x:v>
      </x:c>
      <x:c r="D705" s="4" t="s">
        <x:v>2270</x:v>
      </x:c>
      <x:c r="E705" s="4"/>
      <x:c r="F705" s="4" t="s">
        <x:v>2286</x:v>
      </x:c>
      <x:c r="G705" s="3" t="s">
        <x:v>14</x:v>
      </x:c>
    </x:row>
    <x:row r="706">
      <x:c r="A706" s="3" t="s">
        <x:v>2287</x:v>
      </x:c>
      <x:c r="B706" s="3" t="s">
        <x:v>2268</x:v>
      </x:c>
      <x:c r="C706" s="3" t="s">
        <x:v>2288</x:v>
      </x:c>
      <x:c r="D706" s="4" t="s">
        <x:v>2270</x:v>
      </x:c>
      <x:c r="E706" s="4"/>
      <x:c r="F706" s="4" t="s">
        <x:v>2289</x:v>
      </x:c>
      <x:c r="G706" s="3" t="s">
        <x:v>14</x:v>
      </x:c>
    </x:row>
    <x:row r="707">
      <x:c r="A707" s="3" t="s">
        <x:v>2290</x:v>
      </x:c>
      <x:c r="B707" s="3" t="s">
        <x:v>2268</x:v>
      </x:c>
      <x:c r="C707" s="3" t="s">
        <x:v>2291</x:v>
      </x:c>
      <x:c r="D707" s="4" t="s">
        <x:v>2270</x:v>
      </x:c>
      <x:c r="E707" s="4"/>
      <x:c r="F707" s="4" t="s">
        <x:v>2292</x:v>
      </x:c>
      <x:c r="G707" s="3" t="s">
        <x:v>14</x:v>
      </x:c>
    </x:row>
    <x:row r="708">
      <x:c r="A708" s="3" t="s">
        <x:v>2293</x:v>
      </x:c>
      <x:c r="B708" s="3" t="s">
        <x:v>2268</x:v>
      </x:c>
      <x:c r="C708" s="3" t="s">
        <x:v>2294</x:v>
      </x:c>
      <x:c r="D708" s="4" t="s">
        <x:v>2270</x:v>
      </x:c>
      <x:c r="E708" s="4"/>
      <x:c r="F708" s="4" t="s">
        <x:v>2295</x:v>
      </x:c>
      <x:c r="G708" s="3" t="s">
        <x:v>14</x:v>
      </x:c>
    </x:row>
    <x:row r="709">
      <x:c r="A709" s="3" t="s">
        <x:v>2296</x:v>
      </x:c>
      <x:c r="B709" s="3" t="s">
        <x:v>2268</x:v>
      </x:c>
      <x:c r="C709" s="3" t="s">
        <x:v>394</x:v>
      </x:c>
      <x:c r="D709" s="4" t="s">
        <x:v>2270</x:v>
      </x:c>
      <x:c r="E709" s="4"/>
      <x:c r="F709" s="4" t="s">
        <x:v>395</x:v>
      </x:c>
      <x:c r="G709" s="3" t="s">
        <x:v>14</x:v>
      </x:c>
    </x:row>
    <x:row r="710">
      <x:c r="A710" s="3" t="s">
        <x:v>2297</x:v>
      </x:c>
      <x:c r="B710" s="3" t="s">
        <x:v>2268</x:v>
      </x:c>
      <x:c r="C710" s="3" t="s">
        <x:v>2298</x:v>
      </x:c>
      <x:c r="D710" s="4" t="s">
        <x:v>2270</x:v>
      </x:c>
      <x:c r="E710" s="4"/>
      <x:c r="F710" s="4" t="s">
        <x:v>2299</x:v>
      </x:c>
      <x:c r="G710" s="3" t="s">
        <x:v>14</x:v>
      </x:c>
    </x:row>
    <x:row r="711">
      <x:c r="A711" s="3" t="s">
        <x:v>2300</x:v>
      </x:c>
      <x:c r="B711" s="3" t="s">
        <x:v>2268</x:v>
      </x:c>
      <x:c r="C711" s="3" t="s">
        <x:v>2301</x:v>
      </x:c>
      <x:c r="D711" s="4" t="s">
        <x:v>2270</x:v>
      </x:c>
      <x:c r="E711" s="4"/>
      <x:c r="F711" s="4" t="s">
        <x:v>2302</x:v>
      </x:c>
      <x:c r="G711" s="3" t="s">
        <x:v>14</x:v>
      </x:c>
    </x:row>
    <x:row r="712">
      <x:c r="A712" s="3" t="s">
        <x:v>2303</x:v>
      </x:c>
      <x:c r="B712" s="3" t="s">
        <x:v>2268</x:v>
      </x:c>
      <x:c r="C712" s="3" t="s">
        <x:v>2304</x:v>
      </x:c>
      <x:c r="D712" s="4" t="s">
        <x:v>2270</x:v>
      </x:c>
      <x:c r="E712" s="4"/>
      <x:c r="F712" s="4" t="s">
        <x:v>2305</x:v>
      </x:c>
      <x:c r="G712" s="3" t="s">
        <x:v>14</x:v>
      </x:c>
    </x:row>
    <x:row r="713">
      <x:c r="A713" s="3" t="s">
        <x:v>2306</x:v>
      </x:c>
      <x:c r="B713" s="3" t="s">
        <x:v>2268</x:v>
      </x:c>
      <x:c r="C713" s="3" t="s">
        <x:v>2307</x:v>
      </x:c>
      <x:c r="D713" s="4" t="s">
        <x:v>2270</x:v>
      </x:c>
      <x:c r="E713" s="4"/>
      <x:c r="F713" s="4" t="s">
        <x:v>2308</x:v>
      </x:c>
      <x:c r="G713" s="3" t="s">
        <x:v>14</x:v>
      </x:c>
    </x:row>
    <x:row r="714">
      <x:c r="A714" s="3" t="s">
        <x:v>2309</x:v>
      </x:c>
      <x:c r="B714" s="3" t="s">
        <x:v>2268</x:v>
      </x:c>
      <x:c r="C714" s="3" t="s">
        <x:v>2310</x:v>
      </x:c>
      <x:c r="D714" s="4" t="s">
        <x:v>2270</x:v>
      </x:c>
      <x:c r="E714" s="4"/>
      <x:c r="F714" s="4" t="s">
        <x:v>2311</x:v>
      </x:c>
      <x:c r="G714" s="3" t="s">
        <x:v>14</x:v>
      </x:c>
    </x:row>
    <x:row r="715">
      <x:c r="A715" s="3" t="s">
        <x:v>2312</x:v>
      </x:c>
      <x:c r="B715" s="3" t="s">
        <x:v>2268</x:v>
      </x:c>
      <x:c r="C715" s="3" t="s">
        <x:v>2313</x:v>
      </x:c>
      <x:c r="D715" s="4" t="s">
        <x:v>2270</x:v>
      </x:c>
      <x:c r="E715" s="4"/>
      <x:c r="F715" s="4" t="s">
        <x:v>2314</x:v>
      </x:c>
      <x:c r="G715" s="3" t="s">
        <x:v>14</x:v>
      </x:c>
    </x:row>
    <x:row r="716">
      <x:c r="A716" s="3" t="s">
        <x:v>2315</x:v>
      </x:c>
      <x:c r="B716" s="3" t="s">
        <x:v>2268</x:v>
      </x:c>
      <x:c r="C716" s="3" t="s">
        <x:v>2316</x:v>
      </x:c>
      <x:c r="D716" s="4" t="s">
        <x:v>2270</x:v>
      </x:c>
      <x:c r="E716" s="4"/>
      <x:c r="F716" s="4" t="s">
        <x:v>2317</x:v>
      </x:c>
      <x:c r="G716" s="3" t="s">
        <x:v>14</x:v>
      </x:c>
    </x:row>
    <x:row r="717">
      <x:c r="A717" s="3" t="s">
        <x:v>2318</x:v>
      </x:c>
      <x:c r="B717" s="3" t="s">
        <x:v>2268</x:v>
      </x:c>
      <x:c r="C717" s="3" t="s">
        <x:v>2319</x:v>
      </x:c>
      <x:c r="D717" s="4" t="s">
        <x:v>2270</x:v>
      </x:c>
      <x:c r="E717" s="4"/>
      <x:c r="F717" s="4" t="s">
        <x:v>2320</x:v>
      </x:c>
      <x:c r="G717" s="3" t="s">
        <x:v>14</x:v>
      </x:c>
    </x:row>
    <x:row r="718">
      <x:c r="A718" s="3" t="s">
        <x:v>2321</x:v>
      </x:c>
      <x:c r="B718" s="3" t="s">
        <x:v>2268</x:v>
      </x:c>
      <x:c r="C718" s="3" t="s">
        <x:v>2322</x:v>
      </x:c>
      <x:c r="D718" s="4" t="s">
        <x:v>2270</x:v>
      </x:c>
      <x:c r="E718" s="4"/>
      <x:c r="F718" s="4" t="s">
        <x:v>2323</x:v>
      </x:c>
      <x:c r="G718" s="3" t="s">
        <x:v>14</x:v>
      </x:c>
    </x:row>
    <x:row r="719">
      <x:c r="A719" s="3" t="s">
        <x:v>2324</x:v>
      </x:c>
      <x:c r="B719" s="3" t="s">
        <x:v>2325</x:v>
      </x:c>
      <x:c r="C719" s="3" t="s">
        <x:v>2326</x:v>
      </x:c>
      <x:c r="D719" s="4" t="s">
        <x:v>2270</x:v>
      </x:c>
      <x:c r="E719" s="4"/>
      <x:c r="F719" s="4" t="s">
        <x:v>2327</x:v>
      </x:c>
      <x:c r="G719" s="3" t="s">
        <x:v>14</x:v>
      </x:c>
    </x:row>
    <x:row r="720">
      <x:c r="A720" s="3" t="s">
        <x:v>2328</x:v>
      </x:c>
      <x:c r="B720" s="3" t="s">
        <x:v>2325</x:v>
      </x:c>
      <x:c r="C720" s="3" t="s">
        <x:v>2329</x:v>
      </x:c>
      <x:c r="D720" s="4" t="s">
        <x:v>2270</x:v>
      </x:c>
      <x:c r="E720" s="4"/>
      <x:c r="F720" s="4" t="s">
        <x:v>2330</x:v>
      </x:c>
      <x:c r="G720" s="3" t="s">
        <x:v>14</x:v>
      </x:c>
    </x:row>
    <x:row r="721">
      <x:c r="A721" s="3" t="s">
        <x:v>2331</x:v>
      </x:c>
      <x:c r="B721" s="3" t="s">
        <x:v>2325</x:v>
      </x:c>
      <x:c r="C721" s="3" t="s">
        <x:v>2332</x:v>
      </x:c>
      <x:c r="D721" s="4" t="s">
        <x:v>2270</x:v>
      </x:c>
      <x:c r="E721" s="4"/>
      <x:c r="F721" s="4" t="s">
        <x:v>2333</x:v>
      </x:c>
      <x:c r="G721" s="3" t="s">
        <x:v>14</x:v>
      </x:c>
    </x:row>
    <x:row r="722">
      <x:c r="A722" s="3" t="s">
        <x:v>2334</x:v>
      </x:c>
      <x:c r="B722" s="3" t="s">
        <x:v>2325</x:v>
      </x:c>
      <x:c r="C722" s="3" t="s">
        <x:v>2335</x:v>
      </x:c>
      <x:c r="D722" s="4" t="s">
        <x:v>2270</x:v>
      </x:c>
      <x:c r="E722" s="4"/>
      <x:c r="F722" s="4" t="s">
        <x:v>2336</x:v>
      </x:c>
      <x:c r="G722" s="3" t="s">
        <x:v>14</x:v>
      </x:c>
    </x:row>
    <x:row r="723">
      <x:c r="A723" s="3" t="s">
        <x:v>2337</x:v>
      </x:c>
      <x:c r="B723" s="3" t="s">
        <x:v>2325</x:v>
      </x:c>
      <x:c r="C723" s="3" t="s">
        <x:v>2338</x:v>
      </x:c>
      <x:c r="D723" s="4" t="s">
        <x:v>2270</x:v>
      </x:c>
      <x:c r="E723" s="4"/>
      <x:c r="F723" s="4" t="s">
        <x:v>2339</x:v>
      </x:c>
      <x:c r="G723" s="3" t="s">
        <x:v>14</x:v>
      </x:c>
    </x:row>
    <x:row r="724">
      <x:c r="A724" s="3" t="s">
        <x:v>2340</x:v>
      </x:c>
      <x:c r="B724" s="3" t="s">
        <x:v>2325</x:v>
      </x:c>
      <x:c r="C724" s="3" t="s">
        <x:v>2341</x:v>
      </x:c>
      <x:c r="D724" s="4" t="s">
        <x:v>2270</x:v>
      </x:c>
      <x:c r="E724" s="4"/>
      <x:c r="F724" s="4" t="s">
        <x:v>2342</x:v>
      </x:c>
      <x:c r="G724" s="3" t="s">
        <x:v>14</x:v>
      </x:c>
    </x:row>
    <x:row r="725">
      <x:c r="A725" s="3" t="s">
        <x:v>2343</x:v>
      </x:c>
      <x:c r="B725" s="3" t="s">
        <x:v>2325</x:v>
      </x:c>
      <x:c r="C725" s="3" t="s">
        <x:v>2344</x:v>
      </x:c>
      <x:c r="D725" s="4" t="s">
        <x:v>2270</x:v>
      </x:c>
      <x:c r="E725" s="4"/>
      <x:c r="F725" s="4" t="s">
        <x:v>2345</x:v>
      </x:c>
      <x:c r="G725" s="3" t="s">
        <x:v>14</x:v>
      </x:c>
    </x:row>
    <x:row r="726">
      <x:c r="A726" s="3" t="s">
        <x:v>2346</x:v>
      </x:c>
      <x:c r="B726" s="3" t="s">
        <x:v>2347</x:v>
      </x:c>
      <x:c r="C726" s="3" t="s">
        <x:v>2348</x:v>
      </x:c>
      <x:c r="D726" s="4" t="s">
        <x:v>2270</x:v>
      </x:c>
      <x:c r="E726" s="4"/>
      <x:c r="F726" s="4" t="s">
        <x:v>2349</x:v>
      </x:c>
      <x:c r="G726" s="3" t="s">
        <x:v>14</x:v>
      </x:c>
    </x:row>
    <x:row r="727">
      <x:c r="A727" s="3" t="s">
        <x:v>2350</x:v>
      </x:c>
      <x:c r="B727" s="3" t="s">
        <x:v>2347</x:v>
      </x:c>
      <x:c r="C727" s="3" t="s">
        <x:v>2351</x:v>
      </x:c>
      <x:c r="D727" s="4" t="s">
        <x:v>2270</x:v>
      </x:c>
      <x:c r="E727" s="4"/>
      <x:c r="F727" s="4" t="s">
        <x:v>2352</x:v>
      </x:c>
      <x:c r="G727" s="3" t="s">
        <x:v>14</x:v>
      </x:c>
    </x:row>
    <x:row r="728">
      <x:c r="A728" s="3" t="s">
        <x:v>2353</x:v>
      </x:c>
      <x:c r="B728" s="3" t="s">
        <x:v>2347</x:v>
      </x:c>
      <x:c r="C728" s="3" t="s">
        <x:v>2354</x:v>
      </x:c>
      <x:c r="D728" s="4" t="s">
        <x:v>2270</x:v>
      </x:c>
      <x:c r="E728" s="4"/>
      <x:c r="F728" s="4" t="s">
        <x:v>2355</x:v>
      </x:c>
      <x:c r="G728" s="3" t="s">
        <x:v>14</x:v>
      </x:c>
    </x:row>
    <x:row r="729">
      <x:c r="A729" s="3" t="s">
        <x:v>2356</x:v>
      </x:c>
      <x:c r="B729" s="3" t="s">
        <x:v>2347</x:v>
      </x:c>
      <x:c r="C729" s="3" t="s">
        <x:v>2357</x:v>
      </x:c>
      <x:c r="D729" s="4" t="s">
        <x:v>2270</x:v>
      </x:c>
      <x:c r="E729" s="4"/>
      <x:c r="F729" s="4" t="s">
        <x:v>2358</x:v>
      </x:c>
      <x:c r="G729" s="3" t="s">
        <x:v>14</x:v>
      </x:c>
    </x:row>
    <x:row r="730">
      <x:c r="A730" s="3" t="s">
        <x:v>2359</x:v>
      </x:c>
      <x:c r="B730" s="3" t="s">
        <x:v>2347</x:v>
      </x:c>
      <x:c r="C730" s="3" t="s">
        <x:v>2360</x:v>
      </x:c>
      <x:c r="D730" s="4" t="s">
        <x:v>2270</x:v>
      </x:c>
      <x:c r="E730" s="4"/>
      <x:c r="F730" s="4" t="s">
        <x:v>2361</x:v>
      </x:c>
      <x:c r="G730" s="3" t="s">
        <x:v>14</x:v>
      </x:c>
    </x:row>
    <x:row r="731">
      <x:c r="A731" s="3" t="s">
        <x:v>2362</x:v>
      </x:c>
      <x:c r="B731" s="3" t="s">
        <x:v>2347</x:v>
      </x:c>
      <x:c r="C731" s="3" t="s">
        <x:v>2363</x:v>
      </x:c>
      <x:c r="D731" s="4" t="s">
        <x:v>2270</x:v>
      </x:c>
      <x:c r="E731" s="4"/>
      <x:c r="F731" s="4" t="s">
        <x:v>2364</x:v>
      </x:c>
      <x:c r="G731" s="3" t="s">
        <x:v>14</x:v>
      </x:c>
    </x:row>
    <x:row r="732">
      <x:c r="A732" s="3" t="s">
        <x:v>2365</x:v>
      </x:c>
      <x:c r="B732" s="3" t="s">
        <x:v>2347</x:v>
      </x:c>
      <x:c r="C732" s="3" t="s">
        <x:v>2366</x:v>
      </x:c>
      <x:c r="D732" s="4" t="s">
        <x:v>2270</x:v>
      </x:c>
      <x:c r="E732" s="4"/>
      <x:c r="F732" s="4" t="s">
        <x:v>2367</x:v>
      </x:c>
      <x:c r="G732" s="3" t="s">
        <x:v>14</x:v>
      </x:c>
    </x:row>
    <x:row r="733">
      <x:c r="A733" s="3" t="s">
        <x:v>2368</x:v>
      </x:c>
      <x:c r="B733" s="3" t="s">
        <x:v>2347</x:v>
      </x:c>
      <x:c r="C733" s="3" t="s">
        <x:v>2064</x:v>
      </x:c>
      <x:c r="D733" s="4" t="s">
        <x:v>2270</x:v>
      </x:c>
      <x:c r="E733" s="4"/>
      <x:c r="F733" s="4" t="s">
        <x:v>2369</x:v>
      </x:c>
      <x:c r="G733" s="3" t="s">
        <x:v>14</x:v>
      </x:c>
    </x:row>
    <x:row r="734">
      <x:c r="A734" s="3" t="s">
        <x:v>2370</x:v>
      </x:c>
      <x:c r="B734" s="3" t="s">
        <x:v>2347</x:v>
      </x:c>
      <x:c r="C734" s="3" t="s">
        <x:v>2371</x:v>
      </x:c>
      <x:c r="D734" s="4" t="s">
        <x:v>2270</x:v>
      </x:c>
      <x:c r="E734" s="4"/>
      <x:c r="F734" s="4" t="s">
        <x:v>2372</x:v>
      </x:c>
      <x:c r="G734" s="3" t="s">
        <x:v>14</x:v>
      </x:c>
    </x:row>
    <x:row r="735">
      <x:c r="A735" s="3" t="s">
        <x:v>2373</x:v>
      </x:c>
      <x:c r="B735" s="3" t="s">
        <x:v>2347</x:v>
      </x:c>
      <x:c r="C735" s="3" t="s">
        <x:v>2374</x:v>
      </x:c>
      <x:c r="D735" s="4" t="s">
        <x:v>2270</x:v>
      </x:c>
      <x:c r="E735" s="4"/>
      <x:c r="F735" s="4" t="s">
        <x:v>2375</x:v>
      </x:c>
      <x:c r="G735" s="3" t="s">
        <x:v>14</x:v>
      </x:c>
    </x:row>
    <x:row r="736">
      <x:c r="A736" s="3" t="s">
        <x:v>2376</x:v>
      </x:c>
      <x:c r="B736" s="3" t="s">
        <x:v>2347</x:v>
      </x:c>
      <x:c r="C736" s="3" t="s">
        <x:v>2377</x:v>
      </x:c>
      <x:c r="D736" s="4" t="s">
        <x:v>2270</x:v>
      </x:c>
      <x:c r="E736" s="4"/>
      <x:c r="F736" s="4" t="s">
        <x:v>2378</x:v>
      </x:c>
      <x:c r="G736" s="3" t="s">
        <x:v>14</x:v>
      </x:c>
    </x:row>
    <x:row r="737">
      <x:c r="A737" s="3" t="s">
        <x:v>2379</x:v>
      </x:c>
      <x:c r="B737" s="3" t="s">
        <x:v>2347</x:v>
      </x:c>
      <x:c r="C737" s="3" t="s">
        <x:v>2380</x:v>
      </x:c>
      <x:c r="D737" s="4" t="s">
        <x:v>2270</x:v>
      </x:c>
      <x:c r="E737" s="4"/>
      <x:c r="F737" s="4" t="s">
        <x:v>2381</x:v>
      </x:c>
      <x:c r="G737" s="3" t="s">
        <x:v>14</x:v>
      </x:c>
    </x:row>
    <x:row r="738">
      <x:c r="A738" s="3" t="s">
        <x:v>2382</x:v>
      </x:c>
      <x:c r="B738" s="3" t="s">
        <x:v>2347</x:v>
      </x:c>
      <x:c r="C738" s="3" t="s">
        <x:v>2383</x:v>
      </x:c>
      <x:c r="D738" s="4" t="s">
        <x:v>2270</x:v>
      </x:c>
      <x:c r="E738" s="4"/>
      <x:c r="F738" s="4" t="s">
        <x:v>2384</x:v>
      </x:c>
      <x:c r="G738" s="3" t="s">
        <x:v>14</x:v>
      </x:c>
    </x:row>
    <x:row r="739">
      <x:c r="A739" s="3" t="s">
        <x:v>2385</x:v>
      </x:c>
      <x:c r="B739" s="3" t="s">
        <x:v>2347</x:v>
      </x:c>
      <x:c r="C739" s="3" t="s">
        <x:v>2386</x:v>
      </x:c>
      <x:c r="D739" s="4" t="s">
        <x:v>2270</x:v>
      </x:c>
      <x:c r="E739" s="4"/>
      <x:c r="F739" s="4" t="s">
        <x:v>2387</x:v>
      </x:c>
      <x:c r="G739" s="3" t="s">
        <x:v>14</x:v>
      </x:c>
    </x:row>
    <x:row r="740">
      <x:c r="A740" s="3" t="s">
        <x:v>2388</x:v>
      </x:c>
      <x:c r="B740" s="3" t="s">
        <x:v>2347</x:v>
      </x:c>
      <x:c r="C740" s="3" t="s">
        <x:v>2389</x:v>
      </x:c>
      <x:c r="D740" s="4" t="s">
        <x:v>2270</x:v>
      </x:c>
      <x:c r="E740" s="4"/>
      <x:c r="F740" s="4" t="s">
        <x:v>2390</x:v>
      </x:c>
      <x:c r="G740" s="3" t="s">
        <x:v>14</x:v>
      </x:c>
    </x:row>
    <x:row r="741">
      <x:c r="A741" s="3" t="s">
        <x:v>2391</x:v>
      </x:c>
      <x:c r="B741" s="3" t="s">
        <x:v>2347</x:v>
      </x:c>
      <x:c r="C741" s="3" t="s">
        <x:v>2392</x:v>
      </x:c>
      <x:c r="D741" s="4" t="s">
        <x:v>2270</x:v>
      </x:c>
      <x:c r="E741" s="4"/>
      <x:c r="F741" s="4" t="s">
        <x:v>2393</x:v>
      </x:c>
      <x:c r="G741" s="3" t="s">
        <x:v>14</x:v>
      </x:c>
    </x:row>
    <x:row r="742">
      <x:c r="A742" s="3" t="s">
        <x:v>2394</x:v>
      </x:c>
      <x:c r="B742" s="3" t="s">
        <x:v>2347</x:v>
      </x:c>
      <x:c r="C742" s="3" t="s">
        <x:v>2395</x:v>
      </x:c>
      <x:c r="D742" s="4" t="s">
        <x:v>2270</x:v>
      </x:c>
      <x:c r="E742" s="4"/>
      <x:c r="F742" s="4" t="s">
        <x:v>2396</x:v>
      </x:c>
      <x:c r="G742" s="3" t="s">
        <x:v>14</x:v>
      </x:c>
    </x:row>
    <x:row r="743">
      <x:c r="A743" s="3" t="s">
        <x:v>2397</x:v>
      </x:c>
      <x:c r="B743" s="3" t="s">
        <x:v>2347</x:v>
      </x:c>
      <x:c r="C743" s="3" t="s">
        <x:v>2398</x:v>
      </x:c>
      <x:c r="D743" s="4" t="s">
        <x:v>2270</x:v>
      </x:c>
      <x:c r="E743" s="4"/>
      <x:c r="F743" s="4" t="s">
        <x:v>2399</x:v>
      </x:c>
      <x:c r="G743" s="3" t="s">
        <x:v>14</x:v>
      </x:c>
    </x:row>
    <x:row r="744">
      <x:c r="A744" s="3" t="s">
        <x:v>2400</x:v>
      </x:c>
      <x:c r="B744" s="3" t="s">
        <x:v>2347</x:v>
      </x:c>
      <x:c r="C744" s="3" t="s">
        <x:v>2186</x:v>
      </x:c>
      <x:c r="D744" s="4" t="s">
        <x:v>2270</x:v>
      </x:c>
      <x:c r="E744" s="4"/>
      <x:c r="F744" s="4" t="s">
        <x:v>2401</x:v>
      </x:c>
      <x:c r="G744" s="3" t="s">
        <x:v>14</x:v>
      </x:c>
    </x:row>
    <x:row r="745">
      <x:c r="A745" s="3" t="s">
        <x:v>2402</x:v>
      </x:c>
      <x:c r="B745" s="3" t="s">
        <x:v>2347</x:v>
      </x:c>
      <x:c r="C745" s="3" t="s">
        <x:v>2403</x:v>
      </x:c>
      <x:c r="D745" s="4" t="s">
        <x:v>2270</x:v>
      </x:c>
      <x:c r="E745" s="4"/>
      <x:c r="F745" s="4" t="s">
        <x:v>2404</x:v>
      </x:c>
      <x:c r="G745" s="3" t="s">
        <x:v>14</x:v>
      </x:c>
    </x:row>
    <x:row r="746">
      <x:c r="A746" s="3" t="s">
        <x:v>2405</x:v>
      </x:c>
      <x:c r="B746" s="3" t="s">
        <x:v>2406</x:v>
      </x:c>
      <x:c r="C746" s="3" t="s">
        <x:v>2407</x:v>
      </x:c>
      <x:c r="D746" s="4" t="s">
        <x:v>2270</x:v>
      </x:c>
      <x:c r="E746" s="4"/>
      <x:c r="F746" s="4" t="s">
        <x:v>2408</x:v>
      </x:c>
      <x:c r="G746" s="3" t="s">
        <x:v>14</x:v>
      </x:c>
    </x:row>
    <x:row r="747">
      <x:c r="A747" s="3" t="s">
        <x:v>2409</x:v>
      </x:c>
      <x:c r="B747" s="3" t="s">
        <x:v>2406</x:v>
      </x:c>
      <x:c r="C747" s="3" t="s">
        <x:v>2410</x:v>
      </x:c>
      <x:c r="D747" s="4" t="s">
        <x:v>2270</x:v>
      </x:c>
      <x:c r="E747" s="4"/>
      <x:c r="F747" s="4" t="s">
        <x:v>2411</x:v>
      </x:c>
      <x:c r="G747" s="3" t="s">
        <x:v>14</x:v>
      </x:c>
    </x:row>
    <x:row r="748">
      <x:c r="A748" s="3" t="s">
        <x:v>2412</x:v>
      </x:c>
      <x:c r="B748" s="3" t="s">
        <x:v>2406</x:v>
      </x:c>
      <x:c r="C748" s="3" t="s">
        <x:v>2413</x:v>
      </x:c>
      <x:c r="D748" s="4" t="s">
        <x:v>2270</x:v>
      </x:c>
      <x:c r="E748" s="4"/>
      <x:c r="F748" s="4" t="s">
        <x:v>2414</x:v>
      </x:c>
      <x:c r="G748" s="3" t="s">
        <x:v>14</x:v>
      </x:c>
    </x:row>
    <x:row r="749">
      <x:c r="A749" s="3" t="s">
        <x:v>2415</x:v>
      </x:c>
      <x:c r="B749" s="3" t="s">
        <x:v>2406</x:v>
      </x:c>
      <x:c r="C749" s="3" t="s">
        <x:v>2416</x:v>
      </x:c>
      <x:c r="D749" s="4" t="s">
        <x:v>2270</x:v>
      </x:c>
      <x:c r="E749" s="4"/>
      <x:c r="F749" s="4" t="s">
        <x:v>2417</x:v>
      </x:c>
      <x:c r="G749" s="3" t="s">
        <x:v>14</x:v>
      </x:c>
    </x:row>
    <x:row r="750">
      <x:c r="A750" s="3" t="s">
        <x:v>2418</x:v>
      </x:c>
      <x:c r="B750" s="3" t="s">
        <x:v>2406</x:v>
      </x:c>
      <x:c r="C750" s="3" t="s">
        <x:v>2419</x:v>
      </x:c>
      <x:c r="D750" s="4" t="s">
        <x:v>2270</x:v>
      </x:c>
      <x:c r="E750" s="4"/>
      <x:c r="F750" s="4" t="s">
        <x:v>2420</x:v>
      </x:c>
      <x:c r="G750" s="3" t="s">
        <x:v>14</x:v>
      </x:c>
    </x:row>
    <x:row r="751">
      <x:c r="A751" s="3" t="s">
        <x:v>2421</x:v>
      </x:c>
      <x:c r="B751" s="3" t="s">
        <x:v>2406</x:v>
      </x:c>
      <x:c r="C751" s="3" t="s">
        <x:v>2422</x:v>
      </x:c>
      <x:c r="D751" s="4" t="s">
        <x:v>2270</x:v>
      </x:c>
      <x:c r="E751" s="4"/>
      <x:c r="F751" s="4" t="s">
        <x:v>2423</x:v>
      </x:c>
      <x:c r="G751" s="3" t="s">
        <x:v>14</x:v>
      </x:c>
    </x:row>
    <x:row r="752">
      <x:c r="A752" s="3" t="s">
        <x:v>2424</x:v>
      </x:c>
      <x:c r="B752" s="3" t="s">
        <x:v>2406</x:v>
      </x:c>
      <x:c r="C752" s="3" t="s">
        <x:v>2425</x:v>
      </x:c>
      <x:c r="D752" s="4" t="s">
        <x:v>2270</x:v>
      </x:c>
      <x:c r="E752" s="4"/>
      <x:c r="F752" s="4" t="s">
        <x:v>2426</x:v>
      </x:c>
      <x:c r="G752" s="3" t="s">
        <x:v>14</x:v>
      </x:c>
    </x:row>
    <x:row r="753">
      <x:c r="A753" s="3" t="s">
        <x:v>2427</x:v>
      </x:c>
      <x:c r="B753" s="3" t="s">
        <x:v>2406</x:v>
      </x:c>
      <x:c r="C753" s="3" t="s">
        <x:v>2428</x:v>
      </x:c>
      <x:c r="D753" s="4" t="s">
        <x:v>2270</x:v>
      </x:c>
      <x:c r="E753" s="4"/>
      <x:c r="F753" s="4" t="s">
        <x:v>2429</x:v>
      </x:c>
      <x:c r="G753" s="3" t="s">
        <x:v>14</x:v>
      </x:c>
    </x:row>
    <x:row r="754">
      <x:c r="A754" s="3" t="s">
        <x:v>2430</x:v>
      </x:c>
      <x:c r="B754" s="3" t="s">
        <x:v>2406</x:v>
      </x:c>
      <x:c r="C754" s="3" t="s">
        <x:v>2431</x:v>
      </x:c>
      <x:c r="D754" s="4" t="s">
        <x:v>2270</x:v>
      </x:c>
      <x:c r="E754" s="4"/>
      <x:c r="F754" s="4" t="s">
        <x:v>2432</x:v>
      </x:c>
      <x:c r="G754" s="3" t="s">
        <x:v>14</x:v>
      </x:c>
    </x:row>
    <x:row r="755">
      <x:c r="A755" s="3" t="s">
        <x:v>2433</x:v>
      </x:c>
      <x:c r="B755" s="3" t="s">
        <x:v>2406</x:v>
      </x:c>
      <x:c r="C755" s="3" t="s">
        <x:v>2434</x:v>
      </x:c>
      <x:c r="D755" s="4" t="s">
        <x:v>2270</x:v>
      </x:c>
      <x:c r="E755" s="4"/>
      <x:c r="F755" s="4" t="s">
        <x:v>2435</x:v>
      </x:c>
      <x:c r="G755" s="3" t="s">
        <x:v>14</x:v>
      </x:c>
    </x:row>
    <x:row r="756">
      <x:c r="A756" s="3" t="s">
        <x:v>2436</x:v>
      </x:c>
      <x:c r="B756" s="3" t="s">
        <x:v>2406</x:v>
      </x:c>
      <x:c r="C756" s="3" t="s">
        <x:v>2437</x:v>
      </x:c>
      <x:c r="D756" s="4" t="s">
        <x:v>2270</x:v>
      </x:c>
      <x:c r="E756" s="4"/>
      <x:c r="F756" s="4" t="s">
        <x:v>2438</x:v>
      </x:c>
      <x:c r="G756" s="3" t="s">
        <x:v>14</x:v>
      </x:c>
    </x:row>
    <x:row r="757">
      <x:c r="A757" s="3" t="s">
        <x:v>2439</x:v>
      </x:c>
      <x:c r="B757" s="3" t="s">
        <x:v>2406</x:v>
      </x:c>
      <x:c r="C757" s="3" t="s">
        <x:v>2440</x:v>
      </x:c>
      <x:c r="D757" s="4" t="s">
        <x:v>2270</x:v>
      </x:c>
      <x:c r="E757" s="4"/>
      <x:c r="F757" s="4" t="s">
        <x:v>2441</x:v>
      </x:c>
      <x:c r="G757" s="3" t="s">
        <x:v>14</x:v>
      </x:c>
    </x:row>
    <x:row r="758">
      <x:c r="A758" s="3" t="s">
        <x:v>2442</x:v>
      </x:c>
      <x:c r="B758" s="3" t="s">
        <x:v>2406</x:v>
      </x:c>
      <x:c r="C758" s="3" t="s">
        <x:v>2443</x:v>
      </x:c>
      <x:c r="D758" s="4" t="s">
        <x:v>2270</x:v>
      </x:c>
      <x:c r="E758" s="4"/>
      <x:c r="F758" s="4" t="s">
        <x:v>2444</x:v>
      </x:c>
      <x:c r="G758" s="3" t="s">
        <x:v>14</x:v>
      </x:c>
    </x:row>
    <x:row r="759">
      <x:c r="A759" s="3" t="s">
        <x:v>2445</x:v>
      </x:c>
      <x:c r="B759" s="3" t="s">
        <x:v>2446</x:v>
      </x:c>
      <x:c r="C759" s="3" t="s">
        <x:v>2447</x:v>
      </x:c>
      <x:c r="D759" s="4" t="s">
        <x:v>2270</x:v>
      </x:c>
      <x:c r="E759" s="4"/>
      <x:c r="F759" s="4" t="s">
        <x:v>2448</x:v>
      </x:c>
      <x:c r="G759" s="3" t="s">
        <x:v>14</x:v>
      </x:c>
    </x:row>
    <x:row r="760">
      <x:c r="A760" s="3" t="s">
        <x:v>2449</x:v>
      </x:c>
      <x:c r="B760" s="3" t="s">
        <x:v>2446</x:v>
      </x:c>
      <x:c r="C760" s="3" t="s">
        <x:v>2450</x:v>
      </x:c>
      <x:c r="D760" s="4" t="s">
        <x:v>2270</x:v>
      </x:c>
      <x:c r="E760" s="4"/>
      <x:c r="F760" s="4" t="s">
        <x:v>2451</x:v>
      </x:c>
      <x:c r="G760" s="3" t="s">
        <x:v>14</x:v>
      </x:c>
    </x:row>
    <x:row r="761">
      <x:c r="A761" s="3" t="s">
        <x:v>2452</x:v>
      </x:c>
      <x:c r="B761" s="3" t="s">
        <x:v>2446</x:v>
      </x:c>
      <x:c r="C761" s="3" t="s">
        <x:v>2453</x:v>
      </x:c>
      <x:c r="D761" s="4" t="s">
        <x:v>2270</x:v>
      </x:c>
      <x:c r="E761" s="4"/>
      <x:c r="F761" s="4" t="s">
        <x:v>2454</x:v>
      </x:c>
      <x:c r="G761" s="3" t="s">
        <x:v>14</x:v>
      </x:c>
    </x:row>
    <x:row r="762">
      <x:c r="A762" s="3" t="s">
        <x:v>2455</x:v>
      </x:c>
      <x:c r="B762" s="3" t="s">
        <x:v>2446</x:v>
      </x:c>
      <x:c r="C762" s="3" t="s">
        <x:v>2456</x:v>
      </x:c>
      <x:c r="D762" s="4" t="s">
        <x:v>2270</x:v>
      </x:c>
      <x:c r="E762" s="4"/>
      <x:c r="F762" s="4" t="s">
        <x:v>2457</x:v>
      </x:c>
      <x:c r="G762" s="3" t="s">
        <x:v>14</x:v>
      </x:c>
    </x:row>
    <x:row r="763">
      <x:c r="A763" s="3" t="s">
        <x:v>2458</x:v>
      </x:c>
      <x:c r="B763" s="3" t="s">
        <x:v>2446</x:v>
      </x:c>
      <x:c r="C763" s="3" t="s">
        <x:v>2459</x:v>
      </x:c>
      <x:c r="D763" s="4" t="s">
        <x:v>2270</x:v>
      </x:c>
      <x:c r="E763" s="4"/>
      <x:c r="F763" s="4" t="s">
        <x:v>2460</x:v>
      </x:c>
      <x:c r="G763" s="3" t="s">
        <x:v>14</x:v>
      </x:c>
    </x:row>
    <x:row r="764">
      <x:c r="A764" s="3" t="s">
        <x:v>2461</x:v>
      </x:c>
      <x:c r="B764" s="3" t="s">
        <x:v>2446</x:v>
      </x:c>
      <x:c r="C764" s="3" t="s">
        <x:v>2462</x:v>
      </x:c>
      <x:c r="D764" s="4" t="s">
        <x:v>2270</x:v>
      </x:c>
      <x:c r="E764" s="4"/>
      <x:c r="F764" s="4" t="s">
        <x:v>2463</x:v>
      </x:c>
      <x:c r="G764" s="3" t="s">
        <x:v>14</x:v>
      </x:c>
    </x:row>
    <x:row r="765">
      <x:c r="A765" s="3" t="s">
        <x:v>2464</x:v>
      </x:c>
      <x:c r="B765" s="3" t="s">
        <x:v>2446</x:v>
      </x:c>
      <x:c r="C765" s="3" t="s">
        <x:v>2465</x:v>
      </x:c>
      <x:c r="D765" s="4" t="s">
        <x:v>2270</x:v>
      </x:c>
      <x:c r="E765" s="4"/>
      <x:c r="F765" s="4" t="s">
        <x:v>2466</x:v>
      </x:c>
      <x:c r="G765" s="3" t="s">
        <x:v>14</x:v>
      </x:c>
    </x:row>
    <x:row r="766">
      <x:c r="A766" s="3" t="s">
        <x:v>2467</x:v>
      </x:c>
      <x:c r="B766" s="3" t="s">
        <x:v>2446</x:v>
      </x:c>
      <x:c r="C766" s="3" t="s">
        <x:v>2468</x:v>
      </x:c>
      <x:c r="D766" s="4" t="s">
        <x:v>2270</x:v>
      </x:c>
      <x:c r="E766" s="4"/>
      <x:c r="F766" s="4" t="s">
        <x:v>2469</x:v>
      </x:c>
      <x:c r="G766" s="3" t="s">
        <x:v>14</x:v>
      </x:c>
    </x:row>
    <x:row r="767">
      <x:c r="A767" s="3" t="s">
        <x:v>2470</x:v>
      </x:c>
      <x:c r="B767" s="3" t="s">
        <x:v>2446</x:v>
      </x:c>
      <x:c r="C767" s="3" t="s">
        <x:v>2471</x:v>
      </x:c>
      <x:c r="D767" s="4" t="s">
        <x:v>2270</x:v>
      </x:c>
      <x:c r="E767" s="4"/>
      <x:c r="F767" s="4" t="s">
        <x:v>2472</x:v>
      </x:c>
      <x:c r="G767" s="3" t="s">
        <x:v>14</x:v>
      </x:c>
    </x:row>
    <x:row r="768">
      <x:c r="A768" s="3" t="s">
        <x:v>2473</x:v>
      </x:c>
      <x:c r="B768" s="3" t="s">
        <x:v>2446</x:v>
      </x:c>
      <x:c r="C768" s="3" t="s">
        <x:v>2474</x:v>
      </x:c>
      <x:c r="D768" s="4" t="s">
        <x:v>2270</x:v>
      </x:c>
      <x:c r="E768" s="4"/>
      <x:c r="F768" s="4" t="s">
        <x:v>2475</x:v>
      </x:c>
      <x:c r="G768" s="3" t="s">
        <x:v>14</x:v>
      </x:c>
    </x:row>
    <x:row r="769">
      <x:c r="A769" s="3" t="s">
        <x:v>2476</x:v>
      </x:c>
      <x:c r="B769" s="3" t="s">
        <x:v>2446</x:v>
      </x:c>
      <x:c r="C769" s="3" t="s">
        <x:v>2477</x:v>
      </x:c>
      <x:c r="D769" s="4" t="s">
        <x:v>2270</x:v>
      </x:c>
      <x:c r="E769" s="4"/>
      <x:c r="F769" s="4" t="s">
        <x:v>2478</x:v>
      </x:c>
      <x:c r="G769" s="3" t="s">
        <x:v>14</x:v>
      </x:c>
    </x:row>
    <x:row r="770">
      <x:c r="A770" s="3" t="s">
        <x:v>2479</x:v>
      </x:c>
      <x:c r="B770" s="3" t="s">
        <x:v>2446</x:v>
      </x:c>
      <x:c r="C770" s="3" t="s">
        <x:v>2480</x:v>
      </x:c>
      <x:c r="D770" s="4" t="s">
        <x:v>2270</x:v>
      </x:c>
      <x:c r="E770" s="4"/>
      <x:c r="F770" s="4" t="s">
        <x:v>2481</x:v>
      </x:c>
      <x:c r="G770" s="3" t="s">
        <x:v>14</x:v>
      </x:c>
    </x:row>
    <x:row r="771">
      <x:c r="A771" s="3" t="s">
        <x:v>2482</x:v>
      </x:c>
      <x:c r="B771" s="3" t="s">
        <x:v>2446</x:v>
      </x:c>
      <x:c r="C771" s="3" t="s">
        <x:v>2483</x:v>
      </x:c>
      <x:c r="D771" s="4" t="s">
        <x:v>2270</x:v>
      </x:c>
      <x:c r="E771" s="4"/>
      <x:c r="F771" s="4" t="s">
        <x:v>2484</x:v>
      </x:c>
      <x:c r="G771" s="3" t="s">
        <x:v>14</x:v>
      </x:c>
    </x:row>
    <x:row r="772">
      <x:c r="A772" s="3" t="s">
        <x:v>2485</x:v>
      </x:c>
      <x:c r="B772" s="3" t="s">
        <x:v>2446</x:v>
      </x:c>
      <x:c r="C772" s="3" t="s">
        <x:v>2486</x:v>
      </x:c>
      <x:c r="D772" s="4" t="s">
        <x:v>2270</x:v>
      </x:c>
      <x:c r="E772" s="4"/>
      <x:c r="F772" s="4" t="s">
        <x:v>2487</x:v>
      </x:c>
      <x:c r="G772" s="3" t="s">
        <x:v>14</x:v>
      </x:c>
    </x:row>
    <x:row r="773">
      <x:c r="A773" s="3" t="s">
        <x:v>2488</x:v>
      </x:c>
      <x:c r="B773" s="3" t="s">
        <x:v>2446</x:v>
      </x:c>
      <x:c r="C773" s="3" t="s">
        <x:v>2489</x:v>
      </x:c>
      <x:c r="D773" s="4" t="s">
        <x:v>2270</x:v>
      </x:c>
      <x:c r="E773" s="4"/>
      <x:c r="F773" s="4" t="s">
        <x:v>2490</x:v>
      </x:c>
      <x:c r="G773" s="3" t="s">
        <x:v>14</x:v>
      </x:c>
    </x:row>
    <x:row r="774">
      <x:c r="A774" s="3" t="s">
        <x:v>2491</x:v>
      </x:c>
      <x:c r="B774" s="3" t="s">
        <x:v>2446</x:v>
      </x:c>
      <x:c r="C774" s="3" t="s">
        <x:v>2492</x:v>
      </x:c>
      <x:c r="D774" s="4" t="s">
        <x:v>2270</x:v>
      </x:c>
      <x:c r="E774" s="4"/>
      <x:c r="F774" s="4" t="s">
        <x:v>2493</x:v>
      </x:c>
      <x:c r="G774" s="3" t="s">
        <x:v>14</x:v>
      </x:c>
    </x:row>
    <x:row r="775">
      <x:c r="A775" s="3" t="s">
        <x:v>2494</x:v>
      </x:c>
      <x:c r="B775" s="3" t="s">
        <x:v>2446</x:v>
      </x:c>
      <x:c r="C775" s="3" t="s">
        <x:v>2495</x:v>
      </x:c>
      <x:c r="D775" s="4" t="s">
        <x:v>2270</x:v>
      </x:c>
      <x:c r="E775" s="4"/>
      <x:c r="F775" s="4" t="s">
        <x:v>2496</x:v>
      </x:c>
      <x:c r="G775" s="3" t="s">
        <x:v>14</x:v>
      </x:c>
    </x:row>
    <x:row r="776">
      <x:c r="A776" s="3" t="s">
        <x:v>2497</x:v>
      </x:c>
      <x:c r="B776" s="3" t="s">
        <x:v>2446</x:v>
      </x:c>
      <x:c r="C776" s="3" t="s">
        <x:v>2498</x:v>
      </x:c>
      <x:c r="D776" s="4" t="s">
        <x:v>2270</x:v>
      </x:c>
      <x:c r="E776" s="4"/>
      <x:c r="F776" s="4" t="s">
        <x:v>2499</x:v>
      </x:c>
      <x:c r="G776" s="3" t="s">
        <x:v>14</x:v>
      </x:c>
    </x:row>
    <x:row r="777">
      <x:c r="A777" s="3" t="s">
        <x:v>2500</x:v>
      </x:c>
      <x:c r="B777" s="3" t="s">
        <x:v>2501</x:v>
      </x:c>
      <x:c r="C777" s="3" t="s">
        <x:v>2502</x:v>
      </x:c>
      <x:c r="D777" s="4" t="s">
        <x:v>2270</x:v>
      </x:c>
      <x:c r="E777" s="4"/>
      <x:c r="F777" s="4" t="s">
        <x:v>2503</x:v>
      </x:c>
      <x:c r="G777" s="3" t="s">
        <x:v>14</x:v>
      </x:c>
    </x:row>
    <x:row r="778">
      <x:c r="A778" s="3" t="s">
        <x:v>2504</x:v>
      </x:c>
      <x:c r="B778" s="3" t="s">
        <x:v>2501</x:v>
      </x:c>
      <x:c r="C778" s="3" t="s">
        <x:v>2505</x:v>
      </x:c>
      <x:c r="D778" s="4" t="s">
        <x:v>2270</x:v>
      </x:c>
      <x:c r="E778" s="4"/>
      <x:c r="F778" s="4" t="s">
        <x:v>2506</x:v>
      </x:c>
      <x:c r="G778" s="3" t="s">
        <x:v>14</x:v>
      </x:c>
    </x:row>
    <x:row r="779">
      <x:c r="A779" s="3" t="s">
        <x:v>2507</x:v>
      </x:c>
      <x:c r="B779" s="3" t="s">
        <x:v>2501</x:v>
      </x:c>
      <x:c r="C779" s="3" t="s">
        <x:v>2508</x:v>
      </x:c>
      <x:c r="D779" s="4" t="s">
        <x:v>2270</x:v>
      </x:c>
      <x:c r="E779" s="4"/>
      <x:c r="F779" s="4" t="s">
        <x:v>2509</x:v>
      </x:c>
      <x:c r="G779" s="3" t="s">
        <x:v>14</x:v>
      </x:c>
    </x:row>
    <x:row r="780">
      <x:c r="A780" s="3" t="s">
        <x:v>2510</x:v>
      </x:c>
      <x:c r="B780" s="3" t="s">
        <x:v>2501</x:v>
      </x:c>
      <x:c r="C780" s="3" t="s">
        <x:v>2511</x:v>
      </x:c>
      <x:c r="D780" s="4" t="s">
        <x:v>2270</x:v>
      </x:c>
      <x:c r="E780" s="4"/>
      <x:c r="F780" s="4" t="s">
        <x:v>2512</x:v>
      </x:c>
      <x:c r="G780" s="3" t="s">
        <x:v>14</x:v>
      </x:c>
    </x:row>
    <x:row r="781">
      <x:c r="A781" s="3" t="s">
        <x:v>2513</x:v>
      </x:c>
      <x:c r="B781" s="3" t="s">
        <x:v>2501</x:v>
      </x:c>
      <x:c r="C781" s="3" t="s">
        <x:v>2514</x:v>
      </x:c>
      <x:c r="D781" s="4" t="s">
        <x:v>2270</x:v>
      </x:c>
      <x:c r="E781" s="4"/>
      <x:c r="F781" s="4" t="s">
        <x:v>2515</x:v>
      </x:c>
      <x:c r="G781" s="3" t="s">
        <x:v>14</x:v>
      </x:c>
    </x:row>
    <x:row r="782">
      <x:c r="A782" s="3" t="s">
        <x:v>2516</x:v>
      </x:c>
      <x:c r="B782" s="3" t="s">
        <x:v>2501</x:v>
      </x:c>
      <x:c r="C782" s="3" t="s">
        <x:v>2517</x:v>
      </x:c>
      <x:c r="D782" s="4" t="s">
        <x:v>2270</x:v>
      </x:c>
      <x:c r="E782" s="4"/>
      <x:c r="F782" s="4" t="s">
        <x:v>2518</x:v>
      </x:c>
      <x:c r="G782" s="3" t="s">
        <x:v>14</x:v>
      </x:c>
    </x:row>
    <x:row r="783">
      <x:c r="A783" s="3" t="s">
        <x:v>2519</x:v>
      </x:c>
      <x:c r="B783" s="3" t="s">
        <x:v>2520</x:v>
      </x:c>
      <x:c r="C783" s="3" t="s">
        <x:v>2521</x:v>
      </x:c>
      <x:c r="D783" s="4" t="s">
        <x:v>2522</x:v>
      </x:c>
      <x:c r="E783" s="4"/>
      <x:c r="F783" s="4" t="s">
        <x:v>2523</x:v>
      </x:c>
      <x:c r="G783" s="3" t="s">
        <x:v>14</x:v>
      </x:c>
    </x:row>
    <x:row r="784">
      <x:c r="A784" s="3" t="s">
        <x:v>2524</x:v>
      </x:c>
      <x:c r="B784" s="3" t="s">
        <x:v>2520</x:v>
      </x:c>
      <x:c r="C784" s="3" t="s">
        <x:v>2525</x:v>
      </x:c>
      <x:c r="D784" s="4" t="s">
        <x:v>2522</x:v>
      </x:c>
      <x:c r="E784" s="4"/>
      <x:c r="F784" s="4" t="s">
        <x:v>2526</x:v>
      </x:c>
      <x:c r="G784" s="3" t="s">
        <x:v>14</x:v>
      </x:c>
    </x:row>
    <x:row r="785">
      <x:c r="A785" s="3" t="s">
        <x:v>2527</x:v>
      </x:c>
      <x:c r="B785" s="3" t="s">
        <x:v>2520</x:v>
      </x:c>
      <x:c r="C785" s="3" t="s">
        <x:v>2528</x:v>
      </x:c>
      <x:c r="D785" s="4" t="s">
        <x:v>2522</x:v>
      </x:c>
      <x:c r="E785" s="4"/>
      <x:c r="F785" s="4" t="s">
        <x:v>2529</x:v>
      </x:c>
      <x:c r="G785" s="3" t="s">
        <x:v>14</x:v>
      </x:c>
    </x:row>
    <x:row r="786">
      <x:c r="A786" s="3" t="s">
        <x:v>2530</x:v>
      </x:c>
      <x:c r="B786" s="3" t="s">
        <x:v>2520</x:v>
      </x:c>
      <x:c r="C786" s="3" t="s">
        <x:v>2531</x:v>
      </x:c>
      <x:c r="D786" s="4" t="s">
        <x:v>2522</x:v>
      </x:c>
      <x:c r="E786" s="4"/>
      <x:c r="F786" s="4" t="s">
        <x:v>2532</x:v>
      </x:c>
      <x:c r="G786" s="3" t="s">
        <x:v>14</x:v>
      </x:c>
    </x:row>
    <x:row r="787">
      <x:c r="A787" s="3" t="s">
        <x:v>2533</x:v>
      </x:c>
      <x:c r="B787" s="3" t="s">
        <x:v>2520</x:v>
      </x:c>
      <x:c r="C787" s="3" t="s">
        <x:v>2534</x:v>
      </x:c>
      <x:c r="D787" s="4" t="s">
        <x:v>2522</x:v>
      </x:c>
      <x:c r="E787" s="4"/>
      <x:c r="F787" s="4" t="s">
        <x:v>2535</x:v>
      </x:c>
      <x:c r="G787" s="3" t="s">
        <x:v>14</x:v>
      </x:c>
    </x:row>
    <x:row r="788">
      <x:c r="A788" s="3" t="s">
        <x:v>2536</x:v>
      </x:c>
      <x:c r="B788" s="3" t="s">
        <x:v>2520</x:v>
      </x:c>
      <x:c r="C788" s="3" t="s">
        <x:v>2537</x:v>
      </x:c>
      <x:c r="D788" s="4" t="s">
        <x:v>2522</x:v>
      </x:c>
      <x:c r="E788" s="4"/>
      <x:c r="F788" s="4" t="s">
        <x:v>2538</x:v>
      </x:c>
      <x:c r="G788" s="3" t="s">
        <x:v>14</x:v>
      </x:c>
    </x:row>
    <x:row r="789">
      <x:c r="A789" s="3" t="s">
        <x:v>2539</x:v>
      </x:c>
      <x:c r="B789" s="3" t="s">
        <x:v>2520</x:v>
      </x:c>
      <x:c r="C789" s="3" t="s">
        <x:v>2540</x:v>
      </x:c>
      <x:c r="D789" s="4" t="s">
        <x:v>2522</x:v>
      </x:c>
      <x:c r="E789" s="4"/>
      <x:c r="F789" s="4" t="s">
        <x:v>2541</x:v>
      </x:c>
      <x:c r="G789" s="3" t="s">
        <x:v>14</x:v>
      </x:c>
    </x:row>
    <x:row r="790">
      <x:c r="A790" s="3" t="s">
        <x:v>2542</x:v>
      </x:c>
      <x:c r="B790" s="3" t="s">
        <x:v>2520</x:v>
      </x:c>
      <x:c r="C790" s="3" t="s">
        <x:v>2543</x:v>
      </x:c>
      <x:c r="D790" s="4" t="s">
        <x:v>2522</x:v>
      </x:c>
      <x:c r="E790" s="4"/>
      <x:c r="F790" s="4" t="s">
        <x:v>2544</x:v>
      </x:c>
      <x:c r="G790" s="3" t="s">
        <x:v>14</x:v>
      </x:c>
    </x:row>
    <x:row r="791">
      <x:c r="A791" s="3" t="s">
        <x:v>2545</x:v>
      </x:c>
      <x:c r="B791" s="3" t="s">
        <x:v>2520</x:v>
      </x:c>
      <x:c r="C791" s="3" t="s">
        <x:v>2546</x:v>
      </x:c>
      <x:c r="D791" s="4" t="s">
        <x:v>2522</x:v>
      </x:c>
      <x:c r="E791" s="4"/>
      <x:c r="F791" s="4" t="s">
        <x:v>2547</x:v>
      </x:c>
      <x:c r="G791" s="3" t="s">
        <x:v>14</x:v>
      </x:c>
    </x:row>
    <x:row r="792">
      <x:c r="A792" s="3" t="s">
        <x:v>2548</x:v>
      </x:c>
      <x:c r="B792" s="3" t="s">
        <x:v>2520</x:v>
      </x:c>
      <x:c r="C792" s="3" t="s">
        <x:v>2549</x:v>
      </x:c>
      <x:c r="D792" s="4" t="s">
        <x:v>2522</x:v>
      </x:c>
      <x:c r="E792" s="4"/>
      <x:c r="F792" s="4" t="s">
        <x:v>2550</x:v>
      </x:c>
      <x:c r="G792" s="3" t="s">
        <x:v>14</x:v>
      </x:c>
    </x:row>
    <x:row r="793">
      <x:c r="A793" s="3" t="s">
        <x:v>2551</x:v>
      </x:c>
      <x:c r="B793" s="3" t="s">
        <x:v>2520</x:v>
      </x:c>
      <x:c r="C793" s="3" t="s">
        <x:v>2552</x:v>
      </x:c>
      <x:c r="D793" s="4" t="s">
        <x:v>2522</x:v>
      </x:c>
      <x:c r="E793" s="4"/>
      <x:c r="F793" s="4" t="s">
        <x:v>2553</x:v>
      </x:c>
      <x:c r="G793" s="3" t="s">
        <x:v>14</x:v>
      </x:c>
    </x:row>
    <x:row r="794">
      <x:c r="A794" s="3" t="s">
        <x:v>2554</x:v>
      </x:c>
      <x:c r="B794" s="3" t="s">
        <x:v>2520</x:v>
      </x:c>
      <x:c r="C794" s="3" t="s">
        <x:v>2555</x:v>
      </x:c>
      <x:c r="D794" s="4" t="s">
        <x:v>2522</x:v>
      </x:c>
      <x:c r="E794" s="4"/>
      <x:c r="F794" s="4" t="s">
        <x:v>2556</x:v>
      </x:c>
      <x:c r="G794" s="3" t="s">
        <x:v>14</x:v>
      </x:c>
    </x:row>
    <x:row r="795">
      <x:c r="A795" s="3" t="s">
        <x:v>2557</x:v>
      </x:c>
      <x:c r="B795" s="3" t="s">
        <x:v>2520</x:v>
      </x:c>
      <x:c r="C795" s="3" t="s">
        <x:v>2558</x:v>
      </x:c>
      <x:c r="D795" s="4" t="s">
        <x:v>2522</x:v>
      </x:c>
      <x:c r="E795" s="4"/>
      <x:c r="F795" s="4" t="s">
        <x:v>2559</x:v>
      </x:c>
      <x:c r="G795" s="3" t="s">
        <x:v>14</x:v>
      </x:c>
    </x:row>
    <x:row r="796">
      <x:c r="A796" s="3" t="s">
        <x:v>2560</x:v>
      </x:c>
      <x:c r="B796" s="3" t="s">
        <x:v>2520</x:v>
      </x:c>
      <x:c r="C796" s="3" t="s">
        <x:v>2561</x:v>
      </x:c>
      <x:c r="D796" s="4" t="s">
        <x:v>2522</x:v>
      </x:c>
      <x:c r="E796" s="4"/>
      <x:c r="F796" s="4" t="s">
        <x:v>2562</x:v>
      </x:c>
      <x:c r="G796" s="3" t="s">
        <x:v>14</x:v>
      </x:c>
    </x:row>
    <x:row r="797">
      <x:c r="A797" s="3" t="s">
        <x:v>2563</x:v>
      </x:c>
      <x:c r="B797" s="3" t="s">
        <x:v>2520</x:v>
      </x:c>
      <x:c r="C797" s="3" t="s">
        <x:v>2564</x:v>
      </x:c>
      <x:c r="D797" s="4" t="s">
        <x:v>2522</x:v>
      </x:c>
      <x:c r="E797" s="4"/>
      <x:c r="F797" s="4" t="s">
        <x:v>2565</x:v>
      </x:c>
      <x:c r="G797" s="3" t="s">
        <x:v>14</x:v>
      </x:c>
    </x:row>
    <x:row r="798">
      <x:c r="A798" s="3" t="s">
        <x:v>2566</x:v>
      </x:c>
      <x:c r="B798" s="3" t="s">
        <x:v>2520</x:v>
      </x:c>
      <x:c r="C798" s="3" t="s">
        <x:v>2567</x:v>
      </x:c>
      <x:c r="D798" s="4" t="s">
        <x:v>2522</x:v>
      </x:c>
      <x:c r="E798" s="4"/>
      <x:c r="F798" s="4" t="s">
        <x:v>2568</x:v>
      </x:c>
      <x:c r="G798" s="3" t="s">
        <x:v>14</x:v>
      </x:c>
    </x:row>
    <x:row r="799">
      <x:c r="A799" s="3" t="s">
        <x:v>2569</x:v>
      </x:c>
      <x:c r="B799" s="3" t="s">
        <x:v>2520</x:v>
      </x:c>
      <x:c r="C799" s="3" t="s">
        <x:v>2570</x:v>
      </x:c>
      <x:c r="D799" s="4" t="s">
        <x:v>2522</x:v>
      </x:c>
      <x:c r="E799" s="4"/>
      <x:c r="F799" s="4" t="s">
        <x:v>2571</x:v>
      </x:c>
      <x:c r="G799" s="3" t="s">
        <x:v>14</x:v>
      </x:c>
    </x:row>
    <x:row r="800">
      <x:c r="A800" s="3" t="s">
        <x:v>2572</x:v>
      </x:c>
      <x:c r="B800" s="3" t="s">
        <x:v>2520</x:v>
      </x:c>
      <x:c r="C800" s="3" t="s">
        <x:v>2573</x:v>
      </x:c>
      <x:c r="D800" s="4" t="s">
        <x:v>2522</x:v>
      </x:c>
      <x:c r="E800" s="4"/>
      <x:c r="F800" s="4" t="s">
        <x:v>2574</x:v>
      </x:c>
      <x:c r="G800" s="3" t="s">
        <x:v>14</x:v>
      </x:c>
    </x:row>
    <x:row r="801">
      <x:c r="A801" s="3" t="s">
        <x:v>2575</x:v>
      </x:c>
      <x:c r="B801" s="3" t="s">
        <x:v>2520</x:v>
      </x:c>
      <x:c r="C801" s="3" t="s">
        <x:v>2576</x:v>
      </x:c>
      <x:c r="D801" s="4" t="s">
        <x:v>2522</x:v>
      </x:c>
      <x:c r="E801" s="4"/>
      <x:c r="F801" s="4" t="s">
        <x:v>2577</x:v>
      </x:c>
      <x:c r="G801" s="3" t="s">
        <x:v>14</x:v>
      </x:c>
    </x:row>
    <x:row r="802">
      <x:c r="A802" s="3" t="s">
        <x:v>2578</x:v>
      </x:c>
      <x:c r="B802" s="3" t="s">
        <x:v>2520</x:v>
      </x:c>
      <x:c r="C802" s="3" t="s">
        <x:v>2579</x:v>
      </x:c>
      <x:c r="D802" s="4" t="s">
        <x:v>2522</x:v>
      </x:c>
      <x:c r="E802" s="4"/>
      <x:c r="F802" s="4" t="s">
        <x:v>2580</x:v>
      </x:c>
      <x:c r="G802" s="3" t="s">
        <x:v>14</x:v>
      </x:c>
    </x:row>
    <x:row r="803">
      <x:c r="A803" s="3" t="s">
        <x:v>2581</x:v>
      </x:c>
      <x:c r="B803" s="3" t="s">
        <x:v>2520</x:v>
      </x:c>
      <x:c r="C803" s="3" t="s">
        <x:v>2582</x:v>
      </x:c>
      <x:c r="D803" s="4" t="s">
        <x:v>2522</x:v>
      </x:c>
      <x:c r="E803" s="4"/>
      <x:c r="F803" s="4" t="s">
        <x:v>2583</x:v>
      </x:c>
      <x:c r="G803" s="3" t="s">
        <x:v>14</x:v>
      </x:c>
    </x:row>
    <x:row r="804">
      <x:c r="A804" s="3" t="s">
        <x:v>2584</x:v>
      </x:c>
      <x:c r="B804" s="3" t="s">
        <x:v>2520</x:v>
      </x:c>
      <x:c r="C804" s="3" t="s">
        <x:v>2585</x:v>
      </x:c>
      <x:c r="D804" s="4" t="s">
        <x:v>2522</x:v>
      </x:c>
      <x:c r="E804" s="4"/>
      <x:c r="F804" s="4" t="s">
        <x:v>2586</x:v>
      </x:c>
      <x:c r="G804" s="3" t="s">
        <x:v>14</x:v>
      </x:c>
    </x:row>
    <x:row r="805">
      <x:c r="A805" s="3" t="s">
        <x:v>2587</x:v>
      </x:c>
      <x:c r="B805" s="3" t="s">
        <x:v>2520</x:v>
      </x:c>
      <x:c r="C805" s="3" t="s">
        <x:v>2588</x:v>
      </x:c>
      <x:c r="D805" s="4" t="s">
        <x:v>2522</x:v>
      </x:c>
      <x:c r="E805" s="4"/>
      <x:c r="F805" s="4" t="s">
        <x:v>2589</x:v>
      </x:c>
      <x:c r="G805" s="3" t="s">
        <x:v>14</x:v>
      </x:c>
    </x:row>
    <x:row r="806">
      <x:c r="A806" s="3" t="s">
        <x:v>2590</x:v>
      </x:c>
      <x:c r="B806" s="3" t="s">
        <x:v>2520</x:v>
      </x:c>
      <x:c r="C806" s="3" t="s">
        <x:v>2285</x:v>
      </x:c>
      <x:c r="D806" s="4" t="s">
        <x:v>2522</x:v>
      </x:c>
      <x:c r="E806" s="4"/>
      <x:c r="F806" s="4" t="s">
        <x:v>2286</x:v>
      </x:c>
      <x:c r="G806" s="3" t="s">
        <x:v>14</x:v>
      </x:c>
    </x:row>
    <x:row r="807">
      <x:c r="A807" s="3" t="s">
        <x:v>2591</x:v>
      </x:c>
      <x:c r="B807" s="3" t="s">
        <x:v>2520</x:v>
      </x:c>
      <x:c r="C807" s="3" t="s">
        <x:v>2592</x:v>
      </x:c>
      <x:c r="D807" s="4" t="s">
        <x:v>2522</x:v>
      </x:c>
      <x:c r="E807" s="4"/>
      <x:c r="F807" s="4" t="s">
        <x:v>2593</x:v>
      </x:c>
      <x:c r="G807" s="3" t="s">
        <x:v>14</x:v>
      </x:c>
    </x:row>
    <x:row r="808">
      <x:c r="A808" s="3" t="s">
        <x:v>2594</x:v>
      </x:c>
      <x:c r="B808" s="3" t="s">
        <x:v>2520</x:v>
      </x:c>
      <x:c r="C808" s="3" t="s">
        <x:v>2595</x:v>
      </x:c>
      <x:c r="D808" s="4" t="s">
        <x:v>2522</x:v>
      </x:c>
      <x:c r="E808" s="4"/>
      <x:c r="F808" s="4" t="s">
        <x:v>2596</x:v>
      </x:c>
      <x:c r="G808" s="3" t="s">
        <x:v>14</x:v>
      </x:c>
    </x:row>
    <x:row r="809">
      <x:c r="A809" s="3" t="s">
        <x:v>2597</x:v>
      </x:c>
      <x:c r="B809" s="3" t="s">
        <x:v>2520</x:v>
      </x:c>
      <x:c r="C809" s="3" t="s">
        <x:v>2598</x:v>
      </x:c>
      <x:c r="D809" s="4" t="s">
        <x:v>2522</x:v>
      </x:c>
      <x:c r="E809" s="4"/>
      <x:c r="F809" s="4" t="s">
        <x:v>2599</x:v>
      </x:c>
      <x:c r="G809" s="3" t="s">
        <x:v>14</x:v>
      </x:c>
    </x:row>
    <x:row r="810">
      <x:c r="A810" s="3" t="s">
        <x:v>2600</x:v>
      </x:c>
      <x:c r="B810" s="3" t="s">
        <x:v>2520</x:v>
      </x:c>
      <x:c r="C810" s="3" t="s">
        <x:v>2601</x:v>
      </x:c>
      <x:c r="D810" s="4" t="s">
        <x:v>2522</x:v>
      </x:c>
      <x:c r="E810" s="4"/>
      <x:c r="F810" s="4" t="s">
        <x:v>2602</x:v>
      </x:c>
      <x:c r="G810" s="3" t="s">
        <x:v>14</x:v>
      </x:c>
    </x:row>
    <x:row r="811">
      <x:c r="A811" s="3" t="s">
        <x:v>2603</x:v>
      </x:c>
      <x:c r="B811" s="3" t="s">
        <x:v>2520</x:v>
      </x:c>
      <x:c r="C811" s="3" t="s">
        <x:v>2604</x:v>
      </x:c>
      <x:c r="D811" s="4" t="s">
        <x:v>2522</x:v>
      </x:c>
      <x:c r="E811" s="4"/>
      <x:c r="F811" s="4" t="s">
        <x:v>2605</x:v>
      </x:c>
      <x:c r="G811" s="3" t="s">
        <x:v>14</x:v>
      </x:c>
    </x:row>
    <x:row r="812">
      <x:c r="A812" s="3" t="s">
        <x:v>2606</x:v>
      </x:c>
      <x:c r="B812" s="3" t="s">
        <x:v>2520</x:v>
      </x:c>
      <x:c r="C812" s="3" t="s">
        <x:v>2607</x:v>
      </x:c>
      <x:c r="D812" s="4" t="s">
        <x:v>2522</x:v>
      </x:c>
      <x:c r="E812" s="4"/>
      <x:c r="F812" s="4" t="s">
        <x:v>2608</x:v>
      </x:c>
      <x:c r="G812" s="3" t="s">
        <x:v>14</x:v>
      </x:c>
    </x:row>
    <x:row r="813">
      <x:c r="A813" s="3" t="s">
        <x:v>2609</x:v>
      </x:c>
      <x:c r="B813" s="3" t="s">
        <x:v>2520</x:v>
      </x:c>
      <x:c r="C813" s="3" t="s">
        <x:v>2610</x:v>
      </x:c>
      <x:c r="D813" s="4" t="s">
        <x:v>2522</x:v>
      </x:c>
      <x:c r="E813" s="4"/>
      <x:c r="F813" s="4" t="s">
        <x:v>2611</x:v>
      </x:c>
      <x:c r="G813" s="3" t="s">
        <x:v>14</x:v>
      </x:c>
    </x:row>
    <x:row r="814">
      <x:c r="A814" s="3" t="s">
        <x:v>2612</x:v>
      </x:c>
      <x:c r="B814" s="3" t="s">
        <x:v>2520</x:v>
      </x:c>
      <x:c r="C814" s="3" t="s">
        <x:v>2613</x:v>
      </x:c>
      <x:c r="D814" s="4" t="s">
        <x:v>2522</x:v>
      </x:c>
      <x:c r="E814" s="4"/>
      <x:c r="F814" s="4" t="s">
        <x:v>2614</x:v>
      </x:c>
      <x:c r="G814" s="3" t="s">
        <x:v>14</x:v>
      </x:c>
    </x:row>
    <x:row r="815">
      <x:c r="A815" s="3" t="s">
        <x:v>2615</x:v>
      </x:c>
      <x:c r="B815" s="3" t="s">
        <x:v>2520</x:v>
      </x:c>
      <x:c r="C815" s="3" t="s">
        <x:v>2616</x:v>
      </x:c>
      <x:c r="D815" s="4" t="s">
        <x:v>2522</x:v>
      </x:c>
      <x:c r="E815" s="4"/>
      <x:c r="F815" s="4" t="s">
        <x:v>2617</x:v>
      </x:c>
      <x:c r="G815" s="3" t="s">
        <x:v>14</x:v>
      </x:c>
    </x:row>
    <x:row r="816">
      <x:c r="A816" s="3" t="s">
        <x:v>2618</x:v>
      </x:c>
      <x:c r="B816" s="3" t="s">
        <x:v>2520</x:v>
      </x:c>
      <x:c r="C816" s="3" t="s">
        <x:v>2619</x:v>
      </x:c>
      <x:c r="D816" s="4" t="s">
        <x:v>2522</x:v>
      </x:c>
      <x:c r="E816" s="4"/>
      <x:c r="F816" s="4" t="s">
        <x:v>2620</x:v>
      </x:c>
      <x:c r="G816" s="3" t="s">
        <x:v>14</x:v>
      </x:c>
    </x:row>
    <x:row r="817">
      <x:c r="A817" s="3" t="s">
        <x:v>2621</x:v>
      </x:c>
      <x:c r="B817" s="3" t="s">
        <x:v>2520</x:v>
      </x:c>
      <x:c r="C817" s="3" t="s">
        <x:v>2622</x:v>
      </x:c>
      <x:c r="D817" s="4" t="s">
        <x:v>2522</x:v>
      </x:c>
      <x:c r="E817" s="4"/>
      <x:c r="F817" s="4" t="s">
        <x:v>2623</x:v>
      </x:c>
      <x:c r="G817" s="3" t="s">
        <x:v>14</x:v>
      </x:c>
    </x:row>
    <x:row r="818">
      <x:c r="A818" s="3" t="s">
        <x:v>2624</x:v>
      </x:c>
      <x:c r="B818" s="3" t="s">
        <x:v>2520</x:v>
      </x:c>
      <x:c r="C818" s="3" t="s">
        <x:v>2625</x:v>
      </x:c>
      <x:c r="D818" s="4" t="s">
        <x:v>2522</x:v>
      </x:c>
      <x:c r="E818" s="4"/>
      <x:c r="F818" s="4" t="s">
        <x:v>2626</x:v>
      </x:c>
      <x:c r="G818" s="3" t="s">
        <x:v>14</x:v>
      </x:c>
    </x:row>
    <x:row r="819">
      <x:c r="A819" s="3" t="s">
        <x:v>2627</x:v>
      </x:c>
      <x:c r="B819" s="3" t="s">
        <x:v>2520</x:v>
      </x:c>
      <x:c r="C819" s="3" t="s">
        <x:v>2628</x:v>
      </x:c>
      <x:c r="D819" s="4" t="s">
        <x:v>2522</x:v>
      </x:c>
      <x:c r="E819" s="4"/>
      <x:c r="F819" s="4" t="s">
        <x:v>2629</x:v>
      </x:c>
      <x:c r="G819" s="3" t="s">
        <x:v>14</x:v>
      </x:c>
    </x:row>
    <x:row r="820">
      <x:c r="A820" s="3" t="s">
        <x:v>2630</x:v>
      </x:c>
      <x:c r="B820" s="3" t="s">
        <x:v>2520</x:v>
      </x:c>
      <x:c r="C820" s="3" t="s">
        <x:v>2631</x:v>
      </x:c>
      <x:c r="D820" s="4" t="s">
        <x:v>2522</x:v>
      </x:c>
      <x:c r="E820" s="4"/>
      <x:c r="F820" s="4" t="s">
        <x:v>2632</x:v>
      </x:c>
      <x:c r="G820" s="3" t="s">
        <x:v>14</x:v>
      </x:c>
    </x:row>
    <x:row r="821">
      <x:c r="A821" s="3" t="s">
        <x:v>2633</x:v>
      </x:c>
      <x:c r="B821" s="3" t="s">
        <x:v>2520</x:v>
      </x:c>
      <x:c r="C821" s="3" t="s">
        <x:v>2634</x:v>
      </x:c>
      <x:c r="D821" s="4" t="s">
        <x:v>2522</x:v>
      </x:c>
      <x:c r="E821" s="4"/>
      <x:c r="F821" s="4" t="s">
        <x:v>2635</x:v>
      </x:c>
      <x:c r="G821" s="3" t="s">
        <x:v>14</x:v>
      </x:c>
    </x:row>
    <x:row r="822">
      <x:c r="A822" s="3" t="s">
        <x:v>2636</x:v>
      </x:c>
      <x:c r="B822" s="3" t="s">
        <x:v>2520</x:v>
      </x:c>
      <x:c r="C822" s="3" t="s">
        <x:v>2637</x:v>
      </x:c>
      <x:c r="D822" s="4" t="s">
        <x:v>2522</x:v>
      </x:c>
      <x:c r="E822" s="4"/>
      <x:c r="F822" s="4" t="s">
        <x:v>2638</x:v>
      </x:c>
      <x:c r="G822" s="3" t="s">
        <x:v>14</x:v>
      </x:c>
    </x:row>
    <x:row r="823">
      <x:c r="A823" s="3" t="s">
        <x:v>2639</x:v>
      </x:c>
      <x:c r="B823" s="3" t="s">
        <x:v>2520</x:v>
      </x:c>
      <x:c r="C823" s="3" t="s">
        <x:v>2640</x:v>
      </x:c>
      <x:c r="D823" s="4" t="s">
        <x:v>2522</x:v>
      </x:c>
      <x:c r="E823" s="4"/>
      <x:c r="F823" s="4" t="s">
        <x:v>2641</x:v>
      </x:c>
      <x:c r="G823" s="3" t="s">
        <x:v>14</x:v>
      </x:c>
    </x:row>
    <x:row r="824">
      <x:c r="A824" s="3" t="s">
        <x:v>2642</x:v>
      </x:c>
      <x:c r="B824" s="3" t="s">
        <x:v>2520</x:v>
      </x:c>
      <x:c r="C824" s="3" t="s">
        <x:v>2643</x:v>
      </x:c>
      <x:c r="D824" s="4" t="s">
        <x:v>2522</x:v>
      </x:c>
      <x:c r="E824" s="4"/>
      <x:c r="F824" s="4" t="s">
        <x:v>2644</x:v>
      </x:c>
      <x:c r="G824" s="3" t="s">
        <x:v>14</x:v>
      </x:c>
    </x:row>
    <x:row r="825">
      <x:c r="A825" s="3" t="s">
        <x:v>2645</x:v>
      </x:c>
      <x:c r="B825" s="3" t="s">
        <x:v>2520</x:v>
      </x:c>
      <x:c r="C825" s="3" t="s">
        <x:v>2646</x:v>
      </x:c>
      <x:c r="D825" s="4" t="s">
        <x:v>2522</x:v>
      </x:c>
      <x:c r="E825" s="4"/>
      <x:c r="F825" s="4" t="s">
        <x:v>2647</x:v>
      </x:c>
      <x:c r="G825" s="3" t="s">
        <x:v>14</x:v>
      </x:c>
    </x:row>
    <x:row r="826">
      <x:c r="A826" s="3" t="s">
        <x:v>2648</x:v>
      </x:c>
      <x:c r="B826" s="3" t="s">
        <x:v>2520</x:v>
      </x:c>
      <x:c r="C826" s="3" t="s">
        <x:v>2649</x:v>
      </x:c>
      <x:c r="D826" s="4" t="s">
        <x:v>2522</x:v>
      </x:c>
      <x:c r="E826" s="4"/>
      <x:c r="F826" s="4" t="s">
        <x:v>2650</x:v>
      </x:c>
      <x:c r="G826" s="3" t="s">
        <x:v>14</x:v>
      </x:c>
    </x:row>
    <x:row r="827">
      <x:c r="A827" s="3" t="s">
        <x:v>2651</x:v>
      </x:c>
      <x:c r="B827" s="3" t="s">
        <x:v>2520</x:v>
      </x:c>
      <x:c r="C827" s="3" t="s">
        <x:v>2652</x:v>
      </x:c>
      <x:c r="D827" s="4" t="s">
        <x:v>2522</x:v>
      </x:c>
      <x:c r="E827" s="4"/>
      <x:c r="F827" s="4" t="s">
        <x:v>2653</x:v>
      </x:c>
      <x:c r="G827" s="3" t="s">
        <x:v>14</x:v>
      </x:c>
    </x:row>
    <x:row r="828">
      <x:c r="A828" s="3" t="s">
        <x:v>2654</x:v>
      </x:c>
      <x:c r="B828" s="3" t="s">
        <x:v>2520</x:v>
      </x:c>
      <x:c r="C828" s="3" t="s">
        <x:v>2655</x:v>
      </x:c>
      <x:c r="D828" s="4" t="s">
        <x:v>2522</x:v>
      </x:c>
      <x:c r="E828" s="4"/>
      <x:c r="F828" s="4" t="s">
        <x:v>2656</x:v>
      </x:c>
      <x:c r="G828" s="3" t="s">
        <x:v>14</x:v>
      </x:c>
    </x:row>
    <x:row r="829">
      <x:c r="A829" s="3" t="s">
        <x:v>2657</x:v>
      </x:c>
      <x:c r="B829" s="3" t="s">
        <x:v>2520</x:v>
      </x:c>
      <x:c r="C829" s="3" t="s">
        <x:v>2658</x:v>
      </x:c>
      <x:c r="D829" s="4" t="s">
        <x:v>2522</x:v>
      </x:c>
      <x:c r="E829" s="4"/>
      <x:c r="F829" s="4" t="s">
        <x:v>2659</x:v>
      </x:c>
      <x:c r="G829" s="3" t="s">
        <x:v>14</x:v>
      </x:c>
    </x:row>
    <x:row r="830">
      <x:c r="A830" s="3" t="s">
        <x:v>2660</x:v>
      </x:c>
      <x:c r="B830" s="3" t="s">
        <x:v>2520</x:v>
      </x:c>
      <x:c r="C830" s="3" t="s">
        <x:v>2661</x:v>
      </x:c>
      <x:c r="D830" s="4" t="s">
        <x:v>2522</x:v>
      </x:c>
      <x:c r="E830" s="4"/>
      <x:c r="F830" s="4" t="s">
        <x:v>2662</x:v>
      </x:c>
      <x:c r="G830" s="3" t="s">
        <x:v>14</x:v>
      </x:c>
    </x:row>
    <x:row r="831">
      <x:c r="A831" s="3" t="s">
        <x:v>2663</x:v>
      </x:c>
      <x:c r="B831" s="3" t="s">
        <x:v>2520</x:v>
      </x:c>
      <x:c r="C831" s="3" t="s">
        <x:v>2664</x:v>
      </x:c>
      <x:c r="D831" s="4" t="s">
        <x:v>2522</x:v>
      </x:c>
      <x:c r="E831" s="4"/>
      <x:c r="F831" s="4" t="s">
        <x:v>2665</x:v>
      </x:c>
      <x:c r="G831" s="3" t="s">
        <x:v>14</x:v>
      </x:c>
    </x:row>
    <x:row r="832">
      <x:c r="A832" s="3" t="s">
        <x:v>2666</x:v>
      </x:c>
      <x:c r="B832" s="3" t="s">
        <x:v>2520</x:v>
      </x:c>
      <x:c r="C832" s="3" t="s">
        <x:v>2667</x:v>
      </x:c>
      <x:c r="D832" s="4" t="s">
        <x:v>2522</x:v>
      </x:c>
      <x:c r="E832" s="4"/>
      <x:c r="F832" s="4" t="s">
        <x:v>2668</x:v>
      </x:c>
      <x:c r="G832" s="3" t="s">
        <x:v>14</x:v>
      </x:c>
    </x:row>
    <x:row r="833">
      <x:c r="A833" s="3" t="s">
        <x:v>2669</x:v>
      </x:c>
      <x:c r="B833" s="3" t="s">
        <x:v>2520</x:v>
      </x:c>
      <x:c r="C833" s="3" t="s">
        <x:v>2670</x:v>
      </x:c>
      <x:c r="D833" s="4" t="s">
        <x:v>2522</x:v>
      </x:c>
      <x:c r="E833" s="4"/>
      <x:c r="F833" s="4" t="s">
        <x:v>2671</x:v>
      </x:c>
      <x:c r="G833" s="3" t="s">
        <x:v>14</x:v>
      </x:c>
    </x:row>
    <x:row r="834">
      <x:c r="A834" s="3" t="s">
        <x:v>2672</x:v>
      </x:c>
      <x:c r="B834" s="3" t="s">
        <x:v>2520</x:v>
      </x:c>
      <x:c r="C834" s="3" t="s">
        <x:v>2673</x:v>
      </x:c>
      <x:c r="D834" s="4" t="s">
        <x:v>2522</x:v>
      </x:c>
      <x:c r="E834" s="4"/>
      <x:c r="F834" s="4" t="s">
        <x:v>2674</x:v>
      </x:c>
      <x:c r="G834" s="3" t="s">
        <x:v>14</x:v>
      </x:c>
    </x:row>
    <x:row r="835">
      <x:c r="A835" s="3" t="s">
        <x:v>2675</x:v>
      </x:c>
      <x:c r="B835" s="3" t="s">
        <x:v>2520</x:v>
      </x:c>
      <x:c r="C835" s="3" t="s">
        <x:v>2676</x:v>
      </x:c>
      <x:c r="D835" s="4" t="s">
        <x:v>2522</x:v>
      </x:c>
      <x:c r="E835" s="4"/>
      <x:c r="F835" s="4" t="s">
        <x:v>2677</x:v>
      </x:c>
      <x:c r="G835" s="3" t="s">
        <x:v>14</x:v>
      </x:c>
    </x:row>
    <x:row r="836">
      <x:c r="A836" s="3" t="s">
        <x:v>2678</x:v>
      </x:c>
      <x:c r="B836" s="3" t="s">
        <x:v>2520</x:v>
      </x:c>
      <x:c r="C836" s="3" t="s">
        <x:v>2679</x:v>
      </x:c>
      <x:c r="D836" s="4" t="s">
        <x:v>2522</x:v>
      </x:c>
      <x:c r="E836" s="4"/>
      <x:c r="F836" s="4" t="s">
        <x:v>2680</x:v>
      </x:c>
      <x:c r="G836" s="3" t="s">
        <x:v>14</x:v>
      </x:c>
    </x:row>
    <x:row r="837">
      <x:c r="A837" s="3" t="s">
        <x:v>2681</x:v>
      </x:c>
      <x:c r="B837" s="3" t="s">
        <x:v>2520</x:v>
      </x:c>
      <x:c r="C837" s="3" t="s">
        <x:v>2682</x:v>
      </x:c>
      <x:c r="D837" s="4" t="s">
        <x:v>2522</x:v>
      </x:c>
      <x:c r="E837" s="4"/>
      <x:c r="F837" s="4" t="s">
        <x:v>2683</x:v>
      </x:c>
      <x:c r="G837" s="3" t="s">
        <x:v>14</x:v>
      </x:c>
    </x:row>
    <x:row r="838">
      <x:c r="A838" s="3" t="s">
        <x:v>2684</x:v>
      </x:c>
      <x:c r="B838" s="3" t="s">
        <x:v>2520</x:v>
      </x:c>
      <x:c r="C838" s="3" t="s">
        <x:v>2685</x:v>
      </x:c>
      <x:c r="D838" s="4" t="s">
        <x:v>2522</x:v>
      </x:c>
      <x:c r="E838" s="4"/>
      <x:c r="F838" s="4" t="s">
        <x:v>2686</x:v>
      </x:c>
      <x:c r="G838" s="3" t="s">
        <x:v>14</x:v>
      </x:c>
    </x:row>
    <x:row r="839">
      <x:c r="A839" s="3" t="s">
        <x:v>2687</x:v>
      </x:c>
      <x:c r="B839" s="3" t="s">
        <x:v>2520</x:v>
      </x:c>
      <x:c r="C839" s="3" t="s">
        <x:v>2688</x:v>
      </x:c>
      <x:c r="D839" s="4" t="s">
        <x:v>2522</x:v>
      </x:c>
      <x:c r="E839" s="4"/>
      <x:c r="F839" s="4" t="s">
        <x:v>2689</x:v>
      </x:c>
      <x:c r="G839" s="3" t="s">
        <x:v>14</x:v>
      </x:c>
    </x:row>
    <x:row r="840">
      <x:c r="A840" s="3" t="s">
        <x:v>2690</x:v>
      </x:c>
      <x:c r="B840" s="3" t="s">
        <x:v>2520</x:v>
      </x:c>
      <x:c r="C840" s="3" t="s">
        <x:v>2691</x:v>
      </x:c>
      <x:c r="D840" s="4" t="s">
        <x:v>2522</x:v>
      </x:c>
      <x:c r="E840" s="4"/>
      <x:c r="F840" s="4" t="s">
        <x:v>2692</x:v>
      </x:c>
      <x:c r="G840" s="3" t="s">
        <x:v>14</x:v>
      </x:c>
    </x:row>
    <x:row r="841">
      <x:c r="A841" s="3" t="s">
        <x:v>2693</x:v>
      </x:c>
      <x:c r="B841" s="3" t="s">
        <x:v>2520</x:v>
      </x:c>
      <x:c r="C841" s="3" t="s">
        <x:v>2694</x:v>
      </x:c>
      <x:c r="D841" s="4" t="s">
        <x:v>2522</x:v>
      </x:c>
      <x:c r="E841" s="4"/>
      <x:c r="F841" s="4" t="s">
        <x:v>2695</x:v>
      </x:c>
      <x:c r="G841" s="3" t="s">
        <x:v>14</x:v>
      </x:c>
    </x:row>
    <x:row r="842">
      <x:c r="A842" s="3" t="s">
        <x:v>2696</x:v>
      </x:c>
      <x:c r="B842" s="3" t="s">
        <x:v>2520</x:v>
      </x:c>
      <x:c r="C842" s="3" t="s">
        <x:v>2697</x:v>
      </x:c>
      <x:c r="D842" s="4" t="s">
        <x:v>2522</x:v>
      </x:c>
      <x:c r="E842" s="4"/>
      <x:c r="F842" s="4" t="s">
        <x:v>2698</x:v>
      </x:c>
      <x:c r="G842" s="3" t="s">
        <x:v>14</x:v>
      </x:c>
    </x:row>
    <x:row r="843">
      <x:c r="A843" s="3" t="s">
        <x:v>2699</x:v>
      </x:c>
      <x:c r="B843" s="3" t="s">
        <x:v>2520</x:v>
      </x:c>
      <x:c r="C843" s="3" t="s">
        <x:v>2700</x:v>
      </x:c>
      <x:c r="D843" s="4" t="s">
        <x:v>2522</x:v>
      </x:c>
      <x:c r="E843" s="4"/>
      <x:c r="F843" s="4" t="s">
        <x:v>2701</x:v>
      </x:c>
      <x:c r="G843" s="3" t="s">
        <x:v>14</x:v>
      </x:c>
    </x:row>
    <x:row r="844">
      <x:c r="A844" s="3" t="s">
        <x:v>2702</x:v>
      </x:c>
      <x:c r="B844" s="3" t="s">
        <x:v>2520</x:v>
      </x:c>
      <x:c r="C844" s="3" t="s">
        <x:v>2703</x:v>
      </x:c>
      <x:c r="D844" s="4" t="s">
        <x:v>2522</x:v>
      </x:c>
      <x:c r="E844" s="4"/>
      <x:c r="F844" s="4" t="s">
        <x:v>2704</x:v>
      </x:c>
      <x:c r="G844" s="3" t="s">
        <x:v>14</x:v>
      </x:c>
    </x:row>
    <x:row r="845">
      <x:c r="A845" s="3" t="s">
        <x:v>2705</x:v>
      </x:c>
      <x:c r="B845" s="3" t="s">
        <x:v>2520</x:v>
      </x:c>
      <x:c r="C845" s="3" t="s">
        <x:v>2706</x:v>
      </x:c>
      <x:c r="D845" s="4" t="s">
        <x:v>2522</x:v>
      </x:c>
      <x:c r="E845" s="4"/>
      <x:c r="F845" s="4" t="s">
        <x:v>2707</x:v>
      </x:c>
      <x:c r="G845" s="3" t="s">
        <x:v>14</x:v>
      </x:c>
    </x:row>
    <x:row r="846">
      <x:c r="A846" s="3" t="s">
        <x:v>2708</x:v>
      </x:c>
      <x:c r="B846" s="3" t="s">
        <x:v>2520</x:v>
      </x:c>
      <x:c r="C846" s="3" t="s">
        <x:v>2709</x:v>
      </x:c>
      <x:c r="D846" s="4" t="s">
        <x:v>2522</x:v>
      </x:c>
      <x:c r="E846" s="4"/>
      <x:c r="F846" s="4" t="s">
        <x:v>2710</x:v>
      </x:c>
      <x:c r="G846" s="3" t="s">
        <x:v>14</x:v>
      </x:c>
    </x:row>
    <x:row r="847">
      <x:c r="A847" s="3" t="s">
        <x:v>2711</x:v>
      </x:c>
      <x:c r="B847" s="3" t="s">
        <x:v>2520</x:v>
      </x:c>
      <x:c r="C847" s="3" t="s">
        <x:v>2712</x:v>
      </x:c>
      <x:c r="D847" s="4" t="s">
        <x:v>2522</x:v>
      </x:c>
      <x:c r="E847" s="4"/>
      <x:c r="F847" s="4" t="s">
        <x:v>2713</x:v>
      </x:c>
      <x:c r="G847" s="3" t="s">
        <x:v>14</x:v>
      </x:c>
    </x:row>
    <x:row r="848">
      <x:c r="A848" s="3" t="s">
        <x:v>2714</x:v>
      </x:c>
      <x:c r="B848" s="3" t="s">
        <x:v>2520</x:v>
      </x:c>
      <x:c r="C848" s="3" t="s">
        <x:v>2715</x:v>
      </x:c>
      <x:c r="D848" s="4" t="s">
        <x:v>2522</x:v>
      </x:c>
      <x:c r="E848" s="4"/>
      <x:c r="F848" s="4" t="s">
        <x:v>2716</x:v>
      </x:c>
      <x:c r="G848" s="3" t="s">
        <x:v>14</x:v>
      </x:c>
    </x:row>
    <x:row r="849">
      <x:c r="A849" s="3" t="s">
        <x:v>2717</x:v>
      </x:c>
      <x:c r="B849" s="3" t="s">
        <x:v>2520</x:v>
      </x:c>
      <x:c r="C849" s="3" t="s">
        <x:v>2718</x:v>
      </x:c>
      <x:c r="D849" s="4" t="s">
        <x:v>2522</x:v>
      </x:c>
      <x:c r="E849" s="4"/>
      <x:c r="F849" s="4" t="s">
        <x:v>2719</x:v>
      </x:c>
      <x:c r="G849" s="3" t="s">
        <x:v>14</x:v>
      </x:c>
    </x:row>
    <x:row r="850">
      <x:c r="A850" s="3" t="s">
        <x:v>2720</x:v>
      </x:c>
      <x:c r="B850" s="3" t="s">
        <x:v>2520</x:v>
      </x:c>
      <x:c r="C850" s="3" t="s">
        <x:v>2721</x:v>
      </x:c>
      <x:c r="D850" s="4" t="s">
        <x:v>2522</x:v>
      </x:c>
      <x:c r="E850" s="4"/>
      <x:c r="F850" s="4" t="s">
        <x:v>2722</x:v>
      </x:c>
      <x:c r="G850" s="3" t="s">
        <x:v>14</x:v>
      </x:c>
    </x:row>
    <x:row r="851">
      <x:c r="A851" s="3" t="s">
        <x:v>2723</x:v>
      </x:c>
      <x:c r="B851" s="3" t="s">
        <x:v>2520</x:v>
      </x:c>
      <x:c r="C851" s="3" t="s">
        <x:v>2724</x:v>
      </x:c>
      <x:c r="D851" s="4" t="s">
        <x:v>2522</x:v>
      </x:c>
      <x:c r="E851" s="4"/>
      <x:c r="F851" s="4" t="s">
        <x:v>2725</x:v>
      </x:c>
      <x:c r="G851" s="3" t="s">
        <x:v>14</x:v>
      </x:c>
    </x:row>
    <x:row r="852">
      <x:c r="A852" s="3" t="s">
        <x:v>2726</x:v>
      </x:c>
      <x:c r="B852" s="3" t="s">
        <x:v>2520</x:v>
      </x:c>
      <x:c r="C852" s="3" t="s">
        <x:v>2727</x:v>
      </x:c>
      <x:c r="D852" s="4" t="s">
        <x:v>2522</x:v>
      </x:c>
      <x:c r="E852" s="4"/>
      <x:c r="F852" s="4" t="s">
        <x:v>2728</x:v>
      </x:c>
      <x:c r="G852" s="3" t="s">
        <x:v>14</x:v>
      </x:c>
    </x:row>
    <x:row r="853">
      <x:c r="A853" s="3" t="s">
        <x:v>2729</x:v>
      </x:c>
      <x:c r="B853" s="3" t="s">
        <x:v>2520</x:v>
      </x:c>
      <x:c r="C853" s="3" t="s">
        <x:v>2730</x:v>
      </x:c>
      <x:c r="D853" s="4" t="s">
        <x:v>2522</x:v>
      </x:c>
      <x:c r="E853" s="4"/>
      <x:c r="F853" s="4" t="s">
        <x:v>2731</x:v>
      </x:c>
      <x:c r="G853" s="3" t="s">
        <x:v>14</x:v>
      </x:c>
    </x:row>
    <x:row r="854">
      <x:c r="A854" s="3" t="s">
        <x:v>2732</x:v>
      </x:c>
      <x:c r="B854" s="3" t="s">
        <x:v>2520</x:v>
      </x:c>
      <x:c r="C854" s="3" t="s">
        <x:v>2733</x:v>
      </x:c>
      <x:c r="D854" s="4" t="s">
        <x:v>2522</x:v>
      </x:c>
      <x:c r="E854" s="4"/>
      <x:c r="F854" s="4" t="s">
        <x:v>2734</x:v>
      </x:c>
      <x:c r="G854" s="3" t="s">
        <x:v>14</x:v>
      </x:c>
    </x:row>
    <x:row r="855">
      <x:c r="A855" s="3" t="s">
        <x:v>2735</x:v>
      </x:c>
      <x:c r="B855" s="3" t="s">
        <x:v>2520</x:v>
      </x:c>
      <x:c r="C855" s="3" t="s">
        <x:v>2736</x:v>
      </x:c>
      <x:c r="D855" s="4" t="s">
        <x:v>2522</x:v>
      </x:c>
      <x:c r="E855" s="4"/>
      <x:c r="F855" s="4" t="s">
        <x:v>2737</x:v>
      </x:c>
      <x:c r="G855" s="3" t="s">
        <x:v>14</x:v>
      </x:c>
    </x:row>
    <x:row r="856">
      <x:c r="A856" s="3" t="s">
        <x:v>2738</x:v>
      </x:c>
      <x:c r="B856" s="3" t="s">
        <x:v>2520</x:v>
      </x:c>
      <x:c r="C856" s="3" t="s">
        <x:v>2739</x:v>
      </x:c>
      <x:c r="D856" s="4" t="s">
        <x:v>2522</x:v>
      </x:c>
      <x:c r="E856" s="4"/>
      <x:c r="F856" s="4" t="s">
        <x:v>2740</x:v>
      </x:c>
      <x:c r="G856" s="3" t="s">
        <x:v>14</x:v>
      </x:c>
    </x:row>
    <x:row r="857">
      <x:c r="A857" s="3" t="s">
        <x:v>2741</x:v>
      </x:c>
      <x:c r="B857" s="3" t="s">
        <x:v>2520</x:v>
      </x:c>
      <x:c r="C857" s="3" t="s">
        <x:v>2742</x:v>
      </x:c>
      <x:c r="D857" s="4" t="s">
        <x:v>2522</x:v>
      </x:c>
      <x:c r="E857" s="4"/>
      <x:c r="F857" s="4" t="s">
        <x:v>2743</x:v>
      </x:c>
      <x:c r="G857" s="3" t="s">
        <x:v>14</x:v>
      </x:c>
    </x:row>
    <x:row r="858">
      <x:c r="A858" s="3" t="s">
        <x:v>2744</x:v>
      </x:c>
      <x:c r="B858" s="3" t="s">
        <x:v>2520</x:v>
      </x:c>
      <x:c r="C858" s="3" t="s">
        <x:v>2745</x:v>
      </x:c>
      <x:c r="D858" s="4" t="s">
        <x:v>2522</x:v>
      </x:c>
      <x:c r="E858" s="4"/>
      <x:c r="F858" s="4" t="s">
        <x:v>2746</x:v>
      </x:c>
      <x:c r="G858" s="3" t="s">
        <x:v>14</x:v>
      </x:c>
    </x:row>
    <x:row r="859">
      <x:c r="A859" s="3" t="s">
        <x:v>2747</x:v>
      </x:c>
      <x:c r="B859" s="3" t="s">
        <x:v>2520</x:v>
      </x:c>
      <x:c r="C859" s="3" t="s">
        <x:v>2748</x:v>
      </x:c>
      <x:c r="D859" s="4" t="s">
        <x:v>2522</x:v>
      </x:c>
      <x:c r="E859" s="4"/>
      <x:c r="F859" s="4" t="s">
        <x:v>2749</x:v>
      </x:c>
      <x:c r="G859" s="3" t="s">
        <x:v>14</x:v>
      </x:c>
    </x:row>
    <x:row r="860">
      <x:c r="A860" s="3" t="s">
        <x:v>2750</x:v>
      </x:c>
      <x:c r="B860" s="3" t="s">
        <x:v>2520</x:v>
      </x:c>
      <x:c r="C860" s="3" t="s">
        <x:v>2751</x:v>
      </x:c>
      <x:c r="D860" s="4" t="s">
        <x:v>2522</x:v>
      </x:c>
      <x:c r="E860" s="4"/>
      <x:c r="F860" s="4" t="s">
        <x:v>2752</x:v>
      </x:c>
      <x:c r="G860" s="3" t="s">
        <x:v>14</x:v>
      </x:c>
    </x:row>
    <x:row r="861">
      <x:c r="A861" s="3" t="s">
        <x:v>2753</x:v>
      </x:c>
      <x:c r="B861" s="3" t="s">
        <x:v>2520</x:v>
      </x:c>
      <x:c r="C861" s="3" t="s">
        <x:v>2754</x:v>
      </x:c>
      <x:c r="D861" s="4" t="s">
        <x:v>2522</x:v>
      </x:c>
      <x:c r="E861" s="4"/>
      <x:c r="F861" s="4" t="s">
        <x:v>2755</x:v>
      </x:c>
      <x:c r="G861" s="3" t="s">
        <x:v>14</x:v>
      </x:c>
    </x:row>
    <x:row r="862">
      <x:c r="A862" s="3" t="s">
        <x:v>2756</x:v>
      </x:c>
      <x:c r="B862" s="3" t="s">
        <x:v>2520</x:v>
      </x:c>
      <x:c r="C862" s="3" t="s">
        <x:v>2757</x:v>
      </x:c>
      <x:c r="D862" s="4" t="s">
        <x:v>2522</x:v>
      </x:c>
      <x:c r="E862" s="4"/>
      <x:c r="F862" s="4" t="s">
        <x:v>2758</x:v>
      </x:c>
      <x:c r="G862" s="3" t="s">
        <x:v>14</x:v>
      </x:c>
    </x:row>
    <x:row r="863">
      <x:c r="A863" s="3" t="s">
        <x:v>2759</x:v>
      </x:c>
      <x:c r="B863" s="3" t="s">
        <x:v>2520</x:v>
      </x:c>
      <x:c r="C863" s="3" t="s">
        <x:v>2760</x:v>
      </x:c>
      <x:c r="D863" s="4" t="s">
        <x:v>2522</x:v>
      </x:c>
      <x:c r="E863" s="4"/>
      <x:c r="F863" s="4" t="s">
        <x:v>2761</x:v>
      </x:c>
      <x:c r="G863" s="3" t="s">
        <x:v>14</x:v>
      </x:c>
    </x:row>
    <x:row r="864">
      <x:c r="A864" s="3" t="s">
        <x:v>2762</x:v>
      </x:c>
      <x:c r="B864" s="3" t="s">
        <x:v>2520</x:v>
      </x:c>
      <x:c r="C864" s="3" t="s">
        <x:v>2763</x:v>
      </x:c>
      <x:c r="D864" s="4" t="s">
        <x:v>2522</x:v>
      </x:c>
      <x:c r="E864" s="4"/>
      <x:c r="F864" s="4" t="s">
        <x:v>2764</x:v>
      </x:c>
      <x:c r="G864" s="3" t="s">
        <x:v>14</x:v>
      </x:c>
    </x:row>
    <x:row r="865">
      <x:c r="A865" s="3" t="s">
        <x:v>2765</x:v>
      </x:c>
      <x:c r="B865" s="3" t="s">
        <x:v>2520</x:v>
      </x:c>
      <x:c r="C865" s="3" t="s">
        <x:v>2766</x:v>
      </x:c>
      <x:c r="D865" s="4" t="s">
        <x:v>2522</x:v>
      </x:c>
      <x:c r="E865" s="4"/>
      <x:c r="F865" s="4" t="s">
        <x:v>2767</x:v>
      </x:c>
      <x:c r="G865" s="3" t="s">
        <x:v>14</x:v>
      </x:c>
    </x:row>
    <x:row r="866">
      <x:c r="A866" s="3" t="s">
        <x:v>2768</x:v>
      </x:c>
      <x:c r="B866" s="3" t="s">
        <x:v>2520</x:v>
      </x:c>
      <x:c r="C866" s="3" t="s">
        <x:v>2769</x:v>
      </x:c>
      <x:c r="D866" s="4" t="s">
        <x:v>2522</x:v>
      </x:c>
      <x:c r="E866" s="4"/>
      <x:c r="F866" s="4" t="s">
        <x:v>2770</x:v>
      </x:c>
      <x:c r="G866" s="3" t="s">
        <x:v>14</x:v>
      </x:c>
    </x:row>
    <x:row r="867">
      <x:c r="A867" s="3" t="s">
        <x:v>2771</x:v>
      </x:c>
      <x:c r="B867" s="3" t="s">
        <x:v>2520</x:v>
      </x:c>
      <x:c r="C867" s="3" t="s">
        <x:v>2772</x:v>
      </x:c>
      <x:c r="D867" s="4" t="s">
        <x:v>2522</x:v>
      </x:c>
      <x:c r="E867" s="4"/>
      <x:c r="F867" s="4" t="s">
        <x:v>2773</x:v>
      </x:c>
      <x:c r="G867" s="3" t="s">
        <x:v>14</x:v>
      </x:c>
    </x:row>
    <x:row r="868">
      <x:c r="A868" s="3" t="s">
        <x:v>2774</x:v>
      </x:c>
      <x:c r="B868" s="3" t="s">
        <x:v>2520</x:v>
      </x:c>
      <x:c r="C868" s="3" t="s">
        <x:v>2775</x:v>
      </x:c>
      <x:c r="D868" s="4" t="s">
        <x:v>2522</x:v>
      </x:c>
      <x:c r="E868" s="4"/>
      <x:c r="F868" s="4" t="s">
        <x:v>2776</x:v>
      </x:c>
      <x:c r="G868" s="3" t="s">
        <x:v>14</x:v>
      </x:c>
    </x:row>
    <x:row r="869">
      <x:c r="A869" s="3" t="s">
        <x:v>2777</x:v>
      </x:c>
      <x:c r="B869" s="3" t="s">
        <x:v>2520</x:v>
      </x:c>
      <x:c r="C869" s="3" t="s">
        <x:v>2778</x:v>
      </x:c>
      <x:c r="D869" s="4" t="s">
        <x:v>2522</x:v>
      </x:c>
      <x:c r="E869" s="4"/>
      <x:c r="F869" s="4" t="s">
        <x:v>2779</x:v>
      </x:c>
      <x:c r="G869" s="3" t="s">
        <x:v>14</x:v>
      </x:c>
    </x:row>
    <x:row r="870">
      <x:c r="A870" s="3" t="s">
        <x:v>2780</x:v>
      </x:c>
      <x:c r="B870" s="3" t="s">
        <x:v>2520</x:v>
      </x:c>
      <x:c r="C870" s="3" t="s">
        <x:v>2781</x:v>
      </x:c>
      <x:c r="D870" s="4" t="s">
        <x:v>2522</x:v>
      </x:c>
      <x:c r="E870" s="4"/>
      <x:c r="F870" s="4" t="s">
        <x:v>2782</x:v>
      </x:c>
      <x:c r="G870" s="3" t="s">
        <x:v>14</x:v>
      </x:c>
    </x:row>
    <x:row r="871">
      <x:c r="A871" s="3" t="s">
        <x:v>2783</x:v>
      </x:c>
      <x:c r="B871" s="3" t="s">
        <x:v>2520</x:v>
      </x:c>
      <x:c r="C871" s="3" t="s">
        <x:v>2784</x:v>
      </x:c>
      <x:c r="D871" s="4" t="s">
        <x:v>2522</x:v>
      </x:c>
      <x:c r="E871" s="4"/>
      <x:c r="F871" s="4" t="s">
        <x:v>2785</x:v>
      </x:c>
      <x:c r="G871" s="3" t="s">
        <x:v>14</x:v>
      </x:c>
    </x:row>
    <x:row r="872">
      <x:c r="A872" s="3" t="s">
        <x:v>2786</x:v>
      </x:c>
      <x:c r="B872" s="3" t="s">
        <x:v>2520</x:v>
      </x:c>
      <x:c r="C872" s="3" t="s">
        <x:v>2787</x:v>
      </x:c>
      <x:c r="D872" s="4" t="s">
        <x:v>2522</x:v>
      </x:c>
      <x:c r="E872" s="4"/>
      <x:c r="F872" s="4" t="s">
        <x:v>2788</x:v>
      </x:c>
      <x:c r="G872" s="3" t="s">
        <x:v>14</x:v>
      </x:c>
    </x:row>
    <x:row r="873">
      <x:c r="A873" s="3" t="s">
        <x:v>2789</x:v>
      </x:c>
      <x:c r="B873" s="3" t="s">
        <x:v>2520</x:v>
      </x:c>
      <x:c r="C873" s="3" t="s">
        <x:v>2790</x:v>
      </x:c>
      <x:c r="D873" s="4" t="s">
        <x:v>2522</x:v>
      </x:c>
      <x:c r="E873" s="4"/>
      <x:c r="F873" s="4" t="s">
        <x:v>2791</x:v>
      </x:c>
      <x:c r="G873" s="3" t="s">
        <x:v>14</x:v>
      </x:c>
    </x:row>
    <x:row r="874">
      <x:c r="A874" s="3" t="s">
        <x:v>2792</x:v>
      </x:c>
      <x:c r="B874" s="3" t="s">
        <x:v>2520</x:v>
      </x:c>
      <x:c r="C874" s="3" t="s">
        <x:v>2793</x:v>
      </x:c>
      <x:c r="D874" s="4" t="s">
        <x:v>2522</x:v>
      </x:c>
      <x:c r="E874" s="4"/>
      <x:c r="F874" s="4" t="s">
        <x:v>2794</x:v>
      </x:c>
      <x:c r="G874" s="3" t="s">
        <x:v>14</x:v>
      </x:c>
    </x:row>
    <x:row r="875" ht="30">
      <x:c r="A875" s="3" t="s">
        <x:v>2795</x:v>
      </x:c>
      <x:c r="B875" s="3" t="s">
        <x:v>2796</x:v>
      </x:c>
      <x:c r="C875" s="3" t="s">
        <x:v>2797</x:v>
      </x:c>
      <x:c r="D875" s="4" t="s">
        <x:v>2798</x:v>
      </x:c>
      <x:c r="E875" s="4" t="s">
        <x:v>2799</x:v>
      </x:c>
      <x:c r="F875" s="4" t="s">
        <x:v>2800</x:v>
      </x:c>
      <x:c r="G875" s="3" t="s">
        <x:v>2801</x:v>
      </x:c>
    </x:row>
    <x:row r="876" ht="30">
      <x:c r="A876" s="3" t="s">
        <x:v>2802</x:v>
      </x:c>
      <x:c r="B876" s="3" t="s">
        <x:v>2796</x:v>
      </x:c>
      <x:c r="C876" s="3" t="s">
        <x:v>2803</x:v>
      </x:c>
      <x:c r="D876" s="4" t="s">
        <x:v>2804</x:v>
      </x:c>
      <x:c r="E876" s="4" t="s">
        <x:v>2805</x:v>
      </x:c>
      <x:c r="F876" s="4" t="s">
        <x:v>2806</x:v>
      </x:c>
      <x:c r="G876" s="3" t="s">
        <x:v>2801</x:v>
      </x:c>
    </x:row>
    <x:row r="877" ht="45">
      <x:c r="A877" s="3" t="s">
        <x:v>2807</x:v>
      </x:c>
      <x:c r="B877" s="3" t="s">
        <x:v>2796</x:v>
      </x:c>
      <x:c r="C877" s="3" t="s">
        <x:v>2808</x:v>
      </x:c>
      <x:c r="D877" s="4" t="s">
        <x:v>2809</x:v>
      </x:c>
      <x:c r="E877" s="4" t="s">
        <x:v>2810</x:v>
      </x:c>
      <x:c r="F877" s="4" t="s">
        <x:v>2811</x:v>
      </x:c>
      <x:c r="G877" s="3" t="s">
        <x:v>1020</x:v>
      </x:c>
    </x:row>
    <x:row r="878" ht="30">
      <x:c r="A878" s="3" t="s">
        <x:v>2812</x:v>
      </x:c>
      <x:c r="B878" s="3" t="s">
        <x:v>2796</x:v>
      </x:c>
      <x:c r="C878" s="3" t="s">
        <x:v>2813</x:v>
      </x:c>
      <x:c r="D878" s="4" t="s">
        <x:v>2814</x:v>
      </x:c>
      <x:c r="E878" s="4" t="s">
        <x:v>2815</x:v>
      </x:c>
      <x:c r="F878" s="4" t="s">
        <x:v>2816</x:v>
      </x:c>
      <x:c r="G878" s="3" t="s">
        <x:v>14</x:v>
      </x:c>
    </x:row>
    <x:row r="879" ht="30">
      <x:c r="A879" s="3" t="s">
        <x:v>2817</x:v>
      </x:c>
      <x:c r="B879" s="3" t="s">
        <x:v>2796</x:v>
      </x:c>
      <x:c r="C879" s="3" t="s">
        <x:v>2818</x:v>
      </x:c>
      <x:c r="D879" s="4" t="s">
        <x:v>2819</x:v>
      </x:c>
      <x:c r="E879" s="4" t="s">
        <x:v>2820</x:v>
      </x:c>
      <x:c r="F879" s="4" t="s">
        <x:v>2821</x:v>
      </x:c>
      <x:c r="G879" s="3" t="s">
        <x:v>14</x:v>
      </x:c>
    </x:row>
    <x:row r="880" ht="45">
      <x:c r="A880" s="3" t="s">
        <x:v>2822</x:v>
      </x:c>
      <x:c r="B880" s="3" t="s">
        <x:v>2796</x:v>
      </x:c>
      <x:c r="C880" s="3" t="s">
        <x:v>2823</x:v>
      </x:c>
      <x:c r="D880" s="4" t="s">
        <x:v>2824</x:v>
      </x:c>
      <x:c r="E880" s="4" t="s">
        <x:v>2825</x:v>
      </x:c>
      <x:c r="F880" s="4" t="s">
        <x:v>2826</x:v>
      </x:c>
      <x:c r="G880" s="3" t="s">
        <x:v>2801</x:v>
      </x:c>
    </x:row>
    <x:row r="881" ht="45">
      <x:c r="A881" s="3" t="s">
        <x:v>2827</x:v>
      </x:c>
      <x:c r="B881" s="3" t="s">
        <x:v>2796</x:v>
      </x:c>
      <x:c r="C881" s="3" t="s">
        <x:v>2828</x:v>
      </x:c>
      <x:c r="D881" s="4" t="s">
        <x:v>2829</x:v>
      </x:c>
      <x:c r="E881" s="4" t="s">
        <x:v>2830</x:v>
      </x:c>
      <x:c r="F881" s="4" t="s">
        <x:v>2831</x:v>
      </x:c>
      <x:c r="G881" s="3" t="s">
        <x:v>1020</x:v>
      </x:c>
    </x:row>
    <x:row r="882" ht="30">
      <x:c r="A882" s="3" t="s">
        <x:v>2832</x:v>
      </x:c>
      <x:c r="B882" s="3" t="s">
        <x:v>2796</x:v>
      </x:c>
      <x:c r="C882" s="3" t="s">
        <x:v>2833</x:v>
      </x:c>
      <x:c r="D882" s="4" t="s">
        <x:v>2834</x:v>
      </x:c>
      <x:c r="E882" s="4" t="s">
        <x:v>2835</x:v>
      </x:c>
      <x:c r="F882" s="4" t="s">
        <x:v>2836</x:v>
      </x:c>
      <x:c r="G882" s="3" t="s">
        <x:v>2801</x:v>
      </x:c>
    </x:row>
    <x:row r="883" ht="30">
      <x:c r="A883" s="3" t="s">
        <x:v>2837</x:v>
      </x:c>
      <x:c r="B883" s="3" t="s">
        <x:v>2796</x:v>
      </x:c>
      <x:c r="C883" s="3" t="s">
        <x:v>2838</x:v>
      </x:c>
      <x:c r="D883" s="4" t="s">
        <x:v>2819</x:v>
      </x:c>
      <x:c r="E883" s="4" t="s">
        <x:v>2839</x:v>
      </x:c>
      <x:c r="F883" s="4" t="s">
        <x:v>2840</x:v>
      </x:c>
      <x:c r="G883" s="3" t="s">
        <x:v>2801</x:v>
      </x:c>
    </x:row>
    <x:row r="884">
      <x:c r="A884" s="3" t="s">
        <x:v>2841</x:v>
      </x:c>
      <x:c r="B884" s="3" t="s">
        <x:v>2796</x:v>
      </x:c>
      <x:c r="C884" s="3" t="s">
        <x:v>2842</x:v>
      </x:c>
      <x:c r="D884" s="4" t="s">
        <x:v>2819</x:v>
      </x:c>
      <x:c r="E884" s="4" t="s">
        <x:v>2843</x:v>
      </x:c>
      <x:c r="F884" s="4" t="s">
        <x:v>2844</x:v>
      </x:c>
      <x:c r="G884" s="3" t="s">
        <x:v>2801</x:v>
      </x:c>
    </x:row>
    <x:row r="885" ht="30">
      <x:c r="A885" s="3" t="s">
        <x:v>2845</x:v>
      </x:c>
      <x:c r="B885" s="3" t="s">
        <x:v>2796</x:v>
      </x:c>
      <x:c r="C885" s="3" t="s">
        <x:v>2846</x:v>
      </x:c>
      <x:c r="D885" s="4" t="s">
        <x:v>2834</x:v>
      </x:c>
      <x:c r="E885" s="4" t="s">
        <x:v>2847</x:v>
      </x:c>
      <x:c r="F885" s="4" t="s">
        <x:v>2848</x:v>
      </x:c>
      <x:c r="G885" s="3" t="s">
        <x:v>2801</x:v>
      </x:c>
    </x:row>
    <x:row r="886" ht="30">
      <x:c r="A886" s="3" t="s">
        <x:v>2849</x:v>
      </x:c>
      <x:c r="B886" s="3" t="s">
        <x:v>2796</x:v>
      </x:c>
      <x:c r="C886" s="3" t="s">
        <x:v>2850</x:v>
      </x:c>
      <x:c r="D886" s="4" t="s">
        <x:v>2851</x:v>
      </x:c>
      <x:c r="E886" s="4" t="s">
        <x:v>2852</x:v>
      </x:c>
      <x:c r="F886" s="4" t="s">
        <x:v>2853</x:v>
      </x:c>
      <x:c r="G886" s="3" t="s">
        <x:v>2801</x:v>
      </x:c>
    </x:row>
    <x:row r="887">
      <x:c r="A887" s="3" t="s">
        <x:v>2854</x:v>
      </x:c>
      <x:c r="B887" s="3" t="s">
        <x:v>2796</x:v>
      </x:c>
      <x:c r="C887" s="3" t="s">
        <x:v>2855</x:v>
      </x:c>
      <x:c r="D887" s="4" t="s">
        <x:v>2856</x:v>
      </x:c>
      <x:c r="E887" s="4" t="s">
        <x:v>2857</x:v>
      </x:c>
      <x:c r="F887" s="4" t="s">
        <x:v>2858</x:v>
      </x:c>
      <x:c r="G887" s="3" t="s">
        <x:v>2801</x:v>
      </x:c>
    </x:row>
    <x:row r="888" ht="30">
      <x:c r="A888" s="3" t="s">
        <x:v>2859</x:v>
      </x:c>
      <x:c r="B888" s="3" t="s">
        <x:v>2796</x:v>
      </x:c>
      <x:c r="C888" s="3" t="s">
        <x:v>2860</x:v>
      </x:c>
      <x:c r="D888" s="4" t="s">
        <x:v>2819</x:v>
      </x:c>
      <x:c r="E888" s="4" t="s">
        <x:v>2861</x:v>
      </x:c>
      <x:c r="F888" s="4" t="s">
        <x:v>2862</x:v>
      </x:c>
      <x:c r="G888" s="3" t="s">
        <x:v>2801</x:v>
      </x:c>
    </x:row>
    <x:row r="889" ht="30">
      <x:c r="A889" s="3" t="s">
        <x:v>2863</x:v>
      </x:c>
      <x:c r="B889" s="3" t="s">
        <x:v>2796</x:v>
      </x:c>
      <x:c r="C889" s="3" t="s">
        <x:v>2864</x:v>
      </x:c>
      <x:c r="D889" s="4" t="s">
        <x:v>2865</x:v>
      </x:c>
      <x:c r="E889" s="4" t="s">
        <x:v>2866</x:v>
      </x:c>
      <x:c r="F889" s="4" t="s">
        <x:v>2867</x:v>
      </x:c>
      <x:c r="G889" s="3" t="s">
        <x:v>2801</x:v>
      </x:c>
    </x:row>
    <x:row r="890" ht="45">
      <x:c r="A890" s="3" t="s">
        <x:v>2868</x:v>
      </x:c>
      <x:c r="B890" s="3" t="s">
        <x:v>2796</x:v>
      </x:c>
      <x:c r="C890" s="3" t="s">
        <x:v>2869</x:v>
      </x:c>
      <x:c r="D890" s="4" t="s">
        <x:v>2870</x:v>
      </x:c>
      <x:c r="E890" s="4" t="s">
        <x:v>2871</x:v>
      </x:c>
      <x:c r="F890" s="4" t="s">
        <x:v>2872</x:v>
      </x:c>
      <x:c r="G890" s="3" t="s">
        <x:v>2801</x:v>
      </x:c>
    </x:row>
    <x:row r="891" ht="30">
      <x:c r="A891" s="3" t="s">
        <x:v>2873</x:v>
      </x:c>
      <x:c r="B891" s="3" t="s">
        <x:v>2796</x:v>
      </x:c>
      <x:c r="C891" s="3" t="s">
        <x:v>2874</x:v>
      </x:c>
      <x:c r="D891" s="4" t="s">
        <x:v>2875</x:v>
      </x:c>
      <x:c r="E891" s="4" t="s">
        <x:v>2876</x:v>
      </x:c>
      <x:c r="F891" s="4" t="s">
        <x:v>2877</x:v>
      </x:c>
      <x:c r="G891" s="3" t="s">
        <x:v>2801</x:v>
      </x:c>
    </x:row>
    <x:row r="892" ht="30">
      <x:c r="A892" s="3" t="s">
        <x:v>2878</x:v>
      </x:c>
      <x:c r="B892" s="3" t="s">
        <x:v>2796</x:v>
      </x:c>
      <x:c r="C892" s="3" t="s">
        <x:v>2879</x:v>
      </x:c>
      <x:c r="D892" s="4" t="s">
        <x:v>2880</x:v>
      </x:c>
      <x:c r="E892" s="4" t="s">
        <x:v>2881</x:v>
      </x:c>
      <x:c r="F892" s="4" t="s">
        <x:v>2882</x:v>
      </x:c>
      <x:c r="G892" s="3" t="s">
        <x:v>2801</x:v>
      </x:c>
    </x:row>
    <x:row r="893" ht="45">
      <x:c r="A893" s="3" t="s">
        <x:v>2883</x:v>
      </x:c>
      <x:c r="B893" s="3" t="s">
        <x:v>2796</x:v>
      </x:c>
      <x:c r="C893" s="3" t="s">
        <x:v>2884</x:v>
      </x:c>
      <x:c r="D893" s="4" t="s">
        <x:v>2885</x:v>
      </x:c>
      <x:c r="E893" s="4" t="s">
        <x:v>2886</x:v>
      </x:c>
      <x:c r="F893" s="4" t="s">
        <x:v>2887</x:v>
      </x:c>
      <x:c r="G893" s="3" t="s">
        <x:v>2801</x:v>
      </x:c>
    </x:row>
    <x:row r="894" ht="30">
      <x:c r="A894" s="3" t="s">
        <x:v>2888</x:v>
      </x:c>
      <x:c r="B894" s="3" t="s">
        <x:v>2796</x:v>
      </x:c>
      <x:c r="C894" s="3" t="s">
        <x:v>2889</x:v>
      </x:c>
      <x:c r="D894" s="4" t="s">
        <x:v>2834</x:v>
      </x:c>
      <x:c r="E894" s="4" t="s">
        <x:v>2890</x:v>
      </x:c>
      <x:c r="F894" s="4" t="s">
        <x:v>2891</x:v>
      </x:c>
      <x:c r="G894" s="3" t="s">
        <x:v>1020</x:v>
      </x:c>
    </x:row>
    <x:row r="895" ht="30">
      <x:c r="A895" s="3" t="s">
        <x:v>2892</x:v>
      </x:c>
      <x:c r="B895" s="3" t="s">
        <x:v>2796</x:v>
      </x:c>
      <x:c r="C895" s="3" t="s">
        <x:v>2893</x:v>
      </x:c>
      <x:c r="D895" s="4" t="s">
        <x:v>2894</x:v>
      </x:c>
      <x:c r="E895" s="4" t="s">
        <x:v>2895</x:v>
      </x:c>
      <x:c r="F895" s="4" t="s">
        <x:v>2896</x:v>
      </x:c>
      <x:c r="G895" s="3" t="s">
        <x:v>2801</x:v>
      </x:c>
    </x:row>
    <x:row r="896" ht="30">
      <x:c r="A896" s="3" t="s">
        <x:v>2897</x:v>
      </x:c>
      <x:c r="B896" s="3" t="s">
        <x:v>2796</x:v>
      </x:c>
      <x:c r="C896" s="3" t="s">
        <x:v>2898</x:v>
      </x:c>
      <x:c r="D896" s="4" t="s">
        <x:v>2834</x:v>
      </x:c>
      <x:c r="E896" s="4" t="s">
        <x:v>2899</x:v>
      </x:c>
      <x:c r="F896" s="4" t="s">
        <x:v>2900</x:v>
      </x:c>
      <x:c r="G896" s="3" t="s">
        <x:v>2801</x:v>
      </x:c>
    </x:row>
    <x:row r="897" ht="30">
      <x:c r="A897" s="3" t="s">
        <x:v>2901</x:v>
      </x:c>
      <x:c r="B897" s="3" t="s">
        <x:v>2796</x:v>
      </x:c>
      <x:c r="C897" s="3" t="s">
        <x:v>2902</x:v>
      </x:c>
      <x:c r="D897" s="4" t="s">
        <x:v>2903</x:v>
      </x:c>
      <x:c r="E897" s="4" t="s">
        <x:v>2904</x:v>
      </x:c>
      <x:c r="F897" s="4" t="s">
        <x:v>2905</x:v>
      </x:c>
      <x:c r="G897" s="3" t="s">
        <x:v>2801</x:v>
      </x:c>
    </x:row>
    <x:row r="898" ht="45">
      <x:c r="A898" s="3" t="s">
        <x:v>2906</x:v>
      </x:c>
      <x:c r="B898" s="3" t="s">
        <x:v>2796</x:v>
      </x:c>
      <x:c r="C898" s="3" t="s">
        <x:v>2907</x:v>
      </x:c>
      <x:c r="D898" s="4" t="s">
        <x:v>2908</x:v>
      </x:c>
      <x:c r="E898" s="4" t="s">
        <x:v>2909</x:v>
      </x:c>
      <x:c r="F898" s="4" t="s">
        <x:v>2910</x:v>
      </x:c>
      <x:c r="G898" s="3" t="s">
        <x:v>2801</x:v>
      </x:c>
    </x:row>
    <x:row r="899" ht="30">
      <x:c r="A899" s="3" t="s">
        <x:v>2911</x:v>
      </x:c>
      <x:c r="B899" s="3" t="s">
        <x:v>2796</x:v>
      </x:c>
      <x:c r="C899" s="3" t="s">
        <x:v>2912</x:v>
      </x:c>
      <x:c r="D899" s="4" t="s">
        <x:v>2913</x:v>
      </x:c>
      <x:c r="E899" s="4" t="s">
        <x:v>2914</x:v>
      </x:c>
      <x:c r="F899" s="4" t="s">
        <x:v>2915</x:v>
      </x:c>
      <x:c r="G899" s="3" t="s">
        <x:v>2801</x:v>
      </x:c>
    </x:row>
    <x:row r="900" ht="30">
      <x:c r="A900" s="3" t="s">
        <x:v>2916</x:v>
      </x:c>
      <x:c r="B900" s="3" t="s">
        <x:v>2796</x:v>
      </x:c>
      <x:c r="C900" s="3" t="s">
        <x:v>2917</x:v>
      </x:c>
      <x:c r="D900" s="4" t="s">
        <x:v>2918</x:v>
      </x:c>
      <x:c r="E900" s="4" t="s">
        <x:v>2919</x:v>
      </x:c>
      <x:c r="F900" s="4" t="s">
        <x:v>2920</x:v>
      </x:c>
      <x:c r="G900" s="3" t="s">
        <x:v>2801</x:v>
      </x:c>
    </x:row>
    <x:row r="901" ht="30">
      <x:c r="A901" s="3" t="s">
        <x:v>2921</x:v>
      </x:c>
      <x:c r="B901" s="3" t="s">
        <x:v>2796</x:v>
      </x:c>
      <x:c r="C901" s="3" t="s">
        <x:v>2922</x:v>
      </x:c>
      <x:c r="D901" s="4" t="s">
        <x:v>2923</x:v>
      </x:c>
      <x:c r="E901" s="4" t="s">
        <x:v>2924</x:v>
      </x:c>
      <x:c r="F901" s="4" t="s">
        <x:v>2925</x:v>
      </x:c>
      <x:c r="G901" s="3" t="s">
        <x:v>2801</x:v>
      </x:c>
    </x:row>
    <x:row r="902" ht="30">
      <x:c r="A902" s="3" t="s">
        <x:v>2926</x:v>
      </x:c>
      <x:c r="B902" s="3" t="s">
        <x:v>2796</x:v>
      </x:c>
      <x:c r="C902" s="3" t="s">
        <x:v>2927</x:v>
      </x:c>
      <x:c r="D902" s="4" t="s">
        <x:v>2819</x:v>
      </x:c>
      <x:c r="E902" s="4" t="s">
        <x:v>2928</x:v>
      </x:c>
      <x:c r="F902" s="4" t="s">
        <x:v>2929</x:v>
      </x:c>
      <x:c r="G902" s="3" t="s">
        <x:v>2801</x:v>
      </x:c>
    </x:row>
    <x:row r="903" ht="30">
      <x:c r="A903" s="3" t="s">
        <x:v>2930</x:v>
      </x:c>
      <x:c r="B903" s="3" t="s">
        <x:v>2796</x:v>
      </x:c>
      <x:c r="C903" s="3" t="s">
        <x:v>2931</x:v>
      </x:c>
      <x:c r="D903" s="4" t="s">
        <x:v>2819</x:v>
      </x:c>
      <x:c r="E903" s="4" t="s">
        <x:v>2932</x:v>
      </x:c>
      <x:c r="F903" s="4" t="s">
        <x:v>2933</x:v>
      </x:c>
      <x:c r="G903" s="3" t="s">
        <x:v>2801</x:v>
      </x:c>
    </x:row>
    <x:row r="904" ht="30">
      <x:c r="A904" s="3" t="s">
        <x:v>2934</x:v>
      </x:c>
      <x:c r="B904" s="3" t="s">
        <x:v>2796</x:v>
      </x:c>
      <x:c r="C904" s="3" t="s">
        <x:v>2935</x:v>
      </x:c>
      <x:c r="D904" s="4" t="s">
        <x:v>2819</x:v>
      </x:c>
      <x:c r="E904" s="4" t="s">
        <x:v>2936</x:v>
      </x:c>
      <x:c r="F904" s="4" t="s">
        <x:v>2937</x:v>
      </x:c>
      <x:c r="G904" s="3" t="s">
        <x:v>2801</x:v>
      </x:c>
    </x:row>
    <x:row r="905" ht="30">
      <x:c r="A905" s="3" t="s">
        <x:v>2938</x:v>
      </x:c>
      <x:c r="B905" s="3" t="s">
        <x:v>2796</x:v>
      </x:c>
      <x:c r="C905" s="3" t="s">
        <x:v>2939</x:v>
      </x:c>
      <x:c r="D905" s="4" t="s">
        <x:v>2940</x:v>
      </x:c>
      <x:c r="E905" s="4" t="s">
        <x:v>2941</x:v>
      </x:c>
      <x:c r="F905" s="4" t="s">
        <x:v>2942</x:v>
      </x:c>
      <x:c r="G905" s="3" t="s">
        <x:v>2801</x:v>
      </x:c>
    </x:row>
    <x:row r="906" ht="30">
      <x:c r="A906" s="3" t="s">
        <x:v>2943</x:v>
      </x:c>
      <x:c r="B906" s="3" t="s">
        <x:v>2796</x:v>
      </x:c>
      <x:c r="C906" s="3" t="s">
        <x:v>2944</x:v>
      </x:c>
      <x:c r="D906" s="4" t="s">
        <x:v>2819</x:v>
      </x:c>
      <x:c r="E906" s="4" t="s">
        <x:v>2945</x:v>
      </x:c>
      <x:c r="F906" s="4" t="s">
        <x:v>2946</x:v>
      </x:c>
      <x:c r="G906" s="3" t="s">
        <x:v>2801</x:v>
      </x:c>
    </x:row>
    <x:row r="907" ht="30">
      <x:c r="A907" s="3" t="s">
        <x:v>2947</x:v>
      </x:c>
      <x:c r="B907" s="3" t="s">
        <x:v>2796</x:v>
      </x:c>
      <x:c r="C907" s="3" t="s">
        <x:v>2948</x:v>
      </x:c>
      <x:c r="D907" s="4" t="s">
        <x:v>2949</x:v>
      </x:c>
      <x:c r="E907" s="4" t="s">
        <x:v>2950</x:v>
      </x:c>
      <x:c r="F907" s="4" t="s">
        <x:v>2951</x:v>
      </x:c>
      <x:c r="G907" s="3" t="s">
        <x:v>2801</x:v>
      </x:c>
    </x:row>
    <x:row r="908" ht="30">
      <x:c r="A908" s="3" t="s">
        <x:v>2952</x:v>
      </x:c>
      <x:c r="B908" s="3" t="s">
        <x:v>2796</x:v>
      </x:c>
      <x:c r="C908" s="3" t="s">
        <x:v>2953</x:v>
      </x:c>
      <x:c r="D908" s="4" t="s">
        <x:v>2940</x:v>
      </x:c>
      <x:c r="E908" s="4" t="s">
        <x:v>2954</x:v>
      </x:c>
      <x:c r="F908" s="4" t="s">
        <x:v>2955</x:v>
      </x:c>
      <x:c r="G908" s="3" t="s">
        <x:v>2801</x:v>
      </x:c>
    </x:row>
    <x:row r="909" ht="30">
      <x:c r="A909" s="3" t="s">
        <x:v>2956</x:v>
      </x:c>
      <x:c r="B909" s="3" t="s">
        <x:v>2796</x:v>
      </x:c>
      <x:c r="C909" s="3" t="s">
        <x:v>2957</x:v>
      </x:c>
      <x:c r="D909" s="4" t="s">
        <x:v>2865</x:v>
      </x:c>
      <x:c r="E909" s="4" t="s">
        <x:v>2958</x:v>
      </x:c>
      <x:c r="F909" s="4" t="s">
        <x:v>2959</x:v>
      </x:c>
      <x:c r="G909" s="3" t="s">
        <x:v>2801</x:v>
      </x:c>
    </x:row>
    <x:row r="910" ht="30">
      <x:c r="A910" s="3" t="s">
        <x:v>2960</x:v>
      </x:c>
      <x:c r="B910" s="3" t="s">
        <x:v>2796</x:v>
      </x:c>
      <x:c r="C910" s="3" t="s">
        <x:v>2961</x:v>
      </x:c>
      <x:c r="D910" s="4" t="s">
        <x:v>2819</x:v>
      </x:c>
      <x:c r="E910" s="4" t="s">
        <x:v>2962</x:v>
      </x:c>
      <x:c r="F910" s="4" t="s">
        <x:v>2963</x:v>
      </x:c>
      <x:c r="G910" s="3" t="s">
        <x:v>2801</x:v>
      </x:c>
    </x:row>
    <x:row r="911" ht="30">
      <x:c r="A911" s="3" t="s">
        <x:v>2964</x:v>
      </x:c>
      <x:c r="B911" s="3" t="s">
        <x:v>2796</x:v>
      </x:c>
      <x:c r="C911" s="3" t="s">
        <x:v>2965</x:v>
      </x:c>
      <x:c r="D911" s="4" t="s">
        <x:v>2966</x:v>
      </x:c>
      <x:c r="E911" s="4" t="s">
        <x:v>2967</x:v>
      </x:c>
      <x:c r="F911" s="4" t="s">
        <x:v>2968</x:v>
      </x:c>
      <x:c r="G911" s="3" t="s">
        <x:v>2801</x:v>
      </x:c>
    </x:row>
    <x:row r="912">
      <x:c r="A912" s="3" t="s">
        <x:v>2969</x:v>
      </x:c>
      <x:c r="B912" s="3" t="s">
        <x:v>2796</x:v>
      </x:c>
      <x:c r="C912" s="3" t="s">
        <x:v>2970</x:v>
      </x:c>
      <x:c r="D912" s="4" t="s">
        <x:v>2949</x:v>
      </x:c>
      <x:c r="E912" s="4" t="s">
        <x:v>2971</x:v>
      </x:c>
      <x:c r="F912" s="4" t="s">
        <x:v>2972</x:v>
      </x:c>
      <x:c r="G912" s="3" t="s">
        <x:v>2801</x:v>
      </x:c>
    </x:row>
    <x:row r="913" ht="30">
      <x:c r="A913" s="3" t="s">
        <x:v>2973</x:v>
      </x:c>
      <x:c r="B913" s="3" t="s">
        <x:v>2796</x:v>
      </x:c>
      <x:c r="C913" s="3" t="s">
        <x:v>2974</x:v>
      </x:c>
      <x:c r="D913" s="4" t="s">
        <x:v>2975</x:v>
      </x:c>
      <x:c r="E913" s="4" t="s">
        <x:v>2976</x:v>
      </x:c>
      <x:c r="F913" s="4" t="s">
        <x:v>2977</x:v>
      </x:c>
      <x:c r="G913" s="3" t="s">
        <x:v>2801</x:v>
      </x:c>
    </x:row>
    <x:row r="914" ht="30">
      <x:c r="A914" s="3" t="s">
        <x:v>2978</x:v>
      </x:c>
      <x:c r="B914" s="3" t="s">
        <x:v>2796</x:v>
      </x:c>
      <x:c r="C914" s="3" t="s">
        <x:v>2979</x:v>
      </x:c>
      <x:c r="D914" s="4" t="s">
        <x:v>2980</x:v>
      </x:c>
      <x:c r="E914" s="4" t="s">
        <x:v>2981</x:v>
      </x:c>
      <x:c r="F914" s="4" t="s">
        <x:v>2982</x:v>
      </x:c>
      <x:c r="G914" s="3" t="s">
        <x:v>2801</x:v>
      </x:c>
    </x:row>
    <x:row r="915" ht="30">
      <x:c r="A915" s="3" t="s">
        <x:v>2983</x:v>
      </x:c>
      <x:c r="B915" s="3" t="s">
        <x:v>2796</x:v>
      </x:c>
      <x:c r="C915" s="3" t="s">
        <x:v>2984</x:v>
      </x:c>
      <x:c r="D915" s="4" t="s">
        <x:v>2985</x:v>
      </x:c>
      <x:c r="E915" s="4" t="s">
        <x:v>2986</x:v>
      </x:c>
      <x:c r="F915" s="4" t="s">
        <x:v>2987</x:v>
      </x:c>
      <x:c r="G915" s="3" t="s">
        <x:v>2801</x:v>
      </x:c>
    </x:row>
    <x:row r="916" ht="30">
      <x:c r="A916" s="3" t="s">
        <x:v>2988</x:v>
      </x:c>
      <x:c r="B916" s="3" t="s">
        <x:v>2796</x:v>
      </x:c>
      <x:c r="C916" s="3" t="s">
        <x:v>2989</x:v>
      </x:c>
      <x:c r="D916" s="4" t="s">
        <x:v>2990</x:v>
      </x:c>
      <x:c r="E916" s="4" t="s">
        <x:v>2991</x:v>
      </x:c>
      <x:c r="F916" s="4" t="s">
        <x:v>2992</x:v>
      </x:c>
      <x:c r="G916" s="3" t="s">
        <x:v>2801</x:v>
      </x:c>
    </x:row>
    <x:row r="917" ht="45">
      <x:c r="A917" s="3" t="s">
        <x:v>2993</x:v>
      </x:c>
      <x:c r="B917" s="3" t="s">
        <x:v>2796</x:v>
      </x:c>
      <x:c r="C917" s="3" t="s">
        <x:v>2994</x:v>
      </x:c>
      <x:c r="D917" s="4" t="s">
        <x:v>2995</x:v>
      </x:c>
      <x:c r="E917" s="4" t="s">
        <x:v>2996</x:v>
      </x:c>
      <x:c r="F917" s="4" t="s">
        <x:v>2997</x:v>
      </x:c>
      <x:c r="G917" s="3" t="s">
        <x:v>2801</x:v>
      </x:c>
    </x:row>
    <x:row r="918" ht="30">
      <x:c r="A918" s="3" t="s">
        <x:v>2998</x:v>
      </x:c>
      <x:c r="B918" s="3" t="s">
        <x:v>2796</x:v>
      </x:c>
      <x:c r="C918" s="3" t="s">
        <x:v>2999</x:v>
      </x:c>
      <x:c r="D918" s="4" t="s">
        <x:v>3000</x:v>
      </x:c>
      <x:c r="E918" s="4" t="s">
        <x:v>3001</x:v>
      </x:c>
      <x:c r="F918" s="4" t="s">
        <x:v>3002</x:v>
      </x:c>
      <x:c r="G918" s="3" t="s">
        <x:v>2801</x:v>
      </x:c>
    </x:row>
    <x:row r="919">
      <x:c r="A919" s="3" t="s">
        <x:v>3003</x:v>
      </x:c>
      <x:c r="B919" s="3" t="s">
        <x:v>2796</x:v>
      </x:c>
      <x:c r="C919" s="3" t="s">
        <x:v>3004</x:v>
      </x:c>
      <x:c r="D919" s="4" t="s">
        <x:v>2865</x:v>
      </x:c>
      <x:c r="E919" s="4" t="s">
        <x:v>3005</x:v>
      </x:c>
      <x:c r="F919" s="4" t="s">
        <x:v>3006</x:v>
      </x:c>
      <x:c r="G919" s="3" t="s">
        <x:v>2801</x:v>
      </x:c>
    </x:row>
    <x:row r="920" ht="30">
      <x:c r="A920" s="3" t="s">
        <x:v>3007</x:v>
      </x:c>
      <x:c r="B920" s="3" t="s">
        <x:v>2796</x:v>
      </x:c>
      <x:c r="C920" s="3" t="s">
        <x:v>3008</x:v>
      </x:c>
      <x:c r="D920" s="4" t="s">
        <x:v>3009</x:v>
      </x:c>
      <x:c r="E920" s="4" t="s">
        <x:v>3010</x:v>
      </x:c>
      <x:c r="F920" s="4" t="s">
        <x:v>3011</x:v>
      </x:c>
      <x:c r="G920" s="3" t="s">
        <x:v>2801</x:v>
      </x:c>
    </x:row>
    <x:row r="921" ht="30">
      <x:c r="A921" s="3" t="s">
        <x:v>3012</x:v>
      </x:c>
      <x:c r="B921" s="3" t="s">
        <x:v>2796</x:v>
      </x:c>
      <x:c r="C921" s="3" t="s">
        <x:v>3013</x:v>
      </x:c>
      <x:c r="D921" s="4" t="s">
        <x:v>2913</x:v>
      </x:c>
      <x:c r="E921" s="4" t="s">
        <x:v>3014</x:v>
      </x:c>
      <x:c r="F921" s="4" t="s">
        <x:v>3015</x:v>
      </x:c>
      <x:c r="G921" s="3" t="s">
        <x:v>2801</x:v>
      </x:c>
    </x:row>
    <x:row r="922" ht="30">
      <x:c r="A922" s="3" t="s">
        <x:v>3016</x:v>
      </x:c>
      <x:c r="B922" s="3" t="s">
        <x:v>2796</x:v>
      </x:c>
      <x:c r="C922" s="3" t="s">
        <x:v>3017</x:v>
      </x:c>
      <x:c r="D922" s="4" t="s">
        <x:v>2865</x:v>
      </x:c>
      <x:c r="E922" s="4" t="s">
        <x:v>3018</x:v>
      </x:c>
      <x:c r="F922" s="4" t="s">
        <x:v>3019</x:v>
      </x:c>
      <x:c r="G922" s="3" t="s">
        <x:v>2801</x:v>
      </x:c>
    </x:row>
    <x:row r="923" ht="30">
      <x:c r="A923" s="3" t="s">
        <x:v>3020</x:v>
      </x:c>
      <x:c r="B923" s="3" t="s">
        <x:v>2796</x:v>
      </x:c>
      <x:c r="C923" s="3" t="s">
        <x:v>3021</x:v>
      </x:c>
      <x:c r="D923" s="4" t="s">
        <x:v>3022</x:v>
      </x:c>
      <x:c r="E923" s="4" t="s">
        <x:v>3023</x:v>
      </x:c>
      <x:c r="F923" s="4" t="s">
        <x:v>3024</x:v>
      </x:c>
      <x:c r="G923" s="3" t="s">
        <x:v>2801</x:v>
      </x:c>
    </x:row>
    <x:row r="924" ht="30">
      <x:c r="A924" s="3" t="s">
        <x:v>3025</x:v>
      </x:c>
      <x:c r="B924" s="3" t="s">
        <x:v>2796</x:v>
      </x:c>
      <x:c r="C924" s="3" t="s">
        <x:v>3026</x:v>
      </x:c>
      <x:c r="D924" s="4" t="s">
        <x:v>2865</x:v>
      </x:c>
      <x:c r="E924" s="4" t="s">
        <x:v>3027</x:v>
      </x:c>
      <x:c r="F924" s="4" t="s">
        <x:v>3028</x:v>
      </x:c>
      <x:c r="G924" s="3" t="s">
        <x:v>2801</x:v>
      </x:c>
    </x:row>
    <x:row r="925" ht="30">
      <x:c r="A925" s="3" t="s">
        <x:v>3029</x:v>
      </x:c>
      <x:c r="B925" s="3" t="s">
        <x:v>2796</x:v>
      </x:c>
      <x:c r="C925" s="3" t="s">
        <x:v>3030</x:v>
      </x:c>
      <x:c r="D925" s="4" t="s">
        <x:v>3031</x:v>
      </x:c>
      <x:c r="E925" s="4" t="s">
        <x:v>3032</x:v>
      </x:c>
      <x:c r="F925" s="4" t="s">
        <x:v>3033</x:v>
      </x:c>
      <x:c r="G925" s="3" t="s">
        <x:v>2801</x:v>
      </x:c>
    </x:row>
    <x:row r="926" ht="30">
      <x:c r="A926" s="3" t="s">
        <x:v>3034</x:v>
      </x:c>
      <x:c r="B926" s="3" t="s">
        <x:v>2796</x:v>
      </x:c>
      <x:c r="C926" s="3" t="s">
        <x:v>3035</x:v>
      </x:c>
      <x:c r="D926" s="4" t="s">
        <x:v>3031</x:v>
      </x:c>
      <x:c r="E926" s="4" t="s">
        <x:v>3036</x:v>
      </x:c>
      <x:c r="F926" s="4" t="s">
        <x:v>3037</x:v>
      </x:c>
      <x:c r="G926" s="3" t="s">
        <x:v>2801</x:v>
      </x:c>
    </x:row>
    <x:row r="927" ht="30">
      <x:c r="A927" s="3" t="s">
        <x:v>3038</x:v>
      </x:c>
      <x:c r="B927" s="3" t="s">
        <x:v>2796</x:v>
      </x:c>
      <x:c r="C927" s="3" t="s">
        <x:v>3039</x:v>
      </x:c>
      <x:c r="D927" s="4" t="s">
        <x:v>3040</x:v>
      </x:c>
      <x:c r="E927" s="4" t="s">
        <x:v>3041</x:v>
      </x:c>
      <x:c r="F927" s="4" t="s">
        <x:v>3042</x:v>
      </x:c>
      <x:c r="G927" s="3" t="s">
        <x:v>2801</x:v>
      </x:c>
    </x:row>
    <x:row r="928" ht="30">
      <x:c r="A928" s="3" t="s">
        <x:v>3043</x:v>
      </x:c>
      <x:c r="B928" s="3" t="s">
        <x:v>2796</x:v>
      </x:c>
      <x:c r="C928" s="3" t="s">
        <x:v>3044</x:v>
      </x:c>
      <x:c r="D928" s="4" t="s">
        <x:v>3040</x:v>
      </x:c>
      <x:c r="E928" s="4" t="s">
        <x:v>3045</x:v>
      </x:c>
      <x:c r="F928" s="4" t="s">
        <x:v>3046</x:v>
      </x:c>
      <x:c r="G928" s="3" t="s">
        <x:v>2801</x:v>
      </x:c>
    </x:row>
    <x:row r="929" ht="30">
      <x:c r="A929" s="3" t="s">
        <x:v>3047</x:v>
      </x:c>
      <x:c r="B929" s="3" t="s">
        <x:v>2796</x:v>
      </x:c>
      <x:c r="C929" s="3" t="s">
        <x:v>3048</x:v>
      </x:c>
      <x:c r="D929" s="4" t="s">
        <x:v>3049</x:v>
      </x:c>
      <x:c r="E929" s="4" t="s">
        <x:v>3050</x:v>
      </x:c>
      <x:c r="F929" s="4" t="s">
        <x:v>3051</x:v>
      </x:c>
      <x:c r="G929" s="3" t="s">
        <x:v>2801</x:v>
      </x:c>
    </x:row>
    <x:row r="930" ht="30">
      <x:c r="A930" s="3" t="s">
        <x:v>3052</x:v>
      </x:c>
      <x:c r="B930" s="3" t="s">
        <x:v>2796</x:v>
      </x:c>
      <x:c r="C930" s="3" t="s">
        <x:v>3053</x:v>
      </x:c>
      <x:c r="D930" s="4" t="s">
        <x:v>3040</x:v>
      </x:c>
      <x:c r="E930" s="4" t="s">
        <x:v>3054</x:v>
      </x:c>
      <x:c r="F930" s="4" t="s">
        <x:v>3055</x:v>
      </x:c>
      <x:c r="G930" s="3" t="s">
        <x:v>2801</x:v>
      </x:c>
    </x:row>
    <x:row r="931" ht="30">
      <x:c r="A931" s="3" t="s">
        <x:v>3056</x:v>
      </x:c>
      <x:c r="B931" s="3" t="s">
        <x:v>2796</x:v>
      </x:c>
      <x:c r="C931" s="3" t="s">
        <x:v>3057</x:v>
      </x:c>
      <x:c r="D931" s="4" t="s">
        <x:v>3058</x:v>
      </x:c>
      <x:c r="E931" s="4" t="s">
        <x:v>3059</x:v>
      </x:c>
      <x:c r="F931" s="4" t="s">
        <x:v>3060</x:v>
      </x:c>
      <x:c r="G931" s="3" t="s">
        <x:v>2801</x:v>
      </x:c>
    </x:row>
    <x:row r="932">
      <x:c r="A932" s="3" t="s">
        <x:v>3061</x:v>
      </x:c>
      <x:c r="B932" s="3" t="s">
        <x:v>2796</x:v>
      </x:c>
      <x:c r="C932" s="3" t="s">
        <x:v>3062</x:v>
      </x:c>
      <x:c r="D932" s="4" t="s">
        <x:v>2865</x:v>
      </x:c>
      <x:c r="E932" s="4" t="s">
        <x:v>3063</x:v>
      </x:c>
      <x:c r="F932" s="4" t="s">
        <x:v>3064</x:v>
      </x:c>
      <x:c r="G932" s="3" t="s">
        <x:v>2801</x:v>
      </x:c>
    </x:row>
    <x:row r="933">
      <x:c r="A933" s="3" t="s">
        <x:v>3065</x:v>
      </x:c>
      <x:c r="B933" s="3" t="s">
        <x:v>2796</x:v>
      </x:c>
      <x:c r="C933" s="3" t="s">
        <x:v>3066</x:v>
      </x:c>
      <x:c r="D933" s="4" t="s">
        <x:v>2834</x:v>
      </x:c>
      <x:c r="E933" s="4" t="s">
        <x:v>3067</x:v>
      </x:c>
      <x:c r="F933" s="4" t="s">
        <x:v>3068</x:v>
      </x:c>
      <x:c r="G933" s="3" t="s">
        <x:v>2801</x:v>
      </x:c>
    </x:row>
    <x:row r="934" ht="45">
      <x:c r="A934" s="3" t="s">
        <x:v>3069</x:v>
      </x:c>
      <x:c r="B934" s="3" t="s">
        <x:v>2796</x:v>
      </x:c>
      <x:c r="C934" s="3" t="s">
        <x:v>3070</x:v>
      </x:c>
      <x:c r="D934" s="4" t="s">
        <x:v>3071</x:v>
      </x:c>
      <x:c r="E934" s="4" t="s">
        <x:v>3072</x:v>
      </x:c>
      <x:c r="F934" s="4" t="s">
        <x:v>3073</x:v>
      </x:c>
      <x:c r="G934" s="3" t="s">
        <x:v>2801</x:v>
      </x:c>
    </x:row>
    <x:row r="935">
      <x:c r="A935" s="3" t="s">
        <x:v>3074</x:v>
      </x:c>
      <x:c r="B935" s="3" t="s">
        <x:v>2796</x:v>
      </x:c>
      <x:c r="C935" s="3" t="s">
        <x:v>3075</x:v>
      </x:c>
      <x:c r="D935" s="4" t="s">
        <x:v>3076</x:v>
      </x:c>
      <x:c r="E935" s="4" t="s">
        <x:v>3077</x:v>
      </x:c>
      <x:c r="F935" s="4" t="s">
        <x:v>3078</x:v>
      </x:c>
      <x:c r="G935" s="3" t="s">
        <x:v>2801</x:v>
      </x:c>
    </x:row>
    <x:row r="936" ht="30">
      <x:c r="A936" s="3" t="s">
        <x:v>3079</x:v>
      </x:c>
      <x:c r="B936" s="3" t="s">
        <x:v>2796</x:v>
      </x:c>
      <x:c r="C936" s="3" t="s">
        <x:v>3080</x:v>
      </x:c>
      <x:c r="D936" s="4" t="s">
        <x:v>2865</x:v>
      </x:c>
      <x:c r="E936" s="4" t="s">
        <x:v>3081</x:v>
      </x:c>
      <x:c r="F936" s="4" t="s">
        <x:v>3082</x:v>
      </x:c>
      <x:c r="G936" s="3" t="s">
        <x:v>2801</x:v>
      </x:c>
    </x:row>
    <x:row r="937" ht="30">
      <x:c r="A937" s="3" t="s">
        <x:v>3083</x:v>
      </x:c>
      <x:c r="B937" s="3" t="s">
        <x:v>2796</x:v>
      </x:c>
      <x:c r="C937" s="3" t="s">
        <x:v>3084</x:v>
      </x:c>
      <x:c r="D937" s="4" t="s">
        <x:v>2865</x:v>
      </x:c>
      <x:c r="E937" s="4" t="s">
        <x:v>3085</x:v>
      </x:c>
      <x:c r="F937" s="4" t="s">
        <x:v>3086</x:v>
      </x:c>
      <x:c r="G937" s="3" t="s">
        <x:v>2801</x:v>
      </x:c>
    </x:row>
    <x:row r="938" ht="30">
      <x:c r="A938" s="3" t="s">
        <x:v>3087</x:v>
      </x:c>
      <x:c r="B938" s="3" t="s">
        <x:v>2796</x:v>
      </x:c>
      <x:c r="C938" s="3" t="s">
        <x:v>3088</x:v>
      </x:c>
      <x:c r="D938" s="4" t="s">
        <x:v>2798</x:v>
      </x:c>
      <x:c r="E938" s="4" t="s">
        <x:v>3089</x:v>
      </x:c>
      <x:c r="F938" s="4" t="s">
        <x:v>3090</x:v>
      </x:c>
      <x:c r="G938" s="3" t="s">
        <x:v>2801</x:v>
      </x:c>
    </x:row>
    <x:row r="939" ht="30">
      <x:c r="A939" s="3" t="s">
        <x:v>3091</x:v>
      </x:c>
      <x:c r="B939" s="3" t="s">
        <x:v>2796</x:v>
      </x:c>
      <x:c r="C939" s="3" t="s">
        <x:v>3092</x:v>
      </x:c>
      <x:c r="D939" s="4" t="s">
        <x:v>2819</x:v>
      </x:c>
      <x:c r="E939" s="4" t="s">
        <x:v>3093</x:v>
      </x:c>
      <x:c r="F939" s="4" t="s">
        <x:v>3094</x:v>
      </x:c>
      <x:c r="G939" s="3" t="s">
        <x:v>2801</x:v>
      </x:c>
    </x:row>
    <x:row r="940" ht="30">
      <x:c r="A940" s="3" t="s">
        <x:v>3095</x:v>
      </x:c>
      <x:c r="B940" s="3" t="s">
        <x:v>2796</x:v>
      </x:c>
      <x:c r="C940" s="3" t="s">
        <x:v>3096</x:v>
      </x:c>
      <x:c r="D940" s="4" t="s">
        <x:v>2819</x:v>
      </x:c>
      <x:c r="E940" s="4" t="s">
        <x:v>3097</x:v>
      </x:c>
      <x:c r="F940" s="4" t="s">
        <x:v>3098</x:v>
      </x:c>
      <x:c r="G940" s="3" t="s">
        <x:v>2801</x:v>
      </x:c>
    </x:row>
    <x:row r="941" ht="30">
      <x:c r="A941" s="3" t="s">
        <x:v>3099</x:v>
      </x:c>
      <x:c r="B941" s="3" t="s">
        <x:v>2796</x:v>
      </x:c>
      <x:c r="C941" s="3" t="s">
        <x:v>3100</x:v>
      </x:c>
      <x:c r="D941" s="4" t="s">
        <x:v>2949</x:v>
      </x:c>
      <x:c r="E941" s="4" t="s">
        <x:v>3101</x:v>
      </x:c>
      <x:c r="F941" s="4" t="s">
        <x:v>3102</x:v>
      </x:c>
      <x:c r="G941" s="3" t="s">
        <x:v>2801</x:v>
      </x:c>
    </x:row>
    <x:row r="942" ht="30">
      <x:c r="A942" s="3" t="s">
        <x:v>3103</x:v>
      </x:c>
      <x:c r="B942" s="3" t="s">
        <x:v>2796</x:v>
      </x:c>
      <x:c r="C942" s="3" t="s">
        <x:v>3104</x:v>
      </x:c>
      <x:c r="D942" s="4" t="s">
        <x:v>3105</x:v>
      </x:c>
      <x:c r="E942" s="4" t="s">
        <x:v>3106</x:v>
      </x:c>
      <x:c r="F942" s="4" t="s">
        <x:v>3107</x:v>
      </x:c>
      <x:c r="G942" s="3" t="s">
        <x:v>2801</x:v>
      </x:c>
    </x:row>
    <x:row r="943" ht="30">
      <x:c r="A943" s="3" t="s">
        <x:v>3108</x:v>
      </x:c>
      <x:c r="B943" s="3" t="s">
        <x:v>2796</x:v>
      </x:c>
      <x:c r="C943" s="3" t="s">
        <x:v>1051</x:v>
      </x:c>
      <x:c r="D943" s="4" t="s">
        <x:v>2966</x:v>
      </x:c>
      <x:c r="E943" s="4" t="s">
        <x:v>3109</x:v>
      </x:c>
      <x:c r="F943" s="4" t="s">
        <x:v>1053</x:v>
      </x:c>
      <x:c r="G943" s="3" t="s">
        <x:v>2801</x:v>
      </x:c>
    </x:row>
    <x:row r="944" ht="30">
      <x:c r="A944" s="3" t="s">
        <x:v>3110</x:v>
      </x:c>
      <x:c r="B944" s="3" t="s">
        <x:v>2796</x:v>
      </x:c>
      <x:c r="C944" s="3" t="s">
        <x:v>1055</x:v>
      </x:c>
      <x:c r="D944" s="4" t="s">
        <x:v>3111</x:v>
      </x:c>
      <x:c r="E944" s="4" t="s">
        <x:v>3112</x:v>
      </x:c>
      <x:c r="F944" s="4" t="s">
        <x:v>1057</x:v>
      </x:c>
      <x:c r="G944" s="3" t="s">
        <x:v>2801</x:v>
      </x:c>
    </x:row>
    <x:row r="945">
      <x:c r="A945" s="3" t="s">
        <x:v>3113</x:v>
      </x:c>
      <x:c r="B945" s="3" t="s">
        <x:v>2796</x:v>
      </x:c>
      <x:c r="C945" s="3" t="s">
        <x:v>3114</x:v>
      </x:c>
      <x:c r="D945" s="4" t="s">
        <x:v>2865</x:v>
      </x:c>
      <x:c r="E945" s="4" t="s">
        <x:v>3115</x:v>
      </x:c>
      <x:c r="F945" s="4" t="s">
        <x:v>3116</x:v>
      </x:c>
      <x:c r="G945" s="3" t="s">
        <x:v>2801</x:v>
      </x:c>
    </x:row>
    <x:row r="946" ht="30">
      <x:c r="A946" s="3" t="s">
        <x:v>3117</x:v>
      </x:c>
      <x:c r="B946" s="3" t="s">
        <x:v>2796</x:v>
      </x:c>
      <x:c r="C946" s="3" t="s">
        <x:v>3118</x:v>
      </x:c>
      <x:c r="D946" s="4" t="s">
        <x:v>3119</x:v>
      </x:c>
      <x:c r="E946" s="4" t="s">
        <x:v>3120</x:v>
      </x:c>
      <x:c r="F946" s="4" t="s">
        <x:v>3121</x:v>
      </x:c>
      <x:c r="G946" s="3" t="s">
        <x:v>2801</x:v>
      </x:c>
    </x:row>
    <x:row r="947" ht="30">
      <x:c r="A947" s="3" t="s">
        <x:v>3122</x:v>
      </x:c>
      <x:c r="B947" s="3" t="s">
        <x:v>2796</x:v>
      </x:c>
      <x:c r="C947" s="3" t="s">
        <x:v>3123</x:v>
      </x:c>
      <x:c r="D947" s="4" t="s">
        <x:v>3124</x:v>
      </x:c>
      <x:c r="E947" s="4" t="s">
        <x:v>3125</x:v>
      </x:c>
      <x:c r="F947" s="4" t="s">
        <x:v>3126</x:v>
      </x:c>
      <x:c r="G947" s="3" t="s">
        <x:v>2801</x:v>
      </x:c>
    </x:row>
    <x:row r="948" ht="30">
      <x:c r="A948" s="3" t="s">
        <x:v>3127</x:v>
      </x:c>
      <x:c r="B948" s="3" t="s">
        <x:v>2796</x:v>
      </x:c>
      <x:c r="C948" s="3" t="s">
        <x:v>3128</x:v>
      </x:c>
      <x:c r="D948" s="4" t="s">
        <x:v>3124</x:v>
      </x:c>
      <x:c r="E948" s="4" t="s">
        <x:v>3129</x:v>
      </x:c>
      <x:c r="F948" s="4" t="s">
        <x:v>3130</x:v>
      </x:c>
      <x:c r="G948" s="3" t="s">
        <x:v>2801</x:v>
      </x:c>
    </x:row>
    <x:row r="949" ht="30">
      <x:c r="A949" s="3" t="s">
        <x:v>3131</x:v>
      </x:c>
      <x:c r="B949" s="3" t="s">
        <x:v>2796</x:v>
      </x:c>
      <x:c r="C949" s="3" t="s">
        <x:v>3132</x:v>
      </x:c>
      <x:c r="D949" s="4" t="s">
        <x:v>3133</x:v>
      </x:c>
      <x:c r="E949" s="4" t="s">
        <x:v>3134</x:v>
      </x:c>
      <x:c r="F949" s="4" t="s">
        <x:v>3135</x:v>
      </x:c>
      <x:c r="G949" s="3" t="s">
        <x:v>2801</x:v>
      </x:c>
    </x:row>
    <x:row r="950" ht="30">
      <x:c r="A950" s="3" t="s">
        <x:v>3136</x:v>
      </x:c>
      <x:c r="B950" s="3" t="s">
        <x:v>2796</x:v>
      </x:c>
      <x:c r="C950" s="3" t="s">
        <x:v>3137</x:v>
      </x:c>
      <x:c r="D950" s="4" t="s">
        <x:v>2819</x:v>
      </x:c>
      <x:c r="E950" s="4" t="s">
        <x:v>3138</x:v>
      </x:c>
      <x:c r="F950" s="4" t="s">
        <x:v>3139</x:v>
      </x:c>
      <x:c r="G950" s="3" t="s">
        <x:v>2801</x:v>
      </x:c>
    </x:row>
    <x:row r="951" ht="30">
      <x:c r="A951" s="3" t="s">
        <x:v>3140</x:v>
      </x:c>
      <x:c r="B951" s="3" t="s">
        <x:v>2796</x:v>
      </x:c>
      <x:c r="C951" s="3" t="s">
        <x:v>3141</x:v>
      </x:c>
      <x:c r="D951" s="4" t="s">
        <x:v>3142</x:v>
      </x:c>
      <x:c r="E951" s="4" t="s">
        <x:v>3143</x:v>
      </x:c>
      <x:c r="F951" s="4" t="s">
        <x:v>3144</x:v>
      </x:c>
      <x:c r="G951" s="3" t="s">
        <x:v>2801</x:v>
      </x:c>
    </x:row>
    <x:row r="952" ht="30">
      <x:c r="A952" s="3" t="s">
        <x:v>3145</x:v>
      </x:c>
      <x:c r="B952" s="3" t="s">
        <x:v>2796</x:v>
      </x:c>
      <x:c r="C952" s="3" t="s">
        <x:v>3146</x:v>
      </x:c>
      <x:c r="D952" s="4" t="s">
        <x:v>3058</x:v>
      </x:c>
      <x:c r="E952" s="4" t="s">
        <x:v>3147</x:v>
      </x:c>
      <x:c r="F952" s="4" t="s">
        <x:v>3148</x:v>
      </x:c>
      <x:c r="G952" s="3" t="s">
        <x:v>2801</x:v>
      </x:c>
    </x:row>
    <x:row r="953" ht="45">
      <x:c r="A953" s="3" t="s">
        <x:v>3149</x:v>
      </x:c>
      <x:c r="B953" s="3" t="s">
        <x:v>2796</x:v>
      </x:c>
      <x:c r="C953" s="3" t="s">
        <x:v>3150</x:v>
      </x:c>
      <x:c r="D953" s="4" t="s">
        <x:v>3151</x:v>
      </x:c>
      <x:c r="E953" s="4" t="s">
        <x:v>3152</x:v>
      </x:c>
      <x:c r="F953" s="4" t="s">
        <x:v>3153</x:v>
      </x:c>
      <x:c r="G953" s="3" t="s">
        <x:v>2801</x:v>
      </x:c>
    </x:row>
    <x:row r="954" ht="30">
      <x:c r="A954" s="3" t="s">
        <x:v>3154</x:v>
      </x:c>
      <x:c r="B954" s="3" t="s">
        <x:v>2796</x:v>
      </x:c>
      <x:c r="C954" s="3" t="s">
        <x:v>3155</x:v>
      </x:c>
      <x:c r="D954" s="4" t="s">
        <x:v>2865</x:v>
      </x:c>
      <x:c r="E954" s="4" t="s">
        <x:v>3156</x:v>
      </x:c>
      <x:c r="F954" s="4" t="s">
        <x:v>3157</x:v>
      </x:c>
      <x:c r="G954" s="3" t="s">
        <x:v>2801</x:v>
      </x:c>
    </x:row>
    <x:row r="955" ht="30">
      <x:c r="A955" s="3" t="s">
        <x:v>3158</x:v>
      </x:c>
      <x:c r="B955" s="3" t="s">
        <x:v>2796</x:v>
      </x:c>
      <x:c r="C955" s="3" t="s">
        <x:v>1059</x:v>
      </x:c>
      <x:c r="D955" s="4" t="s">
        <x:v>3159</x:v>
      </x:c>
      <x:c r="E955" s="4" t="s">
        <x:v>3160</x:v>
      </x:c>
      <x:c r="F955" s="4" t="s">
        <x:v>1061</x:v>
      </x:c>
      <x:c r="G955" s="3" t="s">
        <x:v>2801</x:v>
      </x:c>
    </x:row>
    <x:row r="956" ht="30">
      <x:c r="A956" s="3" t="s">
        <x:v>3161</x:v>
      </x:c>
      <x:c r="B956" s="3" t="s">
        <x:v>2796</x:v>
      </x:c>
      <x:c r="C956" s="3" t="s">
        <x:v>3162</x:v>
      </x:c>
      <x:c r="D956" s="4" t="s">
        <x:v>3163</x:v>
      </x:c>
      <x:c r="E956" s="4" t="s">
        <x:v>3164</x:v>
      </x:c>
      <x:c r="F956" s="4" t="s">
        <x:v>3165</x:v>
      </x:c>
      <x:c r="G956" s="3" t="s">
        <x:v>2801</x:v>
      </x:c>
    </x:row>
    <x:row r="957" ht="30">
      <x:c r="A957" s="3" t="s">
        <x:v>3166</x:v>
      </x:c>
      <x:c r="B957" s="3" t="s">
        <x:v>2796</x:v>
      </x:c>
      <x:c r="C957" s="3" t="s">
        <x:v>3167</x:v>
      </x:c>
      <x:c r="D957" s="4" t="s">
        <x:v>3168</x:v>
      </x:c>
      <x:c r="E957" s="4" t="s">
        <x:v>3169</x:v>
      </x:c>
      <x:c r="F957" s="4" t="s">
        <x:v>3170</x:v>
      </x:c>
      <x:c r="G957" s="3" t="s">
        <x:v>2801</x:v>
      </x:c>
    </x:row>
    <x:row r="958" ht="30">
      <x:c r="A958" s="3" t="s">
        <x:v>3171</x:v>
      </x:c>
      <x:c r="B958" s="3" t="s">
        <x:v>2796</x:v>
      </x:c>
      <x:c r="C958" s="3" t="s">
        <x:v>3172</x:v>
      </x:c>
      <x:c r="D958" s="4" t="s">
        <x:v>3173</x:v>
      </x:c>
      <x:c r="E958" s="4" t="s">
        <x:v>3174</x:v>
      </x:c>
      <x:c r="F958" s="4" t="s">
        <x:v>3175</x:v>
      </x:c>
      <x:c r="G958" s="3" t="s">
        <x:v>2801</x:v>
      </x:c>
    </x:row>
    <x:row r="959" ht="30">
      <x:c r="A959" s="3" t="s">
        <x:v>3176</x:v>
      </x:c>
      <x:c r="B959" s="3" t="s">
        <x:v>2796</x:v>
      </x:c>
      <x:c r="C959" s="3" t="s">
        <x:v>3177</x:v>
      </x:c>
      <x:c r="D959" s="4" t="s">
        <x:v>3178</x:v>
      </x:c>
      <x:c r="E959" s="4" t="s">
        <x:v>3179</x:v>
      </x:c>
      <x:c r="F959" s="4" t="s">
        <x:v>3180</x:v>
      </x:c>
      <x:c r="G959" s="3" t="s">
        <x:v>2801</x:v>
      </x:c>
    </x:row>
    <x:row r="960" ht="30">
      <x:c r="A960" s="3" t="s">
        <x:v>3181</x:v>
      </x:c>
      <x:c r="B960" s="3" t="s">
        <x:v>2796</x:v>
      </x:c>
      <x:c r="C960" s="3" t="s">
        <x:v>3182</x:v>
      </x:c>
      <x:c r="D960" s="4" t="s">
        <x:v>3183</x:v>
      </x:c>
      <x:c r="E960" s="4" t="s">
        <x:v>3184</x:v>
      </x:c>
      <x:c r="F960" s="4" t="s">
        <x:v>3185</x:v>
      </x:c>
      <x:c r="G960" s="3" t="s">
        <x:v>2801</x:v>
      </x:c>
    </x:row>
    <x:row r="961" ht="30">
      <x:c r="A961" s="3" t="s">
        <x:v>3186</x:v>
      </x:c>
      <x:c r="B961" s="3" t="s">
        <x:v>2796</x:v>
      </x:c>
      <x:c r="C961" s="3" t="s">
        <x:v>1030</x:v>
      </x:c>
      <x:c r="D961" s="4" t="s">
        <x:v>2829</x:v>
      </x:c>
      <x:c r="E961" s="4" t="s">
        <x:v>3187</x:v>
      </x:c>
      <x:c r="F961" s="4" t="s">
        <x:v>1032</x:v>
      </x:c>
      <x:c r="G961" s="3" t="s">
        <x:v>2801</x:v>
      </x:c>
    </x:row>
    <x:row r="962" ht="30">
      <x:c r="A962" s="3" t="s">
        <x:v>3188</x:v>
      </x:c>
      <x:c r="B962" s="3" t="s">
        <x:v>2796</x:v>
      </x:c>
      <x:c r="C962" s="3" t="s">
        <x:v>1071</x:v>
      </x:c>
      <x:c r="D962" s="4" t="s">
        <x:v>3189</x:v>
      </x:c>
      <x:c r="E962" s="4" t="s">
        <x:v>3190</x:v>
      </x:c>
      <x:c r="F962" s="4" t="s">
        <x:v>1073</x:v>
      </x:c>
      <x:c r="G962" s="3" t="s">
        <x:v>2801</x:v>
      </x:c>
    </x:row>
    <x:row r="963" ht="45">
      <x:c r="A963" s="3" t="s">
        <x:v>3191</x:v>
      </x:c>
      <x:c r="B963" s="3" t="s">
        <x:v>2796</x:v>
      </x:c>
      <x:c r="C963" s="3" t="s">
        <x:v>1075</x:v>
      </x:c>
      <x:c r="D963" s="4" t="s">
        <x:v>3192</x:v>
      </x:c>
      <x:c r="E963" s="4" t="s">
        <x:v>3193</x:v>
      </x:c>
      <x:c r="F963" s="4" t="s">
        <x:v>1077</x:v>
      </x:c>
      <x:c r="G963" s="3" t="s">
        <x:v>2801</x:v>
      </x:c>
    </x:row>
    <x:row r="964" ht="30">
      <x:c r="A964" s="3" t="s">
        <x:v>3194</x:v>
      </x:c>
      <x:c r="B964" s="3" t="s">
        <x:v>2796</x:v>
      </x:c>
      <x:c r="C964" s="3" t="s">
        <x:v>3195</x:v>
      </x:c>
      <x:c r="D964" s="4" t="s">
        <x:v>3196</x:v>
      </x:c>
      <x:c r="E964" s="4" t="s">
        <x:v>3197</x:v>
      </x:c>
      <x:c r="F964" s="4" t="s">
        <x:v>3198</x:v>
      </x:c>
      <x:c r="G964" s="3" t="s">
        <x:v>2801</x:v>
      </x:c>
    </x:row>
    <x:row r="965" ht="45">
      <x:c r="A965" s="3" t="s">
        <x:v>3199</x:v>
      </x:c>
      <x:c r="B965" s="3" t="s">
        <x:v>2796</x:v>
      </x:c>
      <x:c r="C965" s="3" t="s">
        <x:v>1079</x:v>
      </x:c>
      <x:c r="D965" s="4" t="s">
        <x:v>3200</x:v>
      </x:c>
      <x:c r="E965" s="4" t="s">
        <x:v>3201</x:v>
      </x:c>
      <x:c r="F965" s="4" t="s">
        <x:v>1081</x:v>
      </x:c>
      <x:c r="G965" s="3" t="s">
        <x:v>2801</x:v>
      </x:c>
    </x:row>
    <x:row r="966" ht="30">
      <x:c r="A966" s="3" t="s">
        <x:v>3202</x:v>
      </x:c>
      <x:c r="B966" s="3" t="s">
        <x:v>2796</x:v>
      </x:c>
      <x:c r="C966" s="3" t="s">
        <x:v>3203</x:v>
      </x:c>
      <x:c r="D966" s="4" t="s">
        <x:v>3204</x:v>
      </x:c>
      <x:c r="E966" s="4" t="s">
        <x:v>3205</x:v>
      </x:c>
      <x:c r="F966" s="4" t="s">
        <x:v>3206</x:v>
      </x:c>
      <x:c r="G966" s="3" t="s">
        <x:v>2801</x:v>
      </x:c>
    </x:row>
    <x:row r="967" ht="30">
      <x:c r="A967" s="3" t="s">
        <x:v>3207</x:v>
      </x:c>
      <x:c r="B967" s="3" t="s">
        <x:v>2796</x:v>
      </x:c>
      <x:c r="C967" s="3" t="s">
        <x:v>3208</x:v>
      </x:c>
      <x:c r="D967" s="4" t="s">
        <x:v>2903</x:v>
      </x:c>
      <x:c r="E967" s="4" t="s">
        <x:v>3209</x:v>
      </x:c>
      <x:c r="F967" s="4" t="s">
        <x:v>3210</x:v>
      </x:c>
      <x:c r="G967" s="3" t="s">
        <x:v>2801</x:v>
      </x:c>
    </x:row>
    <x:row r="968" ht="30">
      <x:c r="A968" s="3" t="s">
        <x:v>3211</x:v>
      </x:c>
      <x:c r="B968" s="3" t="s">
        <x:v>2796</x:v>
      </x:c>
      <x:c r="C968" s="3" t="s">
        <x:v>3212</x:v>
      </x:c>
      <x:c r="D968" s="4" t="s">
        <x:v>2829</x:v>
      </x:c>
      <x:c r="E968" s="4" t="s">
        <x:v>3213</x:v>
      </x:c>
      <x:c r="F968" s="4" t="s">
        <x:v>3214</x:v>
      </x:c>
      <x:c r="G968" s="3" t="s">
        <x:v>2801</x:v>
      </x:c>
    </x:row>
    <x:row r="969">
      <x:c r="A969" s="3" t="s">
        <x:v>3215</x:v>
      </x:c>
      <x:c r="B969" s="3" t="s">
        <x:v>2796</x:v>
      </x:c>
      <x:c r="C969" s="3" t="s">
        <x:v>3216</x:v>
      </x:c>
      <x:c r="D969" s="4" t="s">
        <x:v>2865</x:v>
      </x:c>
      <x:c r="E969" s="4" t="s">
        <x:v>3217</x:v>
      </x:c>
      <x:c r="F969" s="4" t="s">
        <x:v>3218</x:v>
      </x:c>
      <x:c r="G969" s="3" t="s">
        <x:v>2801</x:v>
      </x:c>
    </x:row>
    <x:row r="970">
      <x:c r="A970" s="3" t="s">
        <x:v>3219</x:v>
      </x:c>
      <x:c r="B970" s="3" t="s">
        <x:v>2796</x:v>
      </x:c>
      <x:c r="C970" s="3" t="s">
        <x:v>3220</x:v>
      </x:c>
      <x:c r="D970" s="4" t="s">
        <x:v>3133</x:v>
      </x:c>
      <x:c r="E970" s="4" t="s">
        <x:v>3221</x:v>
      </x:c>
      <x:c r="F970" s="4" t="s">
        <x:v>3222</x:v>
      </x:c>
      <x:c r="G970" s="3" t="s">
        <x:v>2801</x:v>
      </x:c>
    </x:row>
    <x:row r="971" ht="30">
      <x:c r="A971" s="3" t="s">
        <x:v>3223</x:v>
      </x:c>
      <x:c r="B971" s="3" t="s">
        <x:v>2796</x:v>
      </x:c>
      <x:c r="C971" s="3" t="s">
        <x:v>3224</x:v>
      </x:c>
      <x:c r="D971" s="4" t="s">
        <x:v>3124</x:v>
      </x:c>
      <x:c r="E971" s="4" t="s">
        <x:v>3225</x:v>
      </x:c>
      <x:c r="F971" s="4" t="s">
        <x:v>3226</x:v>
      </x:c>
      <x:c r="G971" s="3" t="s">
        <x:v>2801</x:v>
      </x:c>
    </x:row>
    <x:row r="972" ht="30">
      <x:c r="A972" s="3" t="s">
        <x:v>3227</x:v>
      </x:c>
      <x:c r="B972" s="3" t="s">
        <x:v>2796</x:v>
      </x:c>
      <x:c r="C972" s="3" t="s">
        <x:v>3228</x:v>
      </x:c>
      <x:c r="D972" s="4" t="s">
        <x:v>2834</x:v>
      </x:c>
      <x:c r="E972" s="4" t="s">
        <x:v>3229</x:v>
      </x:c>
      <x:c r="F972" s="4" t="s">
        <x:v>3230</x:v>
      </x:c>
      <x:c r="G972" s="3" t="s">
        <x:v>2801</x:v>
      </x:c>
    </x:row>
    <x:row r="973" ht="30">
      <x:c r="A973" s="3" t="s">
        <x:v>3231</x:v>
      </x:c>
      <x:c r="B973" s="3" t="s">
        <x:v>2796</x:v>
      </x:c>
      <x:c r="C973" s="3" t="s">
        <x:v>3232</x:v>
      </x:c>
      <x:c r="D973" s="4" t="s">
        <x:v>3233</x:v>
      </x:c>
      <x:c r="E973" s="4" t="s">
        <x:v>3234</x:v>
      </x:c>
      <x:c r="F973" s="4" t="s">
        <x:v>3235</x:v>
      </x:c>
      <x:c r="G973" s="3" t="s">
        <x:v>2801</x:v>
      </x:c>
    </x:row>
    <x:row r="974" ht="30">
      <x:c r="A974" s="3" t="s">
        <x:v>3236</x:v>
      </x:c>
      <x:c r="B974" s="3" t="s">
        <x:v>2796</x:v>
      </x:c>
      <x:c r="C974" s="3" t="s">
        <x:v>3237</x:v>
      </x:c>
      <x:c r="D974" s="4" t="s">
        <x:v>3238</x:v>
      </x:c>
      <x:c r="E974" s="4" t="s">
        <x:v>3239</x:v>
      </x:c>
      <x:c r="F974" s="4" t="s">
        <x:v>3240</x:v>
      </x:c>
      <x:c r="G974" s="3" t="s">
        <x:v>2801</x:v>
      </x:c>
    </x:row>
    <x:row r="975" ht="30">
      <x:c r="A975" s="3" t="s">
        <x:v>3241</x:v>
      </x:c>
      <x:c r="B975" s="3" t="s">
        <x:v>2796</x:v>
      </x:c>
      <x:c r="C975" s="3" t="s">
        <x:v>3242</x:v>
      </x:c>
      <x:c r="D975" s="4" t="s">
        <x:v>3243</x:v>
      </x:c>
      <x:c r="E975" s="4" t="s">
        <x:v>3244</x:v>
      </x:c>
      <x:c r="F975" s="4" t="s">
        <x:v>3245</x:v>
      </x:c>
      <x:c r="G975" s="3" t="s">
        <x:v>2801</x:v>
      </x:c>
    </x:row>
    <x:row r="976">
      <x:c r="A976" s="3" t="s">
        <x:v>3246</x:v>
      </x:c>
      <x:c r="B976" s="3" t="s">
        <x:v>2796</x:v>
      </x:c>
      <x:c r="C976" s="3" t="s">
        <x:v>3247</x:v>
      </x:c>
      <x:c r="D976" s="4" t="s">
        <x:v>3248</x:v>
      </x:c>
      <x:c r="E976" s="4" t="s">
        <x:v>3249</x:v>
      </x:c>
      <x:c r="F976" s="4" t="s">
        <x:v>3250</x:v>
      </x:c>
      <x:c r="G976" s="3" t="s">
        <x:v>2801</x:v>
      </x:c>
    </x:row>
    <x:row r="977" ht="30">
      <x:c r="A977" s="3" t="s">
        <x:v>3251</x:v>
      </x:c>
      <x:c r="B977" s="3" t="s">
        <x:v>2796</x:v>
      </x:c>
      <x:c r="C977" s="3" t="s">
        <x:v>3252</x:v>
      </x:c>
      <x:c r="D977" s="4" t="s">
        <x:v>3253</x:v>
      </x:c>
      <x:c r="E977" s="4" t="s">
        <x:v>3254</x:v>
      </x:c>
      <x:c r="F977" s="4" t="s">
        <x:v>3255</x:v>
      </x:c>
      <x:c r="G977" s="3" t="s">
        <x:v>2801</x:v>
      </x:c>
    </x:row>
    <x:row r="978">
      <x:c r="A978" s="3" t="s">
        <x:v>3256</x:v>
      </x:c>
      <x:c r="B978" s="3" t="s">
        <x:v>2796</x:v>
      </x:c>
      <x:c r="C978" s="3" t="s">
        <x:v>3257</x:v>
      </x:c>
      <x:c r="D978" s="4" t="s">
        <x:v>2819</x:v>
      </x:c>
      <x:c r="E978" s="4" t="s">
        <x:v>3258</x:v>
      </x:c>
      <x:c r="F978" s="4" t="s">
        <x:v>3259</x:v>
      </x:c>
      <x:c r="G978" s="3" t="s">
        <x:v>2801</x:v>
      </x:c>
    </x:row>
    <x:row r="979" ht="30">
      <x:c r="A979" s="3" t="s">
        <x:v>3260</x:v>
      </x:c>
      <x:c r="B979" s="3" t="s">
        <x:v>2796</x:v>
      </x:c>
      <x:c r="C979" s="3" t="s">
        <x:v>3261</x:v>
      </x:c>
      <x:c r="D979" s="4" t="s">
        <x:v>2819</x:v>
      </x:c>
      <x:c r="E979" s="4" t="s">
        <x:v>3262</x:v>
      </x:c>
      <x:c r="F979" s="4" t="s">
        <x:v>3263</x:v>
      </x:c>
      <x:c r="G979" s="3" t="s">
        <x:v>2801</x:v>
      </x:c>
    </x:row>
    <x:row r="980" ht="30">
      <x:c r="A980" s="3" t="s">
        <x:v>3264</x:v>
      </x:c>
      <x:c r="B980" s="3" t="s">
        <x:v>2796</x:v>
      </x:c>
      <x:c r="C980" s="3" t="s">
        <x:v>3265</x:v>
      </x:c>
      <x:c r="D980" s="4" t="s">
        <x:v>2819</x:v>
      </x:c>
      <x:c r="E980" s="4" t="s">
        <x:v>3266</x:v>
      </x:c>
      <x:c r="F980" s="4" t="s">
        <x:v>3267</x:v>
      </x:c>
      <x:c r="G980" s="3" t="s">
        <x:v>2801</x:v>
      </x:c>
    </x:row>
    <x:row r="981" ht="30">
      <x:c r="A981" s="3" t="s">
        <x:v>3268</x:v>
      </x:c>
      <x:c r="B981" s="3" t="s">
        <x:v>2796</x:v>
      </x:c>
      <x:c r="C981" s="3" t="s">
        <x:v>3269</x:v>
      </x:c>
      <x:c r="D981" s="4" t="s">
        <x:v>2865</x:v>
      </x:c>
      <x:c r="E981" s="4" t="s">
        <x:v>3270</x:v>
      </x:c>
      <x:c r="F981" s="4" t="s">
        <x:v>3271</x:v>
      </x:c>
      <x:c r="G981" s="3" t="s">
        <x:v>2801</x:v>
      </x:c>
    </x:row>
    <x:row r="982" ht="30">
      <x:c r="A982" s="3" t="s">
        <x:v>3272</x:v>
      </x:c>
      <x:c r="B982" s="3" t="s">
        <x:v>2796</x:v>
      </x:c>
      <x:c r="C982" s="3" t="s">
        <x:v>3273</x:v>
      </x:c>
      <x:c r="D982" s="4" t="s">
        <x:v>2804</x:v>
      </x:c>
      <x:c r="E982" s="4" t="s">
        <x:v>3274</x:v>
      </x:c>
      <x:c r="F982" s="4" t="s">
        <x:v>3275</x:v>
      </x:c>
      <x:c r="G982" s="3" t="s">
        <x:v>2801</x:v>
      </x:c>
    </x:row>
    <x:row r="983" ht="30">
      <x:c r="A983" s="3" t="s">
        <x:v>3276</x:v>
      </x:c>
      <x:c r="B983" s="3" t="s">
        <x:v>2796</x:v>
      </x:c>
      <x:c r="C983" s="3" t="s">
        <x:v>1083</x:v>
      </x:c>
      <x:c r="D983" s="4" t="s">
        <x:v>3277</x:v>
      </x:c>
      <x:c r="E983" s="4" t="s">
        <x:v>3278</x:v>
      </x:c>
      <x:c r="F983" s="4" t="s">
        <x:v>1085</x:v>
      </x:c>
      <x:c r="G983" s="3" t="s">
        <x:v>2801</x:v>
      </x:c>
    </x:row>
    <x:row r="984" ht="30">
      <x:c r="A984" s="3" t="s">
        <x:v>3279</x:v>
      </x:c>
      <x:c r="B984" s="3" t="s">
        <x:v>2796</x:v>
      </x:c>
      <x:c r="C984" s="3" t="s">
        <x:v>1087</x:v>
      </x:c>
      <x:c r="D984" s="4" t="s">
        <x:v>3280</x:v>
      </x:c>
      <x:c r="E984" s="4" t="s">
        <x:v>3281</x:v>
      </x:c>
      <x:c r="F984" s="4" t="s">
        <x:v>1089</x:v>
      </x:c>
      <x:c r="G984" s="3" t="s">
        <x:v>2801</x:v>
      </x:c>
    </x:row>
    <x:row r="985">
      <x:c r="A985" s="3" t="s">
        <x:v>3282</x:v>
      </x:c>
      <x:c r="B985" s="3" t="s">
        <x:v>2796</x:v>
      </x:c>
      <x:c r="C985" s="3" t="s">
        <x:v>3283</x:v>
      </x:c>
      <x:c r="D985" s="4" t="s">
        <x:v>2834</x:v>
      </x:c>
      <x:c r="E985" s="4" t="s">
        <x:v>3284</x:v>
      </x:c>
      <x:c r="F985" s="4" t="s">
        <x:v>3285</x:v>
      </x:c>
      <x:c r="G985" s="3" t="s">
        <x:v>2801</x:v>
      </x:c>
    </x:row>
    <x:row r="986" ht="30">
      <x:c r="A986" s="3" t="s">
        <x:v>3286</x:v>
      </x:c>
      <x:c r="B986" s="3" t="s">
        <x:v>2796</x:v>
      </x:c>
      <x:c r="C986" s="3" t="s">
        <x:v>3287</x:v>
      </x:c>
      <x:c r="D986" s="4" t="s">
        <x:v>3133</x:v>
      </x:c>
      <x:c r="E986" s="4" t="s">
        <x:v>3288</x:v>
      </x:c>
      <x:c r="F986" s="4" t="s">
        <x:v>3289</x:v>
      </x:c>
      <x:c r="G986" s="3" t="s">
        <x:v>2801</x:v>
      </x:c>
    </x:row>
    <x:row r="987" ht="30">
      <x:c r="A987" s="3" t="s">
        <x:v>3290</x:v>
      </x:c>
      <x:c r="B987" s="3" t="s">
        <x:v>2796</x:v>
      </x:c>
      <x:c r="C987" s="3" t="s">
        <x:v>3291</x:v>
      </x:c>
      <x:c r="D987" s="4" t="s">
        <x:v>3292</x:v>
      </x:c>
      <x:c r="E987" s="4" t="s">
        <x:v>3293</x:v>
      </x:c>
      <x:c r="F987" s="4" t="s">
        <x:v>3294</x:v>
      </x:c>
      <x:c r="G987" s="3" t="s">
        <x:v>2801</x:v>
      </x:c>
    </x:row>
    <x:row r="988" ht="45">
      <x:c r="A988" s="3" t="s">
        <x:v>3295</x:v>
      </x:c>
      <x:c r="B988" s="3" t="s">
        <x:v>2796</x:v>
      </x:c>
      <x:c r="C988" s="3" t="s">
        <x:v>1091</x:v>
      </x:c>
      <x:c r="D988" s="4" t="s">
        <x:v>3296</x:v>
      </x:c>
      <x:c r="E988" s="4" t="s">
        <x:v>3297</x:v>
      </x:c>
      <x:c r="F988" s="4" t="s">
        <x:v>1093</x:v>
      </x:c>
      <x:c r="G988" s="3" t="s">
        <x:v>2801</x:v>
      </x:c>
    </x:row>
    <x:row r="989" ht="30">
      <x:c r="A989" s="3" t="s">
        <x:v>3298</x:v>
      </x:c>
      <x:c r="B989" s="3" t="s">
        <x:v>2796</x:v>
      </x:c>
      <x:c r="C989" s="3" t="s">
        <x:v>3299</x:v>
      </x:c>
      <x:c r="D989" s="4" t="s">
        <x:v>3300</x:v>
      </x:c>
      <x:c r="E989" s="4" t="s">
        <x:v>3301</x:v>
      </x:c>
      <x:c r="F989" s="4" t="s">
        <x:v>3302</x:v>
      </x:c>
      <x:c r="G989" s="3" t="s">
        <x:v>2801</x:v>
      </x:c>
    </x:row>
    <x:row r="990" ht="30">
      <x:c r="A990" s="3" t="s">
        <x:v>3303</x:v>
      </x:c>
      <x:c r="B990" s="3" t="s">
        <x:v>2796</x:v>
      </x:c>
      <x:c r="C990" s="3" t="s">
        <x:v>3304</x:v>
      </x:c>
      <x:c r="D990" s="4" t="s">
        <x:v>3305</x:v>
      </x:c>
      <x:c r="E990" s="4" t="s">
        <x:v>3306</x:v>
      </x:c>
      <x:c r="F990" s="4" t="s">
        <x:v>3307</x:v>
      </x:c>
      <x:c r="G990" s="3" t="s">
        <x:v>2801</x:v>
      </x:c>
    </x:row>
    <x:row r="991" ht="45">
      <x:c r="A991" s="3" t="s">
        <x:v>3308</x:v>
      </x:c>
      <x:c r="B991" s="3" t="s">
        <x:v>2796</x:v>
      </x:c>
      <x:c r="C991" s="3" t="s">
        <x:v>3309</x:v>
      </x:c>
      <x:c r="D991" s="4" t="s">
        <x:v>3310</x:v>
      </x:c>
      <x:c r="E991" s="4" t="s">
        <x:v>3311</x:v>
      </x:c>
      <x:c r="F991" s="4" t="s">
        <x:v>3312</x:v>
      </x:c>
      <x:c r="G991" s="3" t="s">
        <x:v>2801</x:v>
      </x:c>
    </x:row>
    <x:row r="992" ht="30">
      <x:c r="A992" s="3" t="s">
        <x:v>3313</x:v>
      </x:c>
      <x:c r="B992" s="3" t="s">
        <x:v>2796</x:v>
      </x:c>
      <x:c r="C992" s="3" t="s">
        <x:v>3314</x:v>
      </x:c>
      <x:c r="D992" s="4" t="s">
        <x:v>3168</x:v>
      </x:c>
      <x:c r="E992" s="4" t="s">
        <x:v>3315</x:v>
      </x:c>
      <x:c r="F992" s="4" t="s">
        <x:v>3316</x:v>
      </x:c>
      <x:c r="G992" s="3" t="s">
        <x:v>2801</x:v>
      </x:c>
    </x:row>
    <x:row r="993" ht="30">
      <x:c r="A993" s="3" t="s">
        <x:v>3317</x:v>
      </x:c>
      <x:c r="B993" s="3" t="s">
        <x:v>2796</x:v>
      </x:c>
      <x:c r="C993" s="3" t="s">
        <x:v>3318</x:v>
      </x:c>
      <x:c r="D993" s="4" t="s">
        <x:v>2865</x:v>
      </x:c>
      <x:c r="E993" s="4" t="s">
        <x:v>3319</x:v>
      </x:c>
      <x:c r="F993" s="4" t="s">
        <x:v>3320</x:v>
      </x:c>
      <x:c r="G993" s="3" t="s">
        <x:v>2801</x:v>
      </x:c>
    </x:row>
    <x:row r="994" ht="30">
      <x:c r="A994" s="3" t="s">
        <x:v>3321</x:v>
      </x:c>
      <x:c r="B994" s="3" t="s">
        <x:v>2796</x:v>
      </x:c>
      <x:c r="C994" s="3" t="s">
        <x:v>3322</x:v>
      </x:c>
      <x:c r="D994" s="4" t="s">
        <x:v>3022</x:v>
      </x:c>
      <x:c r="E994" s="4" t="s">
        <x:v>3323</x:v>
      </x:c>
      <x:c r="F994" s="4" t="s">
        <x:v>3324</x:v>
      </x:c>
      <x:c r="G994" s="3" t="s">
        <x:v>2801</x:v>
      </x:c>
    </x:row>
    <x:row r="995" ht="30">
      <x:c r="A995" s="3" t="s">
        <x:v>3325</x:v>
      </x:c>
      <x:c r="B995" s="3" t="s">
        <x:v>2796</x:v>
      </x:c>
      <x:c r="C995" s="3" t="s">
        <x:v>1095</x:v>
      </x:c>
      <x:c r="D995" s="4" t="s">
        <x:v>3326</x:v>
      </x:c>
      <x:c r="E995" s="4" t="s">
        <x:v>3327</x:v>
      </x:c>
      <x:c r="F995" s="4" t="s">
        <x:v>1097</x:v>
      </x:c>
      <x:c r="G995" s="3" t="s">
        <x:v>2801</x:v>
      </x:c>
    </x:row>
    <x:row r="996" ht="30">
      <x:c r="A996" s="3" t="s">
        <x:v>3328</x:v>
      </x:c>
      <x:c r="B996" s="3" t="s">
        <x:v>2796</x:v>
      </x:c>
      <x:c r="C996" s="3" t="s">
        <x:v>3329</x:v>
      </x:c>
      <x:c r="D996" s="4" t="s">
        <x:v>2834</x:v>
      </x:c>
      <x:c r="E996" s="4" t="s">
        <x:v>3330</x:v>
      </x:c>
      <x:c r="F996" s="4" t="s">
        <x:v>3331</x:v>
      </x:c>
      <x:c r="G996" s="3" t="s">
        <x:v>2801</x:v>
      </x:c>
    </x:row>
    <x:row r="997" ht="30">
      <x:c r="A997" s="3" t="s">
        <x:v>3332</x:v>
      </x:c>
      <x:c r="B997" s="3" t="s">
        <x:v>2796</x:v>
      </x:c>
      <x:c r="C997" s="3" t="s">
        <x:v>3333</x:v>
      </x:c>
      <x:c r="D997" s="4" t="s">
        <x:v>2865</x:v>
      </x:c>
      <x:c r="E997" s="4" t="s">
        <x:v>3334</x:v>
      </x:c>
      <x:c r="F997" s="4" t="s">
        <x:v>3335</x:v>
      </x:c>
      <x:c r="G997" s="3" t="s">
        <x:v>2801</x:v>
      </x:c>
    </x:row>
    <x:row r="998" ht="30">
      <x:c r="A998" s="3" t="s">
        <x:v>3336</x:v>
      </x:c>
      <x:c r="B998" s="3" t="s">
        <x:v>2796</x:v>
      </x:c>
      <x:c r="C998" s="3" t="s">
        <x:v>3337</x:v>
      </x:c>
      <x:c r="D998" s="4" t="s">
        <x:v>3031</x:v>
      </x:c>
      <x:c r="E998" s="4" t="s">
        <x:v>3338</x:v>
      </x:c>
      <x:c r="F998" s="4" t="s">
        <x:v>3339</x:v>
      </x:c>
      <x:c r="G998" s="3" t="s">
        <x:v>2801</x:v>
      </x:c>
    </x:row>
    <x:row r="999">
      <x:c r="A999" s="3" t="s">
        <x:v>3340</x:v>
      </x:c>
      <x:c r="B999" s="3" t="s">
        <x:v>2796</x:v>
      </x:c>
      <x:c r="C999" s="3" t="s">
        <x:v>3341</x:v>
      </x:c>
      <x:c r="D999" s="4" t="s">
        <x:v>2834</x:v>
      </x:c>
      <x:c r="E999" s="4" t="s">
        <x:v>3342</x:v>
      </x:c>
      <x:c r="F999" s="4" t="s">
        <x:v>3343</x:v>
      </x:c>
      <x:c r="G999" s="3" t="s">
        <x:v>2801</x:v>
      </x:c>
    </x:row>
    <x:row r="1000" ht="30">
      <x:c r="A1000" s="3" t="s">
        <x:v>3344</x:v>
      </x:c>
      <x:c r="B1000" s="3" t="s">
        <x:v>2796</x:v>
      </x:c>
      <x:c r="C1000" s="3" t="s">
        <x:v>3345</x:v>
      </x:c>
      <x:c r="D1000" s="4" t="s">
        <x:v>2949</x:v>
      </x:c>
      <x:c r="E1000" s="4" t="s">
        <x:v>3346</x:v>
      </x:c>
      <x:c r="F1000" s="4" t="s">
        <x:v>3347</x:v>
      </x:c>
      <x:c r="G1000" s="3" t="s">
        <x:v>2801</x:v>
      </x:c>
    </x:row>
    <x:row r="1001" ht="30">
      <x:c r="A1001" s="3" t="s">
        <x:v>3348</x:v>
      </x:c>
      <x:c r="B1001" s="3" t="s">
        <x:v>2796</x:v>
      </x:c>
      <x:c r="C1001" s="3" t="s">
        <x:v>3349</x:v>
      </x:c>
      <x:c r="D1001" s="4" t="s">
        <x:v>2829</x:v>
      </x:c>
      <x:c r="E1001" s="4" t="s">
        <x:v>3350</x:v>
      </x:c>
      <x:c r="F1001" s="4" t="s">
        <x:v>3351</x:v>
      </x:c>
      <x:c r="G1001" s="3" t="s">
        <x:v>2801</x:v>
      </x:c>
    </x:row>
    <x:row r="1002" ht="30">
      <x:c r="A1002" s="3" t="s">
        <x:v>3352</x:v>
      </x:c>
      <x:c r="B1002" s="3" t="s">
        <x:v>2796</x:v>
      </x:c>
      <x:c r="C1002" s="3" t="s">
        <x:v>3353</x:v>
      </x:c>
      <x:c r="D1002" s="4" t="s">
        <x:v>3354</x:v>
      </x:c>
      <x:c r="E1002" s="4" t="s">
        <x:v>3355</x:v>
      </x:c>
      <x:c r="F1002" s="4" t="s">
        <x:v>3356</x:v>
      </x:c>
      <x:c r="G1002" s="3" t="s">
        <x:v>2801</x:v>
      </x:c>
    </x:row>
    <x:row r="1003" ht="30">
      <x:c r="A1003" s="3" t="s">
        <x:v>3357</x:v>
      </x:c>
      <x:c r="B1003" s="3" t="s">
        <x:v>2796</x:v>
      </x:c>
      <x:c r="C1003" s="3" t="s">
        <x:v>3358</x:v>
      </x:c>
      <x:c r="D1003" s="4" t="s">
        <x:v>3124</x:v>
      </x:c>
      <x:c r="E1003" s="4" t="s">
        <x:v>3359</x:v>
      </x:c>
      <x:c r="F1003" s="4" t="s">
        <x:v>3360</x:v>
      </x:c>
      <x:c r="G1003" s="3" t="s">
        <x:v>2801</x:v>
      </x:c>
    </x:row>
    <x:row r="1004">
      <x:c r="A1004" s="3" t="s">
        <x:v>3361</x:v>
      </x:c>
      <x:c r="B1004" s="3" t="s">
        <x:v>2796</x:v>
      </x:c>
      <x:c r="C1004" s="3" t="s">
        <x:v>3362</x:v>
      </x:c>
      <x:c r="D1004" s="4" t="s">
        <x:v>3363</x:v>
      </x:c>
      <x:c r="E1004" s="4" t="s">
        <x:v>3364</x:v>
      </x:c>
      <x:c r="F1004" s="4" t="s">
        <x:v>3365</x:v>
      </x:c>
      <x:c r="G1004" s="3" t="s">
        <x:v>2801</x:v>
      </x:c>
    </x:row>
    <x:row r="1005" ht="30">
      <x:c r="A1005" s="3" t="s">
        <x:v>3366</x:v>
      </x:c>
      <x:c r="B1005" s="3" t="s">
        <x:v>2796</x:v>
      </x:c>
      <x:c r="C1005" s="3" t="s">
        <x:v>3367</x:v>
      </x:c>
      <x:c r="D1005" s="4" t="s">
        <x:v>2798</x:v>
      </x:c>
      <x:c r="E1005" s="4" t="s">
        <x:v>3368</x:v>
      </x:c>
      <x:c r="F1005" s="4" t="s">
        <x:v>3369</x:v>
      </x:c>
      <x:c r="G1005" s="3" t="s">
        <x:v>2801</x:v>
      </x:c>
    </x:row>
    <x:row r="1006" ht="30">
      <x:c r="A1006" s="3" t="s">
        <x:v>3370</x:v>
      </x:c>
      <x:c r="B1006" s="3" t="s">
        <x:v>2796</x:v>
      </x:c>
      <x:c r="C1006" s="3" t="s">
        <x:v>3371</x:v>
      </x:c>
      <x:c r="D1006" s="4" t="s">
        <x:v>2819</x:v>
      </x:c>
      <x:c r="E1006" s="4" t="s">
        <x:v>3372</x:v>
      </x:c>
      <x:c r="F1006" s="4" t="s">
        <x:v>3373</x:v>
      </x:c>
      <x:c r="G1006" s="3" t="s">
        <x:v>2801</x:v>
      </x:c>
    </x:row>
    <x:row r="1007" ht="30">
      <x:c r="A1007" s="3" t="s">
        <x:v>3374</x:v>
      </x:c>
      <x:c r="B1007" s="3" t="s">
        <x:v>2796</x:v>
      </x:c>
      <x:c r="C1007" s="3" t="s">
        <x:v>1099</x:v>
      </x:c>
      <x:c r="D1007" s="4" t="s">
        <x:v>2856</x:v>
      </x:c>
      <x:c r="E1007" s="4" t="s">
        <x:v>3375</x:v>
      </x:c>
      <x:c r="F1007" s="4" t="s">
        <x:v>1101</x:v>
      </x:c>
      <x:c r="G1007" s="3" t="s">
        <x:v>2801</x:v>
      </x:c>
    </x:row>
    <x:row r="1008" ht="30">
      <x:c r="A1008" s="3" t="s">
        <x:v>3376</x:v>
      </x:c>
      <x:c r="B1008" s="3" t="s">
        <x:v>2796</x:v>
      </x:c>
      <x:c r="C1008" s="3" t="s">
        <x:v>3377</x:v>
      </x:c>
      <x:c r="D1008" s="4" t="s">
        <x:v>3031</x:v>
      </x:c>
      <x:c r="E1008" s="4" t="s">
        <x:v>3378</x:v>
      </x:c>
      <x:c r="F1008" s="4" t="s">
        <x:v>3379</x:v>
      </x:c>
      <x:c r="G1008" s="3" t="s">
        <x:v>2801</x:v>
      </x:c>
    </x:row>
    <x:row r="1009">
      <x:c r="A1009" s="3" t="s">
        <x:v>3380</x:v>
      </x:c>
      <x:c r="B1009" s="3" t="s">
        <x:v>2796</x:v>
      </x:c>
      <x:c r="C1009" s="3" t="s">
        <x:v>3381</x:v>
      </x:c>
      <x:c r="D1009" s="4" t="s">
        <x:v>2834</x:v>
      </x:c>
      <x:c r="E1009" s="4" t="s">
        <x:v>3382</x:v>
      </x:c>
      <x:c r="F1009" s="4" t="s">
        <x:v>3383</x:v>
      </x:c>
      <x:c r="G1009" s="3" t="s">
        <x:v>2801</x:v>
      </x:c>
    </x:row>
    <x:row r="1010" ht="30">
      <x:c r="A1010" s="3" t="s">
        <x:v>3384</x:v>
      </x:c>
      <x:c r="B1010" s="3" t="s">
        <x:v>2796</x:v>
      </x:c>
      <x:c r="C1010" s="3" t="s">
        <x:v>3385</x:v>
      </x:c>
      <x:c r="D1010" s="4" t="s">
        <x:v>3133</x:v>
      </x:c>
      <x:c r="E1010" s="4" t="s">
        <x:v>3386</x:v>
      </x:c>
      <x:c r="F1010" s="4" t="s">
        <x:v>3387</x:v>
      </x:c>
      <x:c r="G1010" s="3" t="s">
        <x:v>2801</x:v>
      </x:c>
    </x:row>
    <x:row r="1011" ht="30">
      <x:c r="A1011" s="3" t="s">
        <x:v>3388</x:v>
      </x:c>
      <x:c r="B1011" s="3" t="s">
        <x:v>2796</x:v>
      </x:c>
      <x:c r="C1011" s="3" t="s">
        <x:v>3389</x:v>
      </x:c>
      <x:c r="D1011" s="4" t="s">
        <x:v>2819</x:v>
      </x:c>
      <x:c r="E1011" s="4" t="s">
        <x:v>3390</x:v>
      </x:c>
      <x:c r="F1011" s="4" t="s">
        <x:v>3391</x:v>
      </x:c>
      <x:c r="G1011" s="3" t="s">
        <x:v>2801</x:v>
      </x:c>
    </x:row>
    <x:row r="1012">
      <x:c r="A1012" s="3" t="s">
        <x:v>3392</x:v>
      </x:c>
      <x:c r="B1012" s="3" t="s">
        <x:v>2796</x:v>
      </x:c>
      <x:c r="C1012" s="3" t="s">
        <x:v>3393</x:v>
      </x:c>
      <x:c r="D1012" s="4" t="s">
        <x:v>3133</x:v>
      </x:c>
      <x:c r="E1012" s="4" t="s">
        <x:v>3394</x:v>
      </x:c>
      <x:c r="F1012" s="4" t="s">
        <x:v>3395</x:v>
      </x:c>
      <x:c r="G1012" s="3" t="s">
        <x:v>2801</x:v>
      </x:c>
    </x:row>
    <x:row r="1013" ht="30">
      <x:c r="A1013" s="3" t="s">
        <x:v>3396</x:v>
      </x:c>
      <x:c r="B1013" s="3" t="s">
        <x:v>2796</x:v>
      </x:c>
      <x:c r="C1013" s="3" t="s">
        <x:v>3397</x:v>
      </x:c>
      <x:c r="D1013" s="4" t="s">
        <x:v>3398</x:v>
      </x:c>
      <x:c r="E1013" s="4" t="s">
        <x:v>3399</x:v>
      </x:c>
      <x:c r="F1013" s="4" t="s">
        <x:v>3400</x:v>
      </x:c>
      <x:c r="G1013" s="3" t="s">
        <x:v>2801</x:v>
      </x:c>
    </x:row>
    <x:row r="1014" ht="30">
      <x:c r="A1014" s="3" t="s">
        <x:v>3401</x:v>
      </x:c>
      <x:c r="B1014" s="3" t="s">
        <x:v>2796</x:v>
      </x:c>
      <x:c r="C1014" s="3" t="s">
        <x:v>3402</x:v>
      </x:c>
      <x:c r="D1014" s="4" t="s">
        <x:v>3403</x:v>
      </x:c>
      <x:c r="E1014" s="4" t="s">
        <x:v>3404</x:v>
      </x:c>
      <x:c r="F1014" s="4" t="s">
        <x:v>3405</x:v>
      </x:c>
      <x:c r="G1014" s="3" t="s">
        <x:v>2801</x:v>
      </x:c>
    </x:row>
    <x:row r="1015" ht="30">
      <x:c r="A1015" s="3" t="s">
        <x:v>3406</x:v>
      </x:c>
      <x:c r="B1015" s="3" t="s">
        <x:v>2796</x:v>
      </x:c>
      <x:c r="C1015" s="3" t="s">
        <x:v>3407</x:v>
      </x:c>
      <x:c r="D1015" s="4" t="s">
        <x:v>3133</x:v>
      </x:c>
      <x:c r="E1015" s="4" t="s">
        <x:v>3408</x:v>
      </x:c>
      <x:c r="F1015" s="4" t="s">
        <x:v>3409</x:v>
      </x:c>
      <x:c r="G1015" s="3" t="s">
        <x:v>2801</x:v>
      </x:c>
    </x:row>
    <x:row r="1016" ht="30">
      <x:c r="A1016" s="3" t="s">
        <x:v>3410</x:v>
      </x:c>
      <x:c r="B1016" s="3" t="s">
        <x:v>2796</x:v>
      </x:c>
      <x:c r="C1016" s="3" t="s">
        <x:v>3411</x:v>
      </x:c>
      <x:c r="D1016" s="4" t="s">
        <x:v>3412</x:v>
      </x:c>
      <x:c r="E1016" s="4" t="s">
        <x:v>3413</x:v>
      </x:c>
      <x:c r="F1016" s="4" t="s">
        <x:v>3414</x:v>
      </x:c>
      <x:c r="G1016" s="3" t="s">
        <x:v>2801</x:v>
      </x:c>
    </x:row>
    <x:row r="1017">
      <x:c r="A1017" s="3" t="s">
        <x:v>3415</x:v>
      </x:c>
      <x:c r="B1017" s="3" t="s">
        <x:v>2796</x:v>
      </x:c>
      <x:c r="C1017" s="3" t="s">
        <x:v>3416</x:v>
      </x:c>
      <x:c r="D1017" s="4" t="s">
        <x:v>2949</x:v>
      </x:c>
      <x:c r="E1017" s="4" t="s">
        <x:v>3417</x:v>
      </x:c>
      <x:c r="F1017" s="4" t="s">
        <x:v>3418</x:v>
      </x:c>
      <x:c r="G1017" s="3" t="s">
        <x:v>2801</x:v>
      </x:c>
    </x:row>
    <x:row r="1018" ht="30">
      <x:c r="A1018" s="3" t="s">
        <x:v>3419</x:v>
      </x:c>
      <x:c r="B1018" s="3" t="s">
        <x:v>2796</x:v>
      </x:c>
      <x:c r="C1018" s="3" t="s">
        <x:v>3420</x:v>
      </x:c>
      <x:c r="D1018" s="4" t="s">
        <x:v>2903</x:v>
      </x:c>
      <x:c r="E1018" s="4" t="s">
        <x:v>3421</x:v>
      </x:c>
      <x:c r="F1018" s="4" t="s">
        <x:v>3422</x:v>
      </x:c>
      <x:c r="G1018" s="3" t="s">
        <x:v>2801</x:v>
      </x:c>
    </x:row>
    <x:row r="1019">
      <x:c r="A1019" s="3" t="s">
        <x:v>3423</x:v>
      </x:c>
      <x:c r="B1019" s="3" t="s">
        <x:v>2796</x:v>
      </x:c>
      <x:c r="C1019" s="3" t="s">
        <x:v>3424</x:v>
      </x:c>
      <x:c r="D1019" s="4" t="s">
        <x:v>2819</x:v>
      </x:c>
      <x:c r="E1019" s="4" t="s">
        <x:v>3425</x:v>
      </x:c>
      <x:c r="F1019" s="4" t="s">
        <x:v>3426</x:v>
      </x:c>
      <x:c r="G1019" s="3" t="s">
        <x:v>2801</x:v>
      </x:c>
    </x:row>
    <x:row r="1020" ht="30">
      <x:c r="A1020" s="3" t="s">
        <x:v>3427</x:v>
      </x:c>
      <x:c r="B1020" s="3" t="s">
        <x:v>2796</x:v>
      </x:c>
      <x:c r="C1020" s="3" t="s">
        <x:v>1103</x:v>
      </x:c>
      <x:c r="D1020" s="4" t="s">
        <x:v>3428</x:v>
      </x:c>
      <x:c r="E1020" s="4" t="s">
        <x:v>3429</x:v>
      </x:c>
      <x:c r="F1020" s="4" t="s">
        <x:v>1105</x:v>
      </x:c>
      <x:c r="G1020" s="3" t="s">
        <x:v>2801</x:v>
      </x:c>
    </x:row>
    <x:row r="1021" ht="30">
      <x:c r="A1021" s="3" t="s">
        <x:v>3430</x:v>
      </x:c>
      <x:c r="B1021" s="3" t="s">
        <x:v>2796</x:v>
      </x:c>
      <x:c r="C1021" s="3" t="s">
        <x:v>1107</x:v>
      </x:c>
      <x:c r="D1021" s="4" t="s">
        <x:v>3431</x:v>
      </x:c>
      <x:c r="E1021" s="4" t="s">
        <x:v>3432</x:v>
      </x:c>
      <x:c r="F1021" s="4" t="s">
        <x:v>1109</x:v>
      </x:c>
      <x:c r="G1021" s="3" t="s">
        <x:v>2801</x:v>
      </x:c>
    </x:row>
    <x:row r="1022" ht="30">
      <x:c r="A1022" s="3" t="s">
        <x:v>3433</x:v>
      </x:c>
      <x:c r="B1022" s="3" t="s">
        <x:v>2796</x:v>
      </x:c>
      <x:c r="C1022" s="3" t="s">
        <x:v>3434</x:v>
      </x:c>
      <x:c r="D1022" s="4" t="s">
        <x:v>3124</x:v>
      </x:c>
      <x:c r="E1022" s="4" t="s">
        <x:v>3435</x:v>
      </x:c>
      <x:c r="F1022" s="4" t="s">
        <x:v>3436</x:v>
      </x:c>
      <x:c r="G1022" s="3" t="s">
        <x:v>2801</x:v>
      </x:c>
    </x:row>
    <x:row r="1023" ht="30">
      <x:c r="A1023" s="3" t="s">
        <x:v>3437</x:v>
      </x:c>
      <x:c r="B1023" s="3" t="s">
        <x:v>2796</x:v>
      </x:c>
      <x:c r="C1023" s="3" t="s">
        <x:v>3438</x:v>
      </x:c>
      <x:c r="D1023" s="4" t="s">
        <x:v>3439</x:v>
      </x:c>
      <x:c r="E1023" s="4" t="s">
        <x:v>3440</x:v>
      </x:c>
      <x:c r="F1023" s="4" t="s">
        <x:v>3441</x:v>
      </x:c>
      <x:c r="G1023" s="3" t="s">
        <x:v>2801</x:v>
      </x:c>
    </x:row>
    <x:row r="1024" ht="45">
      <x:c r="A1024" s="3" t="s">
        <x:v>3442</x:v>
      </x:c>
      <x:c r="B1024" s="3" t="s">
        <x:v>2796</x:v>
      </x:c>
      <x:c r="C1024" s="3" t="s">
        <x:v>3443</x:v>
      </x:c>
      <x:c r="D1024" s="4" t="s">
        <x:v>3444</x:v>
      </x:c>
      <x:c r="E1024" s="4" t="s">
        <x:v>3445</x:v>
      </x:c>
      <x:c r="F1024" s="4" t="s">
        <x:v>3446</x:v>
      </x:c>
      <x:c r="G1024" s="3" t="s">
        <x:v>2801</x:v>
      </x:c>
    </x:row>
    <x:row r="1025" ht="30">
      <x:c r="A1025" s="3" t="s">
        <x:v>3447</x:v>
      </x:c>
      <x:c r="B1025" s="3" t="s">
        <x:v>2796</x:v>
      </x:c>
      <x:c r="C1025" s="3" t="s">
        <x:v>3448</x:v>
      </x:c>
      <x:c r="D1025" s="4" t="s">
        <x:v>3449</x:v>
      </x:c>
      <x:c r="E1025" s="4" t="s">
        <x:v>3450</x:v>
      </x:c>
      <x:c r="F1025" s="4" t="s">
        <x:v>3451</x:v>
      </x:c>
      <x:c r="G1025" s="3" t="s">
        <x:v>2801</x:v>
      </x:c>
    </x:row>
    <x:row r="1026" ht="30">
      <x:c r="A1026" s="3" t="s">
        <x:v>3452</x:v>
      </x:c>
      <x:c r="B1026" s="3" t="s">
        <x:v>2796</x:v>
      </x:c>
      <x:c r="C1026" s="3" t="s">
        <x:v>3453</x:v>
      </x:c>
      <x:c r="D1026" s="4" t="s">
        <x:v>2949</x:v>
      </x:c>
      <x:c r="E1026" s="4" t="s">
        <x:v>3454</x:v>
      </x:c>
      <x:c r="F1026" s="4" t="s">
        <x:v>3455</x:v>
      </x:c>
      <x:c r="G1026" s="3" t="s">
        <x:v>2801</x:v>
      </x:c>
    </x:row>
    <x:row r="1027" ht="30">
      <x:c r="A1027" s="3" t="s">
        <x:v>3456</x:v>
      </x:c>
      <x:c r="B1027" s="3" t="s">
        <x:v>2796</x:v>
      </x:c>
      <x:c r="C1027" s="3" t="s">
        <x:v>3457</x:v>
      </x:c>
      <x:c r="D1027" s="4" t="s">
        <x:v>2819</x:v>
      </x:c>
      <x:c r="E1027" s="4" t="s">
        <x:v>3458</x:v>
      </x:c>
      <x:c r="F1027" s="4" t="s">
        <x:v>3459</x:v>
      </x:c>
      <x:c r="G1027" s="3" t="s">
        <x:v>2801</x:v>
      </x:c>
    </x:row>
    <x:row r="1028" ht="30">
      <x:c r="A1028" s="3" t="s">
        <x:v>3460</x:v>
      </x:c>
      <x:c r="B1028" s="3" t="s">
        <x:v>2796</x:v>
      </x:c>
      <x:c r="C1028" s="3" t="s">
        <x:v>3461</x:v>
      </x:c>
      <x:c r="D1028" s="4" t="s">
        <x:v>3133</x:v>
      </x:c>
      <x:c r="E1028" s="4" t="s">
        <x:v>3462</x:v>
      </x:c>
      <x:c r="F1028" s="4" t="s">
        <x:v>3463</x:v>
      </x:c>
      <x:c r="G1028" s="3" t="s">
        <x:v>2801</x:v>
      </x:c>
    </x:row>
    <x:row r="1029" ht="30">
      <x:c r="A1029" s="3" t="s">
        <x:v>3464</x:v>
      </x:c>
      <x:c r="B1029" s="3" t="s">
        <x:v>2796</x:v>
      </x:c>
      <x:c r="C1029" s="3" t="s">
        <x:v>1111</x:v>
      </x:c>
      <x:c r="D1029" s="4" t="s">
        <x:v>3465</x:v>
      </x:c>
      <x:c r="E1029" s="4" t="s">
        <x:v>3466</x:v>
      </x:c>
      <x:c r="F1029" s="4" t="s">
        <x:v>1113</x:v>
      </x:c>
      <x:c r="G1029" s="3" t="s">
        <x:v>2801</x:v>
      </x:c>
    </x:row>
    <x:row r="1030">
      <x:c r="A1030" s="3" t="s">
        <x:v>3467</x:v>
      </x:c>
      <x:c r="B1030" s="3" t="s">
        <x:v>2796</x:v>
      </x:c>
      <x:c r="C1030" s="3" t="s">
        <x:v>3468</x:v>
      </x:c>
      <x:c r="D1030" s="4" t="s">
        <x:v>2819</x:v>
      </x:c>
      <x:c r="E1030" s="4" t="s">
        <x:v>3469</x:v>
      </x:c>
      <x:c r="F1030" s="4" t="s">
        <x:v>3470</x:v>
      </x:c>
      <x:c r="G1030" s="3" t="s">
        <x:v>2801</x:v>
      </x:c>
    </x:row>
    <x:row r="1031" ht="30">
      <x:c r="A1031" s="3" t="s">
        <x:v>3471</x:v>
      </x:c>
      <x:c r="B1031" s="3" t="s">
        <x:v>2796</x:v>
      </x:c>
      <x:c r="C1031" s="3" t="s">
        <x:v>3472</x:v>
      </x:c>
      <x:c r="D1031" s="4" t="s">
        <x:v>3473</x:v>
      </x:c>
      <x:c r="E1031" s="4" t="s">
        <x:v>3474</x:v>
      </x:c>
      <x:c r="F1031" s="4" t="s">
        <x:v>3475</x:v>
      </x:c>
      <x:c r="G1031" s="3" t="s">
        <x:v>2801</x:v>
      </x:c>
    </x:row>
    <x:row r="1032" ht="30">
      <x:c r="A1032" s="3" t="s">
        <x:v>3476</x:v>
      </x:c>
      <x:c r="B1032" s="3" t="s">
        <x:v>2796</x:v>
      </x:c>
      <x:c r="C1032" s="3" t="s">
        <x:v>3477</x:v>
      </x:c>
      <x:c r="D1032" s="4" t="s">
        <x:v>2865</x:v>
      </x:c>
      <x:c r="E1032" s="4" t="s">
        <x:v>3478</x:v>
      </x:c>
      <x:c r="F1032" s="4" t="s">
        <x:v>3479</x:v>
      </x:c>
      <x:c r="G1032" s="3" t="s">
        <x:v>2801</x:v>
      </x:c>
    </x:row>
    <x:row r="1033" ht="30">
      <x:c r="A1033" s="3" t="s">
        <x:v>3480</x:v>
      </x:c>
      <x:c r="B1033" s="3" t="s">
        <x:v>2796</x:v>
      </x:c>
      <x:c r="C1033" s="3" t="s">
        <x:v>3481</x:v>
      </x:c>
      <x:c r="D1033" s="4" t="s">
        <x:v>3482</x:v>
      </x:c>
      <x:c r="E1033" s="4" t="s">
        <x:v>3483</x:v>
      </x:c>
      <x:c r="F1033" s="4" t="s">
        <x:v>3484</x:v>
      </x:c>
      <x:c r="G1033" s="3" t="s">
        <x:v>2801</x:v>
      </x:c>
    </x:row>
    <x:row r="1034" ht="30">
      <x:c r="A1034" s="3" t="s">
        <x:v>3485</x:v>
      </x:c>
      <x:c r="B1034" s="3" t="s">
        <x:v>2796</x:v>
      </x:c>
      <x:c r="C1034" s="3" t="s">
        <x:v>3486</x:v>
      </x:c>
      <x:c r="D1034" s="4" t="s">
        <x:v>2949</x:v>
      </x:c>
      <x:c r="E1034" s="4" t="s">
        <x:v>3487</x:v>
      </x:c>
      <x:c r="F1034" s="4" t="s">
        <x:v>3488</x:v>
      </x:c>
      <x:c r="G1034" s="3" t="s">
        <x:v>2801</x:v>
      </x:c>
    </x:row>
    <x:row r="1035" ht="30">
      <x:c r="A1035" s="3" t="s">
        <x:v>3489</x:v>
      </x:c>
      <x:c r="B1035" s="3" t="s">
        <x:v>2796</x:v>
      </x:c>
      <x:c r="C1035" s="3" t="s">
        <x:v>3490</x:v>
      </x:c>
      <x:c r="D1035" s="4" t="s">
        <x:v>2819</x:v>
      </x:c>
      <x:c r="E1035" s="4" t="s">
        <x:v>3491</x:v>
      </x:c>
      <x:c r="F1035" s="4" t="s">
        <x:v>3492</x:v>
      </x:c>
      <x:c r="G1035" s="3" t="s">
        <x:v>2801</x:v>
      </x:c>
    </x:row>
    <x:row r="1036" ht="30">
      <x:c r="A1036" s="3" t="s">
        <x:v>3493</x:v>
      </x:c>
      <x:c r="B1036" s="3" t="s">
        <x:v>2796</x:v>
      </x:c>
      <x:c r="C1036" s="3" t="s">
        <x:v>3494</x:v>
      </x:c>
      <x:c r="D1036" s="4" t="s">
        <x:v>2923</x:v>
      </x:c>
      <x:c r="E1036" s="4" t="s">
        <x:v>3495</x:v>
      </x:c>
      <x:c r="F1036" s="4" t="s">
        <x:v>3496</x:v>
      </x:c>
      <x:c r="G1036" s="3" t="s">
        <x:v>2801</x:v>
      </x:c>
    </x:row>
    <x:row r="1037" ht="30">
      <x:c r="A1037" s="3" t="s">
        <x:v>3497</x:v>
      </x:c>
      <x:c r="B1037" s="3" t="s">
        <x:v>2796</x:v>
      </x:c>
      <x:c r="C1037" s="3" t="s">
        <x:v>3498</x:v>
      </x:c>
      <x:c r="D1037" s="4" t="s">
        <x:v>2819</x:v>
      </x:c>
      <x:c r="E1037" s="4" t="s">
        <x:v>3499</x:v>
      </x:c>
      <x:c r="F1037" s="4" t="s">
        <x:v>3500</x:v>
      </x:c>
      <x:c r="G1037" s="3" t="s">
        <x:v>2801</x:v>
      </x:c>
    </x:row>
    <x:row r="1038" ht="30">
      <x:c r="A1038" s="3" t="s">
        <x:v>3501</x:v>
      </x:c>
      <x:c r="B1038" s="3" t="s">
        <x:v>2796</x:v>
      </x:c>
      <x:c r="C1038" s="3" t="s">
        <x:v>3502</x:v>
      </x:c>
      <x:c r="D1038" s="4" t="s">
        <x:v>3248</x:v>
      </x:c>
      <x:c r="E1038" s="4" t="s">
        <x:v>3503</x:v>
      </x:c>
      <x:c r="F1038" s="4" t="s">
        <x:v>3504</x:v>
      </x:c>
      <x:c r="G1038" s="3" t="s">
        <x:v>2801</x:v>
      </x:c>
    </x:row>
    <x:row r="1039" ht="30">
      <x:c r="A1039" s="3" t="s">
        <x:v>3505</x:v>
      </x:c>
      <x:c r="B1039" s="3" t="s">
        <x:v>2796</x:v>
      </x:c>
      <x:c r="C1039" s="3" t="s">
        <x:v>3506</x:v>
      </x:c>
      <x:c r="D1039" s="4" t="s">
        <x:v>2949</x:v>
      </x:c>
      <x:c r="E1039" s="4" t="s">
        <x:v>3507</x:v>
      </x:c>
      <x:c r="F1039" s="4" t="s">
        <x:v>3508</x:v>
      </x:c>
      <x:c r="G1039" s="3" t="s">
        <x:v>2801</x:v>
      </x:c>
    </x:row>
    <x:row r="1040" ht="30">
      <x:c r="A1040" s="3" t="s">
        <x:v>3509</x:v>
      </x:c>
      <x:c r="B1040" s="3" t="s">
        <x:v>2796</x:v>
      </x:c>
      <x:c r="C1040" s="3" t="s">
        <x:v>3510</x:v>
      </x:c>
      <x:c r="D1040" s="4" t="s">
        <x:v>3248</x:v>
      </x:c>
      <x:c r="E1040" s="4" t="s">
        <x:v>3511</x:v>
      </x:c>
      <x:c r="F1040" s="4" t="s">
        <x:v>3512</x:v>
      </x:c>
      <x:c r="G1040" s="3" t="s">
        <x:v>2801</x:v>
      </x:c>
    </x:row>
    <x:row r="1041" ht="30">
      <x:c r="A1041" s="3" t="s">
        <x:v>3513</x:v>
      </x:c>
      <x:c r="B1041" s="3" t="s">
        <x:v>2796</x:v>
      </x:c>
      <x:c r="C1041" s="3" t="s">
        <x:v>3514</x:v>
      </x:c>
      <x:c r="D1041" s="4" t="s">
        <x:v>2834</x:v>
      </x:c>
      <x:c r="E1041" s="4" t="s">
        <x:v>3515</x:v>
      </x:c>
      <x:c r="F1041" s="4" t="s">
        <x:v>3516</x:v>
      </x:c>
      <x:c r="G1041" s="3" t="s">
        <x:v>2801</x:v>
      </x:c>
    </x:row>
    <x:row r="1042" ht="30">
      <x:c r="A1042" s="3" t="s">
        <x:v>3517</x:v>
      </x:c>
      <x:c r="B1042" s="3" t="s">
        <x:v>2796</x:v>
      </x:c>
      <x:c r="C1042" s="3" t="s">
        <x:v>3518</x:v>
      </x:c>
      <x:c r="D1042" s="4" t="s">
        <x:v>3519</x:v>
      </x:c>
      <x:c r="E1042" s="4" t="s">
        <x:v>3520</x:v>
      </x:c>
      <x:c r="F1042" s="4" t="s">
        <x:v>3521</x:v>
      </x:c>
      <x:c r="G1042" s="3" t="s">
        <x:v>2801</x:v>
      </x:c>
    </x:row>
    <x:row r="1043" ht="30">
      <x:c r="A1043" s="3" t="s">
        <x:v>3522</x:v>
      </x:c>
      <x:c r="B1043" s="3" t="s">
        <x:v>2796</x:v>
      </x:c>
      <x:c r="C1043" s="3" t="s">
        <x:v>3523</x:v>
      </x:c>
      <x:c r="D1043" s="4" t="s">
        <x:v>2804</x:v>
      </x:c>
      <x:c r="E1043" s="4" t="s">
        <x:v>3524</x:v>
      </x:c>
      <x:c r="F1043" s="4" t="s">
        <x:v>3525</x:v>
      </x:c>
      <x:c r="G1043" s="3" t="s">
        <x:v>2801</x:v>
      </x:c>
    </x:row>
    <x:row r="1044" ht="30">
      <x:c r="A1044" s="3" t="s">
        <x:v>3526</x:v>
      </x:c>
      <x:c r="B1044" s="3" t="s">
        <x:v>2796</x:v>
      </x:c>
      <x:c r="C1044" s="3" t="s">
        <x:v>3527</x:v>
      </x:c>
      <x:c r="D1044" s="4" t="s">
        <x:v>3133</x:v>
      </x:c>
      <x:c r="E1044" s="4" t="s">
        <x:v>3528</x:v>
      </x:c>
      <x:c r="F1044" s="4" t="s">
        <x:v>3529</x:v>
      </x:c>
      <x:c r="G1044" s="3" t="s">
        <x:v>2801</x:v>
      </x:c>
    </x:row>
    <x:row r="1045" ht="30">
      <x:c r="A1045" s="3" t="s">
        <x:v>3530</x:v>
      </x:c>
      <x:c r="B1045" s="3" t="s">
        <x:v>2796</x:v>
      </x:c>
      <x:c r="C1045" s="3" t="s">
        <x:v>3531</x:v>
      </x:c>
      <x:c r="D1045" s="4" t="s">
        <x:v>3009</x:v>
      </x:c>
      <x:c r="E1045" s="4" t="s">
        <x:v>3532</x:v>
      </x:c>
      <x:c r="F1045" s="4" t="s">
        <x:v>3533</x:v>
      </x:c>
      <x:c r="G1045" s="3" t="s">
        <x:v>2801</x:v>
      </x:c>
    </x:row>
    <x:row r="1046" ht="30">
      <x:c r="A1046" s="3" t="s">
        <x:v>3534</x:v>
      </x:c>
      <x:c r="B1046" s="3" t="s">
        <x:v>2796</x:v>
      </x:c>
      <x:c r="C1046" s="3" t="s">
        <x:v>3535</x:v>
      </x:c>
      <x:c r="D1046" s="4" t="s">
        <x:v>3009</x:v>
      </x:c>
      <x:c r="E1046" s="4" t="s">
        <x:v>3536</x:v>
      </x:c>
      <x:c r="F1046" s="4" t="s">
        <x:v>3537</x:v>
      </x:c>
      <x:c r="G1046" s="3" t="s">
        <x:v>2801</x:v>
      </x:c>
    </x:row>
    <x:row r="1047" ht="30">
      <x:c r="A1047" s="3" t="s">
        <x:v>3538</x:v>
      </x:c>
      <x:c r="B1047" s="3" t="s">
        <x:v>2796</x:v>
      </x:c>
      <x:c r="C1047" s="3" t="s">
        <x:v>3539</x:v>
      </x:c>
      <x:c r="D1047" s="4" t="s">
        <x:v>2966</x:v>
      </x:c>
      <x:c r="E1047" s="4" t="s">
        <x:v>3540</x:v>
      </x:c>
      <x:c r="F1047" s="4" t="s">
        <x:v>3541</x:v>
      </x:c>
      <x:c r="G1047" s="3" t="s">
        <x:v>2801</x:v>
      </x:c>
    </x:row>
    <x:row r="1048" ht="30">
      <x:c r="A1048" s="3" t="s">
        <x:v>3542</x:v>
      </x:c>
      <x:c r="B1048" s="3" t="s">
        <x:v>2796</x:v>
      </x:c>
      <x:c r="C1048" s="3" t="s">
        <x:v>3543</x:v>
      </x:c>
      <x:c r="D1048" s="4" t="s">
        <x:v>3544</x:v>
      </x:c>
      <x:c r="E1048" s="4" t="s">
        <x:v>3545</x:v>
      </x:c>
      <x:c r="F1048" s="4" t="s">
        <x:v>3546</x:v>
      </x:c>
      <x:c r="G1048" s="3" t="s">
        <x:v>2801</x:v>
      </x:c>
    </x:row>
    <x:row r="1049" ht="30">
      <x:c r="A1049" s="3" t="s">
        <x:v>3547</x:v>
      </x:c>
      <x:c r="B1049" s="3" t="s">
        <x:v>2796</x:v>
      </x:c>
      <x:c r="C1049" s="3" t="s">
        <x:v>3548</x:v>
      </x:c>
      <x:c r="D1049" s="4" t="s">
        <x:v>3549</x:v>
      </x:c>
      <x:c r="E1049" s="4" t="s">
        <x:v>3550</x:v>
      </x:c>
      <x:c r="F1049" s="4" t="s">
        <x:v>3551</x:v>
      </x:c>
      <x:c r="G1049" s="3" t="s">
        <x:v>2801</x:v>
      </x:c>
    </x:row>
    <x:row r="1050" ht="30">
      <x:c r="A1050" s="3" t="s">
        <x:v>3552</x:v>
      </x:c>
      <x:c r="B1050" s="3" t="s">
        <x:v>2796</x:v>
      </x:c>
      <x:c r="C1050" s="3" t="s">
        <x:v>1042</x:v>
      </x:c>
      <x:c r="D1050" s="4" t="s">
        <x:v>3403</x:v>
      </x:c>
      <x:c r="E1050" s="4" t="s">
        <x:v>3553</x:v>
      </x:c>
      <x:c r="F1050" s="4" t="s">
        <x:v>1044</x:v>
      </x:c>
      <x:c r="G1050" s="3" t="s">
        <x:v>2801</x:v>
      </x:c>
    </x:row>
    <x:row r="1051" ht="30">
      <x:c r="A1051" s="3" t="s">
        <x:v>3554</x:v>
      </x:c>
      <x:c r="B1051" s="3" t="s">
        <x:v>2796</x:v>
      </x:c>
      <x:c r="C1051" s="3" t="s">
        <x:v>3555</x:v>
      </x:c>
      <x:c r="D1051" s="4" t="s">
        <x:v>2865</x:v>
      </x:c>
      <x:c r="E1051" s="4" t="s">
        <x:v>3556</x:v>
      </x:c>
      <x:c r="F1051" s="4" t="s">
        <x:v>3557</x:v>
      </x:c>
      <x:c r="G1051" s="3" t="s">
        <x:v>2801</x:v>
      </x:c>
    </x:row>
    <x:row r="1052" ht="30">
      <x:c r="A1052" s="3" t="s">
        <x:v>3558</x:v>
      </x:c>
      <x:c r="B1052" s="3" t="s">
        <x:v>2796</x:v>
      </x:c>
      <x:c r="C1052" s="3" t="s">
        <x:v>3559</x:v>
      </x:c>
      <x:c r="D1052" s="4" t="s">
        <x:v>2865</x:v>
      </x:c>
      <x:c r="E1052" s="4" t="s">
        <x:v>3560</x:v>
      </x:c>
      <x:c r="F1052" s="4" t="s">
        <x:v>3561</x:v>
      </x:c>
      <x:c r="G1052" s="3" t="s">
        <x:v>2801</x:v>
      </x:c>
    </x:row>
    <x:row r="1053" ht="30">
      <x:c r="A1053" s="3" t="s">
        <x:v>3562</x:v>
      </x:c>
      <x:c r="B1053" s="3" t="s">
        <x:v>2796</x:v>
      </x:c>
      <x:c r="C1053" s="3" t="s">
        <x:v>3563</x:v>
      </x:c>
      <x:c r="D1053" s="4" t="s">
        <x:v>3300</x:v>
      </x:c>
      <x:c r="E1053" s="4" t="s">
        <x:v>3564</x:v>
      </x:c>
      <x:c r="F1053" s="4" t="s">
        <x:v>3565</x:v>
      </x:c>
      <x:c r="G1053" s="3" t="s">
        <x:v>2801</x:v>
      </x:c>
    </x:row>
    <x:row r="1054">
      <x:c r="A1054" s="3" t="s">
        <x:v>3566</x:v>
      </x:c>
      <x:c r="B1054" s="3" t="s">
        <x:v>2796</x:v>
      </x:c>
      <x:c r="C1054" s="3" t="s">
        <x:v>3567</x:v>
      </x:c>
      <x:c r="D1054" s="4" t="s">
        <x:v>3300</x:v>
      </x:c>
      <x:c r="E1054" s="4" t="s">
        <x:v>3568</x:v>
      </x:c>
      <x:c r="F1054" s="4" t="s">
        <x:v>3569</x:v>
      </x:c>
      <x:c r="G1054" s="3" t="s">
        <x:v>2801</x:v>
      </x:c>
    </x:row>
    <x:row r="1055" ht="30">
      <x:c r="A1055" s="3" t="s">
        <x:v>3570</x:v>
      </x:c>
      <x:c r="B1055" s="3" t="s">
        <x:v>2796</x:v>
      </x:c>
      <x:c r="C1055" s="3" t="s">
        <x:v>3571</x:v>
      </x:c>
      <x:c r="D1055" s="4" t="s">
        <x:v>2949</x:v>
      </x:c>
      <x:c r="E1055" s="4" t="s">
        <x:v>3572</x:v>
      </x:c>
      <x:c r="F1055" s="4" t="s">
        <x:v>3573</x:v>
      </x:c>
      <x:c r="G1055" s="3" t="s">
        <x:v>2801</x:v>
      </x:c>
    </x:row>
    <x:row r="1056" ht="30">
      <x:c r="A1056" s="3" t="s">
        <x:v>3574</x:v>
      </x:c>
      <x:c r="B1056" s="3" t="s">
        <x:v>2796</x:v>
      </x:c>
      <x:c r="C1056" s="3" t="s">
        <x:v>3575</x:v>
      </x:c>
      <x:c r="D1056" s="4" t="s">
        <x:v>3300</x:v>
      </x:c>
      <x:c r="E1056" s="4" t="s">
        <x:v>3576</x:v>
      </x:c>
      <x:c r="F1056" s="4" t="s">
        <x:v>3577</x:v>
      </x:c>
      <x:c r="G1056" s="3" t="s">
        <x:v>2801</x:v>
      </x:c>
    </x:row>
    <x:row r="1057" ht="30">
      <x:c r="A1057" s="3" t="s">
        <x:v>3578</x:v>
      </x:c>
      <x:c r="B1057" s="3" t="s">
        <x:v>2796</x:v>
      </x:c>
      <x:c r="C1057" s="3" t="s">
        <x:v>3579</x:v>
      </x:c>
      <x:c r="D1057" s="4" t="s">
        <x:v>2834</x:v>
      </x:c>
      <x:c r="E1057" s="4" t="s">
        <x:v>3580</x:v>
      </x:c>
      <x:c r="F1057" s="4" t="s">
        <x:v>3581</x:v>
      </x:c>
      <x:c r="G1057" s="3" t="s">
        <x:v>2801</x:v>
      </x:c>
    </x:row>
    <x:row r="1058" ht="30">
      <x:c r="A1058" s="3" t="s">
        <x:v>3582</x:v>
      </x:c>
      <x:c r="B1058" s="3" t="s">
        <x:v>2796</x:v>
      </x:c>
      <x:c r="C1058" s="3" t="s">
        <x:v>3583</x:v>
      </x:c>
      <x:c r="D1058" s="4" t="s">
        <x:v>2949</x:v>
      </x:c>
      <x:c r="E1058" s="4" t="s">
        <x:v>3584</x:v>
      </x:c>
      <x:c r="F1058" s="4" t="s">
        <x:v>3585</x:v>
      </x:c>
      <x:c r="G1058" s="3" t="s">
        <x:v>2801</x:v>
      </x:c>
    </x:row>
    <x:row r="1059">
      <x:c r="A1059" s="3" t="s">
        <x:v>3586</x:v>
      </x:c>
      <x:c r="B1059" s="3" t="s">
        <x:v>2796</x:v>
      </x:c>
      <x:c r="C1059" s="3" t="s">
        <x:v>3587</x:v>
      </x:c>
      <x:c r="D1059" s="4" t="s">
        <x:v>2834</x:v>
      </x:c>
      <x:c r="E1059" s="4" t="s">
        <x:v>3588</x:v>
      </x:c>
      <x:c r="F1059" s="4" t="s">
        <x:v>3589</x:v>
      </x:c>
      <x:c r="G1059" s="3" t="s">
        <x:v>2801</x:v>
      </x:c>
    </x:row>
    <x:row r="1060" ht="30">
      <x:c r="A1060" s="3" t="s">
        <x:v>3590</x:v>
      </x:c>
      <x:c r="B1060" s="3" t="s">
        <x:v>2796</x:v>
      </x:c>
      <x:c r="C1060" s="3" t="s">
        <x:v>3591</x:v>
      </x:c>
      <x:c r="D1060" s="4" t="s">
        <x:v>3592</x:v>
      </x:c>
      <x:c r="E1060" s="4" t="s">
        <x:v>3593</x:v>
      </x:c>
      <x:c r="F1060" s="4" t="s">
        <x:v>3594</x:v>
      </x:c>
      <x:c r="G1060" s="3" t="s">
        <x:v>2801</x:v>
      </x:c>
    </x:row>
    <x:row r="1061" ht="30">
      <x:c r="A1061" s="3" t="s">
        <x:v>3595</x:v>
      </x:c>
      <x:c r="B1061" s="3" t="s">
        <x:v>2796</x:v>
      </x:c>
      <x:c r="C1061" s="3" t="s">
        <x:v>3596</x:v>
      </x:c>
      <x:c r="D1061" s="4" t="s">
        <x:v>2804</x:v>
      </x:c>
      <x:c r="E1061" s="4" t="s">
        <x:v>3597</x:v>
      </x:c>
      <x:c r="F1061" s="4" t="s">
        <x:v>3598</x:v>
      </x:c>
      <x:c r="G1061" s="3" t="s">
        <x:v>2801</x:v>
      </x:c>
    </x:row>
    <x:row r="1062">
      <x:c r="A1062" s="3" t="s">
        <x:v>3599</x:v>
      </x:c>
      <x:c r="B1062" s="3" t="s">
        <x:v>2796</x:v>
      </x:c>
      <x:c r="C1062" s="3" t="s">
        <x:v>3600</x:v>
      </x:c>
      <x:c r="D1062" s="4" t="s">
        <x:v>2834</x:v>
      </x:c>
      <x:c r="E1062" s="4" t="s">
        <x:v>3601</x:v>
      </x:c>
      <x:c r="F1062" s="4" t="s">
        <x:v>3602</x:v>
      </x:c>
      <x:c r="G1062" s="3" t="s">
        <x:v>2801</x:v>
      </x:c>
    </x:row>
    <x:row r="1063" ht="30">
      <x:c r="A1063" s="3" t="s">
        <x:v>3603</x:v>
      </x:c>
      <x:c r="B1063" s="3" t="s">
        <x:v>2796</x:v>
      </x:c>
      <x:c r="C1063" s="3" t="s">
        <x:v>3604</x:v>
      </x:c>
      <x:c r="D1063" s="4" t="s">
        <x:v>3605</x:v>
      </x:c>
      <x:c r="E1063" s="4" t="s">
        <x:v>3606</x:v>
      </x:c>
      <x:c r="F1063" s="4" t="s">
        <x:v>3607</x:v>
      </x:c>
      <x:c r="G1063" s="3" t="s">
        <x:v>2801</x:v>
      </x:c>
    </x:row>
    <x:row r="1064" ht="30">
      <x:c r="A1064" s="3" t="s">
        <x:v>3608</x:v>
      </x:c>
      <x:c r="B1064" s="3" t="s">
        <x:v>2796</x:v>
      </x:c>
      <x:c r="C1064" s="3" t="s">
        <x:v>1115</x:v>
      </x:c>
      <x:c r="D1064" s="4" t="s">
        <x:v>2829</x:v>
      </x:c>
      <x:c r="E1064" s="4" t="s">
        <x:v>3609</x:v>
      </x:c>
      <x:c r="F1064" s="4" t="s">
        <x:v>1117</x:v>
      </x:c>
      <x:c r="G1064" s="3" t="s">
        <x:v>2801</x:v>
      </x:c>
    </x:row>
    <x:row r="1065" ht="30">
      <x:c r="A1065" s="3" t="s">
        <x:v>3610</x:v>
      </x:c>
      <x:c r="B1065" s="3" t="s">
        <x:v>2796</x:v>
      </x:c>
      <x:c r="C1065" s="3" t="s">
        <x:v>3611</x:v>
      </x:c>
      <x:c r="D1065" s="4" t="s">
        <x:v>2875</x:v>
      </x:c>
      <x:c r="E1065" s="4" t="s">
        <x:v>3612</x:v>
      </x:c>
      <x:c r="F1065" s="4" t="s">
        <x:v>3613</x:v>
      </x:c>
      <x:c r="G1065" s="3" t="s">
        <x:v>2801</x:v>
      </x:c>
    </x:row>
    <x:row r="1066" ht="45">
      <x:c r="A1066" s="3" t="s">
        <x:v>3614</x:v>
      </x:c>
      <x:c r="B1066" s="3" t="s">
        <x:v>2796</x:v>
      </x:c>
      <x:c r="C1066" s="3" t="s">
        <x:v>3615</x:v>
      </x:c>
      <x:c r="D1066" s="4" t="s">
        <x:v>3616</x:v>
      </x:c>
      <x:c r="E1066" s="4" t="s">
        <x:v>3617</x:v>
      </x:c>
      <x:c r="F1066" s="4" t="s">
        <x:v>3618</x:v>
      </x:c>
      <x:c r="G1066" s="3" t="s">
        <x:v>2801</x:v>
      </x:c>
    </x:row>
    <x:row r="1067">
      <x:c r="A1067" s="3" t="s">
        <x:v>3619</x:v>
      </x:c>
      <x:c r="B1067" s="3" t="s">
        <x:v>2796</x:v>
      </x:c>
      <x:c r="C1067" s="3" t="s">
        <x:v>3620</x:v>
      </x:c>
      <x:c r="D1067" s="4" t="s">
        <x:v>2865</x:v>
      </x:c>
      <x:c r="E1067" s="4" t="s">
        <x:v>3621</x:v>
      </x:c>
      <x:c r="F1067" s="4" t="s">
        <x:v>3622</x:v>
      </x:c>
      <x:c r="G1067" s="3" t="s">
        <x:v>2801</x:v>
      </x:c>
    </x:row>
    <x:row r="1068">
      <x:c r="A1068" s="3" t="s">
        <x:v>3623</x:v>
      </x:c>
      <x:c r="B1068" s="3" t="s">
        <x:v>2796</x:v>
      </x:c>
      <x:c r="C1068" s="3" t="s">
        <x:v>3624</x:v>
      </x:c>
      <x:c r="D1068" s="4" t="s">
        <x:v>2865</x:v>
      </x:c>
      <x:c r="E1068" s="4" t="s">
        <x:v>3625</x:v>
      </x:c>
      <x:c r="F1068" s="4" t="s">
        <x:v>3626</x:v>
      </x:c>
      <x:c r="G1068" s="3" t="s">
        <x:v>2801</x:v>
      </x:c>
    </x:row>
    <x:row r="1069" ht="30">
      <x:c r="A1069" s="3" t="s">
        <x:v>3627</x:v>
      </x:c>
      <x:c r="B1069" s="3" t="s">
        <x:v>2796</x:v>
      </x:c>
      <x:c r="C1069" s="3" t="s">
        <x:v>3628</x:v>
      </x:c>
      <x:c r="D1069" s="4" t="s">
        <x:v>3629</x:v>
      </x:c>
      <x:c r="E1069" s="4" t="s">
        <x:v>3630</x:v>
      </x:c>
      <x:c r="F1069" s="4" t="s">
        <x:v>3631</x:v>
      </x:c>
      <x:c r="G1069" s="3" t="s">
        <x:v>2801</x:v>
      </x:c>
    </x:row>
    <x:row r="1070">
      <x:c r="A1070" s="3" t="s">
        <x:v>3632</x:v>
      </x:c>
      <x:c r="B1070" s="3" t="s">
        <x:v>2796</x:v>
      </x:c>
      <x:c r="C1070" s="3" t="s">
        <x:v>3633</x:v>
      </x:c>
      <x:c r="D1070" s="4" t="s">
        <x:v>3196</x:v>
      </x:c>
      <x:c r="E1070" s="4" t="s">
        <x:v>3634</x:v>
      </x:c>
      <x:c r="F1070" s="4" t="s">
        <x:v>3635</x:v>
      </x:c>
      <x:c r="G1070" s="3" t="s">
        <x:v>2801</x:v>
      </x:c>
    </x:row>
    <x:row r="1071">
      <x:c r="A1071" s="3" t="s">
        <x:v>3636</x:v>
      </x:c>
      <x:c r="B1071" s="3" t="s">
        <x:v>2796</x:v>
      </x:c>
      <x:c r="C1071" s="3" t="s">
        <x:v>3637</x:v>
      </x:c>
      <x:c r="D1071" s="4" t="s">
        <x:v>2819</x:v>
      </x:c>
      <x:c r="E1071" s="4" t="s">
        <x:v>3638</x:v>
      </x:c>
      <x:c r="F1071" s="4" t="s">
        <x:v>3639</x:v>
      </x:c>
      <x:c r="G1071" s="3" t="s">
        <x:v>2801</x:v>
      </x:c>
    </x:row>
    <x:row r="1072" ht="30">
      <x:c r="A1072" s="3" t="s">
        <x:v>3640</x:v>
      </x:c>
      <x:c r="B1072" s="3" t="s">
        <x:v>2796</x:v>
      </x:c>
      <x:c r="C1072" s="3" t="s">
        <x:v>3641</x:v>
      </x:c>
      <x:c r="D1072" s="4" t="s">
        <x:v>2834</x:v>
      </x:c>
      <x:c r="E1072" s="4" t="s">
        <x:v>3642</x:v>
      </x:c>
      <x:c r="F1072" s="4" t="s">
        <x:v>3643</x:v>
      </x:c>
      <x:c r="G1072" s="3" t="s">
        <x:v>2801</x:v>
      </x:c>
    </x:row>
    <x:row r="1073" ht="30">
      <x:c r="A1073" s="3" t="s">
        <x:v>3644</x:v>
      </x:c>
      <x:c r="B1073" s="3" t="s">
        <x:v>2796</x:v>
      </x:c>
      <x:c r="C1073" s="3" t="s">
        <x:v>3645</x:v>
      </x:c>
      <x:c r="D1073" s="4" t="s">
        <x:v>3646</x:v>
      </x:c>
      <x:c r="E1073" s="4" t="s">
        <x:v>3647</x:v>
      </x:c>
      <x:c r="F1073" s="4" t="s">
        <x:v>3648</x:v>
      </x:c>
      <x:c r="G1073" s="3" t="s">
        <x:v>2801</x:v>
      </x:c>
    </x:row>
    <x:row r="1074">
      <x:c r="A1074" s="3" t="s">
        <x:v>3649</x:v>
      </x:c>
      <x:c r="B1074" s="3" t="s">
        <x:v>2796</x:v>
      </x:c>
      <x:c r="C1074" s="3" t="s">
        <x:v>3650</x:v>
      </x:c>
      <x:c r="D1074" s="4" t="s">
        <x:v>2819</x:v>
      </x:c>
      <x:c r="E1074" s="4" t="s">
        <x:v>3651</x:v>
      </x:c>
      <x:c r="F1074" s="4" t="s">
        <x:v>3652</x:v>
      </x:c>
      <x:c r="G1074" s="3" t="s">
        <x:v>2801</x:v>
      </x:c>
    </x:row>
    <x:row r="1075">
      <x:c r="A1075" s="3" t="s">
        <x:v>3653</x:v>
      </x:c>
      <x:c r="B1075" s="3" t="s">
        <x:v>2796</x:v>
      </x:c>
      <x:c r="C1075" s="3" t="s">
        <x:v>3654</x:v>
      </x:c>
      <x:c r="D1075" s="4" t="s">
        <x:v>2834</x:v>
      </x:c>
      <x:c r="E1075" s="4" t="s">
        <x:v>3655</x:v>
      </x:c>
      <x:c r="F1075" s="4" t="s">
        <x:v>3656</x:v>
      </x:c>
      <x:c r="G1075" s="3" t="s">
        <x:v>2801</x:v>
      </x:c>
    </x:row>
    <x:row r="1076" ht="30">
      <x:c r="A1076" s="3" t="s">
        <x:v>3657</x:v>
      </x:c>
      <x:c r="B1076" s="3" t="s">
        <x:v>2796</x:v>
      </x:c>
      <x:c r="C1076" s="3" t="s">
        <x:v>3658</x:v>
      </x:c>
      <x:c r="D1076" s="4" t="s">
        <x:v>3040</x:v>
      </x:c>
      <x:c r="E1076" s="4" t="s">
        <x:v>3659</x:v>
      </x:c>
      <x:c r="F1076" s="4" t="s">
        <x:v>3660</x:v>
      </x:c>
      <x:c r="G1076" s="3" t="s">
        <x:v>2801</x:v>
      </x:c>
    </x:row>
    <x:row r="1077" ht="30">
      <x:c r="A1077" s="3" t="s">
        <x:v>3661</x:v>
      </x:c>
      <x:c r="B1077" s="3" t="s">
        <x:v>2796</x:v>
      </x:c>
      <x:c r="C1077" s="3" t="s">
        <x:v>3662</x:v>
      </x:c>
      <x:c r="D1077" s="4" t="s">
        <x:v>3482</x:v>
      </x:c>
      <x:c r="E1077" s="4" t="s">
        <x:v>3663</x:v>
      </x:c>
      <x:c r="F1077" s="4" t="s">
        <x:v>3664</x:v>
      </x:c>
      <x:c r="G1077" s="3" t="s">
        <x:v>2801</x:v>
      </x:c>
    </x:row>
    <x:row r="1078" ht="30">
      <x:c r="A1078" s="3" t="s">
        <x:v>3665</x:v>
      </x:c>
      <x:c r="B1078" s="3" t="s">
        <x:v>2796</x:v>
      </x:c>
      <x:c r="C1078" s="3" t="s">
        <x:v>1119</x:v>
      </x:c>
      <x:c r="D1078" s="4" t="s">
        <x:v>3173</x:v>
      </x:c>
      <x:c r="E1078" s="4" t="s">
        <x:v>3666</x:v>
      </x:c>
      <x:c r="F1078" s="4" t="s">
        <x:v>1121</x:v>
      </x:c>
      <x:c r="G1078" s="3" t="s">
        <x:v>2801</x:v>
      </x:c>
    </x:row>
    <x:row r="1079" ht="30">
      <x:c r="A1079" s="3" t="s">
        <x:v>3667</x:v>
      </x:c>
      <x:c r="B1079" s="3" t="s">
        <x:v>2796</x:v>
      </x:c>
      <x:c r="C1079" s="3" t="s">
        <x:v>3668</x:v>
      </x:c>
      <x:c r="D1079" s="4" t="s">
        <x:v>3133</x:v>
      </x:c>
      <x:c r="E1079" s="4" t="s">
        <x:v>3669</x:v>
      </x:c>
      <x:c r="F1079" s="4" t="s">
        <x:v>3670</x:v>
      </x:c>
      <x:c r="G1079" s="3" t="s">
        <x:v>2801</x:v>
      </x:c>
    </x:row>
    <x:row r="1080" ht="30">
      <x:c r="A1080" s="3" t="s">
        <x:v>3671</x:v>
      </x:c>
      <x:c r="B1080" s="3" t="s">
        <x:v>2796</x:v>
      </x:c>
      <x:c r="C1080" s="3" t="s">
        <x:v>1616</x:v>
      </x:c>
      <x:c r="D1080" s="4" t="s">
        <x:v>3672</x:v>
      </x:c>
      <x:c r="E1080" s="4" t="s">
        <x:v>3673</x:v>
      </x:c>
      <x:c r="F1080" s="4" t="s">
        <x:v>1618</x:v>
      </x:c>
      <x:c r="G1080" s="3" t="s">
        <x:v>2801</x:v>
      </x:c>
    </x:row>
    <x:row r="1081" ht="30">
      <x:c r="A1081" s="3" t="s">
        <x:v>3674</x:v>
      </x:c>
      <x:c r="B1081" s="3" t="s">
        <x:v>2796</x:v>
      </x:c>
      <x:c r="C1081" s="3" t="s">
        <x:v>3675</x:v>
      </x:c>
      <x:c r="D1081" s="4" t="s">
        <x:v>2819</x:v>
      </x:c>
      <x:c r="E1081" s="4" t="s">
        <x:v>3676</x:v>
      </x:c>
      <x:c r="F1081" s="4" t="s">
        <x:v>3677</x:v>
      </x:c>
      <x:c r="G1081" s="3" t="s">
        <x:v>2801</x:v>
      </x:c>
    </x:row>
    <x:row r="1082" ht="30">
      <x:c r="A1082" s="3" t="s">
        <x:v>3678</x:v>
      </x:c>
      <x:c r="B1082" s="3" t="s">
        <x:v>2796</x:v>
      </x:c>
      <x:c r="C1082" s="3" t="s">
        <x:v>3679</x:v>
      </x:c>
      <x:c r="D1082" s="4" t="s">
        <x:v>3133</x:v>
      </x:c>
      <x:c r="E1082" s="4" t="s">
        <x:v>3680</x:v>
      </x:c>
      <x:c r="F1082" s="4" t="s">
        <x:v>3681</x:v>
      </x:c>
      <x:c r="G1082" s="3" t="s">
        <x:v>2801</x:v>
      </x:c>
    </x:row>
    <x:row r="1083" ht="30">
      <x:c r="A1083" s="3" t="s">
        <x:v>3682</x:v>
      </x:c>
      <x:c r="B1083" s="3" t="s">
        <x:v>2796</x:v>
      </x:c>
      <x:c r="C1083" s="3" t="s">
        <x:v>3683</x:v>
      </x:c>
      <x:c r="D1083" s="4" t="s">
        <x:v>2834</x:v>
      </x:c>
      <x:c r="E1083" s="4" t="s">
        <x:v>3684</x:v>
      </x:c>
      <x:c r="F1083" s="4" t="s">
        <x:v>3685</x:v>
      </x:c>
      <x:c r="G1083" s="3" t="s">
        <x:v>2801</x:v>
      </x:c>
    </x:row>
    <x:row r="1084">
      <x:c r="A1084" s="3" t="s">
        <x:v>3686</x:v>
      </x:c>
      <x:c r="B1084" s="3" t="s">
        <x:v>2796</x:v>
      </x:c>
      <x:c r="C1084" s="3" t="s">
        <x:v>3687</x:v>
      </x:c>
      <x:c r="D1084" s="4" t="s">
        <x:v>2819</x:v>
      </x:c>
      <x:c r="E1084" s="4" t="s">
        <x:v>3688</x:v>
      </x:c>
      <x:c r="F1084" s="4" t="s">
        <x:v>3689</x:v>
      </x:c>
      <x:c r="G1084" s="3" t="s">
        <x:v>2801</x:v>
      </x:c>
    </x:row>
    <x:row r="1085">
      <x:c r="A1085" s="3" t="s">
        <x:v>3690</x:v>
      </x:c>
      <x:c r="B1085" s="3" t="s">
        <x:v>3691</x:v>
      </x:c>
      <x:c r="C1085" s="3" t="s">
        <x:v>3692</x:v>
      </x:c>
      <x:c r="D1085" s="4" t="s">
        <x:v>3693</x:v>
      </x:c>
      <x:c r="E1085" s="4"/>
      <x:c r="F1085" s="4" t="s">
        <x:v>3694</x:v>
      </x:c>
      <x:c r="G1085" s="3" t="s">
        <x:v>3695</x:v>
      </x:c>
    </x:row>
    <x:row r="1086">
      <x:c r="A1086" s="3" t="s">
        <x:v>3696</x:v>
      </x:c>
      <x:c r="B1086" s="3" t="s">
        <x:v>3691</x:v>
      </x:c>
      <x:c r="C1086" s="3" t="s">
        <x:v>3697</x:v>
      </x:c>
      <x:c r="D1086" s="4" t="s">
        <x:v>3693</x:v>
      </x:c>
      <x:c r="E1086" s="4"/>
      <x:c r="F1086" s="4" t="s">
        <x:v>3698</x:v>
      </x:c>
      <x:c r="G1086" s="3" t="s">
        <x:v>3695</x:v>
      </x:c>
    </x:row>
    <x:row r="1087">
      <x:c r="A1087" s="3" t="s">
        <x:v>3699</x:v>
      </x:c>
      <x:c r="B1087" s="3" t="s">
        <x:v>3691</x:v>
      </x:c>
      <x:c r="C1087" s="3" t="s">
        <x:v>3700</x:v>
      </x:c>
      <x:c r="D1087" s="4" t="s">
        <x:v>3693</x:v>
      </x:c>
      <x:c r="E1087" s="4"/>
      <x:c r="F1087" s="4" t="s">
        <x:v>3701</x:v>
      </x:c>
      <x:c r="G1087" s="3" t="s">
        <x:v>3695</x:v>
      </x:c>
    </x:row>
    <x:row r="1088">
      <x:c r="A1088" s="3" t="s">
        <x:v>3702</x:v>
      </x:c>
      <x:c r="B1088" s="3" t="s">
        <x:v>3691</x:v>
      </x:c>
      <x:c r="C1088" s="3" t="s">
        <x:v>3703</x:v>
      </x:c>
      <x:c r="D1088" s="4" t="s">
        <x:v>3693</x:v>
      </x:c>
      <x:c r="E1088" s="4"/>
      <x:c r="F1088" s="4" t="s">
        <x:v>3704</x:v>
      </x:c>
      <x:c r="G1088" s="3" t="s">
        <x:v>3695</x:v>
      </x:c>
    </x:row>
    <x:row r="1089">
      <x:c r="A1089" s="3" t="s">
        <x:v>3705</x:v>
      </x:c>
      <x:c r="B1089" s="3" t="s">
        <x:v>3691</x:v>
      </x:c>
      <x:c r="C1089" s="3" t="s">
        <x:v>3706</x:v>
      </x:c>
      <x:c r="D1089" s="4" t="s">
        <x:v>3693</x:v>
      </x:c>
      <x:c r="E1089" s="4"/>
      <x:c r="F1089" s="4" t="s">
        <x:v>3707</x:v>
      </x:c>
      <x:c r="G1089" s="3" t="s">
        <x:v>3695</x:v>
      </x:c>
    </x:row>
    <x:row r="1090">
      <x:c r="A1090" s="3" t="s">
        <x:v>3708</x:v>
      </x:c>
      <x:c r="B1090" s="3" t="s">
        <x:v>3691</x:v>
      </x:c>
      <x:c r="C1090" s="3" t="s">
        <x:v>3709</x:v>
      </x:c>
      <x:c r="D1090" s="4" t="s">
        <x:v>3693</x:v>
      </x:c>
      <x:c r="E1090" s="4"/>
      <x:c r="F1090" s="4" t="s">
        <x:v>3710</x:v>
      </x:c>
      <x:c r="G1090" s="3" t="s">
        <x:v>3695</x:v>
      </x:c>
    </x:row>
    <x:row r="1091">
      <x:c r="A1091" s="3" t="s">
        <x:v>3711</x:v>
      </x:c>
      <x:c r="B1091" s="3" t="s">
        <x:v>3691</x:v>
      </x:c>
      <x:c r="C1091" s="3" t="s">
        <x:v>3712</x:v>
      </x:c>
      <x:c r="D1091" s="4" t="s">
        <x:v>3693</x:v>
      </x:c>
      <x:c r="E1091" s="4"/>
      <x:c r="F1091" s="4" t="s">
        <x:v>3713</x:v>
      </x:c>
      <x:c r="G1091" s="3" t="s">
        <x:v>3695</x:v>
      </x:c>
    </x:row>
    <x:row r="1092">
      <x:c r="A1092" s="3" t="s">
        <x:v>3714</x:v>
      </x:c>
      <x:c r="B1092" s="3" t="s">
        <x:v>3691</x:v>
      </x:c>
      <x:c r="C1092" s="3" t="s">
        <x:v>3715</x:v>
      </x:c>
      <x:c r="D1092" s="4" t="s">
        <x:v>3693</x:v>
      </x:c>
      <x:c r="E1092" s="4"/>
      <x:c r="F1092" s="4" t="s">
        <x:v>3716</x:v>
      </x:c>
      <x:c r="G1092" s="3" t="s">
        <x:v>3695</x:v>
      </x:c>
    </x:row>
    <x:row r="1093">
      <x:c r="A1093" s="3" t="s">
        <x:v>3717</x:v>
      </x:c>
      <x:c r="B1093" s="3" t="s">
        <x:v>3691</x:v>
      </x:c>
      <x:c r="C1093" s="3" t="s">
        <x:v>3718</x:v>
      </x:c>
      <x:c r="D1093" s="4" t="s">
        <x:v>3693</x:v>
      </x:c>
      <x:c r="E1093" s="4"/>
      <x:c r="F1093" s="4" t="s">
        <x:v>3719</x:v>
      </x:c>
      <x:c r="G1093" s="3" t="s">
        <x:v>3695</x:v>
      </x:c>
    </x:row>
    <x:row r="1094">
      <x:c r="A1094" s="3" t="s">
        <x:v>3720</x:v>
      </x:c>
      <x:c r="B1094" s="3" t="s">
        <x:v>3691</x:v>
      </x:c>
      <x:c r="C1094" s="3" t="s">
        <x:v>3721</x:v>
      </x:c>
      <x:c r="D1094" s="4" t="s">
        <x:v>3693</x:v>
      </x:c>
      <x:c r="E1094" s="4"/>
      <x:c r="F1094" s="4" t="s">
        <x:v>3722</x:v>
      </x:c>
      <x:c r="G1094" s="3" t="s">
        <x:v>3695</x:v>
      </x:c>
    </x:row>
    <x:row r="1095">
      <x:c r="A1095" s="3" t="s">
        <x:v>3723</x:v>
      </x:c>
      <x:c r="B1095" s="3" t="s">
        <x:v>3691</x:v>
      </x:c>
      <x:c r="C1095" s="3" t="s">
        <x:v>1685</x:v>
      </x:c>
      <x:c r="D1095" s="4" t="s">
        <x:v>3693</x:v>
      </x:c>
      <x:c r="E1095" s="4"/>
      <x:c r="F1095" s="4" t="s">
        <x:v>3724</x:v>
      </x:c>
      <x:c r="G1095" s="3" t="s">
        <x:v>3695</x:v>
      </x:c>
    </x:row>
    <x:row r="1096">
      <x:c r="A1096" s="3" t="s">
        <x:v>3725</x:v>
      </x:c>
      <x:c r="B1096" s="3" t="s">
        <x:v>3691</x:v>
      </x:c>
      <x:c r="C1096" s="3" t="s">
        <x:v>2186</x:v>
      </x:c>
      <x:c r="D1096" s="4" t="s">
        <x:v>3693</x:v>
      </x:c>
      <x:c r="E1096" s="4"/>
      <x:c r="F1096" s="4" t="s">
        <x:v>3726</x:v>
      </x:c>
      <x:c r="G1096" s="3" t="s">
        <x:v>3695</x:v>
      </x:c>
    </x:row>
    <x:row r="1097">
      <x:c r="A1097" s="3" t="s">
        <x:v>3727</x:v>
      </x:c>
      <x:c r="B1097" s="3" t="s">
        <x:v>3691</x:v>
      </x:c>
      <x:c r="C1097" s="3" t="s">
        <x:v>2366</x:v>
      </x:c>
      <x:c r="D1097" s="4" t="s">
        <x:v>3693</x:v>
      </x:c>
      <x:c r="E1097" s="4"/>
      <x:c r="F1097" s="4" t="s">
        <x:v>3728</x:v>
      </x:c>
      <x:c r="G1097" s="3" t="s">
        <x:v>3695</x:v>
      </x:c>
    </x:row>
    <x:row r="1098">
      <x:c r="A1098" s="3" t="s">
        <x:v>3729</x:v>
      </x:c>
      <x:c r="B1098" s="3" t="s">
        <x:v>3691</x:v>
      </x:c>
      <x:c r="C1098" s="3" t="s">
        <x:v>3730</x:v>
      </x:c>
      <x:c r="D1098" s="4" t="s">
        <x:v>3693</x:v>
      </x:c>
      <x:c r="E1098" s="4"/>
      <x:c r="F1098" s="4" t="s">
        <x:v>3731</x:v>
      </x:c>
      <x:c r="G1098" s="3" t="s">
        <x:v>3695</x:v>
      </x:c>
    </x:row>
    <x:row r="1099">
      <x:c r="A1099" s="3" t="s">
        <x:v>3732</x:v>
      </x:c>
      <x:c r="B1099" s="3" t="s">
        <x:v>3691</x:v>
      </x:c>
      <x:c r="C1099" s="3" t="s">
        <x:v>3733</x:v>
      </x:c>
      <x:c r="D1099" s="4" t="s">
        <x:v>3693</x:v>
      </x:c>
      <x:c r="E1099" s="4"/>
      <x:c r="F1099" s="4" t="s">
        <x:v>3734</x:v>
      </x:c>
      <x:c r="G1099" s="3" t="s">
        <x:v>3695</x:v>
      </x:c>
    </x:row>
    <x:row r="1100">
      <x:c r="A1100" s="3" t="s">
        <x:v>3735</x:v>
      </x:c>
      <x:c r="B1100" s="3" t="s">
        <x:v>3691</x:v>
      </x:c>
      <x:c r="C1100" s="3" t="s">
        <x:v>3736</x:v>
      </x:c>
      <x:c r="D1100" s="4" t="s">
        <x:v>3693</x:v>
      </x:c>
      <x:c r="E1100" s="4"/>
      <x:c r="F1100" s="4" t="s">
        <x:v>3737</x:v>
      </x:c>
      <x:c r="G1100" s="3" t="s">
        <x:v>3695</x:v>
      </x:c>
    </x:row>
    <x:row r="1101">
      <x:c r="A1101" s="3" t="s">
        <x:v>3738</x:v>
      </x:c>
      <x:c r="B1101" s="3" t="s">
        <x:v>3691</x:v>
      </x:c>
      <x:c r="C1101" s="3" t="s">
        <x:v>3739</x:v>
      </x:c>
      <x:c r="D1101" s="4" t="s">
        <x:v>3693</x:v>
      </x:c>
      <x:c r="E1101" s="4"/>
      <x:c r="F1101" s="4" t="s">
        <x:v>3740</x:v>
      </x:c>
      <x:c r="G1101" s="3" t="s">
        <x:v>3695</x:v>
      </x:c>
    </x:row>
    <x:row r="1102">
      <x:c r="A1102" s="3" t="s">
        <x:v>3741</x:v>
      </x:c>
      <x:c r="B1102" s="3" t="s">
        <x:v>3691</x:v>
      </x:c>
      <x:c r="C1102" s="3" t="s">
        <x:v>3742</x:v>
      </x:c>
      <x:c r="D1102" s="4" t="s">
        <x:v>3693</x:v>
      </x:c>
      <x:c r="E1102" s="4"/>
      <x:c r="F1102" s="4" t="s">
        <x:v>3743</x:v>
      </x:c>
      <x:c r="G1102" s="3" t="s">
        <x:v>3695</x:v>
      </x:c>
    </x:row>
    <x:row r="1103">
      <x:c r="A1103" s="3" t="s">
        <x:v>3744</x:v>
      </x:c>
      <x:c r="B1103" s="3" t="s">
        <x:v>3691</x:v>
      </x:c>
      <x:c r="C1103" s="3" t="s">
        <x:v>1034</x:v>
      </x:c>
      <x:c r="D1103" s="4" t="s">
        <x:v>3693</x:v>
      </x:c>
      <x:c r="E1103" s="4"/>
      <x:c r="F1103" s="4" t="s">
        <x:v>3745</x:v>
      </x:c>
      <x:c r="G1103" s="3" t="s">
        <x:v>3695</x:v>
      </x:c>
    </x:row>
    <x:row r="1104">
      <x:c r="A1104" s="3" t="s">
        <x:v>3746</x:v>
      </x:c>
      <x:c r="B1104" s="3" t="s">
        <x:v>3691</x:v>
      </x:c>
      <x:c r="C1104" s="3" t="s">
        <x:v>3747</x:v>
      </x:c>
      <x:c r="D1104" s="4" t="s">
        <x:v>3693</x:v>
      </x:c>
      <x:c r="E1104" s="4"/>
      <x:c r="F1104" s="4" t="s">
        <x:v>3748</x:v>
      </x:c>
      <x:c r="G1104" s="3" t="s">
        <x:v>3695</x:v>
      </x:c>
    </x:row>
    <x:row r="1105">
      <x:c r="A1105" s="3" t="s">
        <x:v>3749</x:v>
      </x:c>
      <x:c r="B1105" s="3" t="s">
        <x:v>3691</x:v>
      </x:c>
      <x:c r="C1105" s="3" t="s">
        <x:v>3750</x:v>
      </x:c>
      <x:c r="D1105" s="4" t="s">
        <x:v>3693</x:v>
      </x:c>
      <x:c r="E1105" s="4"/>
      <x:c r="F1105" s="4" t="s">
        <x:v>3751</x:v>
      </x:c>
      <x:c r="G1105" s="3" t="s">
        <x:v>3695</x:v>
      </x:c>
    </x:row>
    <x:row r="1106">
      <x:c r="A1106" s="3" t="s">
        <x:v>3752</x:v>
      </x:c>
      <x:c r="B1106" s="3" t="s">
        <x:v>3691</x:v>
      </x:c>
      <x:c r="C1106" s="3" t="s">
        <x:v>3753</x:v>
      </x:c>
      <x:c r="D1106" s="4" t="s">
        <x:v>3693</x:v>
      </x:c>
      <x:c r="E1106" s="4"/>
      <x:c r="F1106" s="4" t="s">
        <x:v>3754</x:v>
      </x:c>
      <x:c r="G1106" s="3" t="s">
        <x:v>3695</x:v>
      </x:c>
    </x:row>
    <x:row r="1107">
      <x:c r="A1107" s="3" t="s">
        <x:v>3755</x:v>
      </x:c>
      <x:c r="B1107" s="3" t="s">
        <x:v>3691</x:v>
      </x:c>
      <x:c r="C1107" s="3" t="s">
        <x:v>3756</x:v>
      </x:c>
      <x:c r="D1107" s="4" t="s">
        <x:v>3693</x:v>
      </x:c>
      <x:c r="E1107" s="4"/>
      <x:c r="F1107" s="4" t="s">
        <x:v>3757</x:v>
      </x:c>
      <x:c r="G1107" s="3" t="s">
        <x:v>3695</x:v>
      </x:c>
    </x:row>
    <x:row r="1108">
      <x:c r="A1108" s="3" t="s">
        <x:v>3758</x:v>
      </x:c>
      <x:c r="B1108" s="3" t="s">
        <x:v>3691</x:v>
      </x:c>
      <x:c r="C1108" s="3" t="s">
        <x:v>3759</x:v>
      </x:c>
      <x:c r="D1108" s="4" t="s">
        <x:v>3693</x:v>
      </x:c>
      <x:c r="E1108" s="4"/>
      <x:c r="F1108" s="4" t="s">
        <x:v>3760</x:v>
      </x:c>
      <x:c r="G1108" s="3" t="s">
        <x:v>3695</x:v>
      </x:c>
    </x:row>
    <x:row r="1109">
      <x:c r="A1109" s="3" t="s">
        <x:v>3761</x:v>
      </x:c>
      <x:c r="B1109" s="3" t="s">
        <x:v>3691</x:v>
      </x:c>
      <x:c r="C1109" s="3" t="s">
        <x:v>3762</x:v>
      </x:c>
      <x:c r="D1109" s="4" t="s">
        <x:v>3693</x:v>
      </x:c>
      <x:c r="E1109" s="4"/>
      <x:c r="F1109" s="4" t="s">
        <x:v>3763</x:v>
      </x:c>
      <x:c r="G1109" s="3" t="s">
        <x:v>3695</x:v>
      </x:c>
    </x:row>
    <x:row r="1110">
      <x:c r="A1110" s="3" t="s">
        <x:v>3764</x:v>
      </x:c>
      <x:c r="B1110" s="3" t="s">
        <x:v>3691</x:v>
      </x:c>
      <x:c r="C1110" s="3" t="s">
        <x:v>3765</x:v>
      </x:c>
      <x:c r="D1110" s="4" t="s">
        <x:v>3693</x:v>
      </x:c>
      <x:c r="E1110" s="4"/>
      <x:c r="F1110" s="4" t="s">
        <x:v>3766</x:v>
      </x:c>
      <x:c r="G1110" s="3" t="s">
        <x:v>3695</x:v>
      </x:c>
    </x:row>
    <x:row r="1111">
      <x:c r="A1111" s="3" t="s">
        <x:v>3767</x:v>
      </x:c>
      <x:c r="B1111" s="3" t="s">
        <x:v>3691</x:v>
      </x:c>
      <x:c r="C1111" s="3" t="s">
        <x:v>2023</x:v>
      </x:c>
      <x:c r="D1111" s="4" t="s">
        <x:v>3693</x:v>
      </x:c>
      <x:c r="E1111" s="4"/>
      <x:c r="F1111" s="4" t="s">
        <x:v>3768</x:v>
      </x:c>
      <x:c r="G1111" s="3" t="s">
        <x:v>3695</x:v>
      </x:c>
    </x:row>
    <x:row r="1112">
      <x:c r="A1112" s="3" t="s">
        <x:v>3769</x:v>
      </x:c>
      <x:c r="B1112" s="3" t="s">
        <x:v>3691</x:v>
      </x:c>
      <x:c r="C1112" s="3" t="s">
        <x:v>3770</x:v>
      </x:c>
      <x:c r="D1112" s="4" t="s">
        <x:v>3693</x:v>
      </x:c>
      <x:c r="E1112" s="4"/>
      <x:c r="F1112" s="4" t="s">
        <x:v>3771</x:v>
      </x:c>
      <x:c r="G1112" s="3" t="s">
        <x:v>3695</x:v>
      </x:c>
    </x:row>
    <x:row r="1113">
      <x:c r="A1113" s="3" t="s">
        <x:v>3772</x:v>
      </x:c>
      <x:c r="B1113" s="3" t="s">
        <x:v>3691</x:v>
      </x:c>
      <x:c r="C1113" s="3" t="s">
        <x:v>3773</x:v>
      </x:c>
      <x:c r="D1113" s="4" t="s">
        <x:v>3693</x:v>
      </x:c>
      <x:c r="E1113" s="4"/>
      <x:c r="F1113" s="4" t="s">
        <x:v>3774</x:v>
      </x:c>
      <x:c r="G1113" s="3" t="s">
        <x:v>3695</x:v>
      </x:c>
    </x:row>
    <x:row r="1114">
      <x:c r="A1114" s="3" t="s">
        <x:v>3775</x:v>
      </x:c>
      <x:c r="B1114" s="3" t="s">
        <x:v>3691</x:v>
      </x:c>
      <x:c r="C1114" s="3" t="s">
        <x:v>1038</x:v>
      </x:c>
      <x:c r="D1114" s="4" t="s">
        <x:v>3693</x:v>
      </x:c>
      <x:c r="E1114" s="4"/>
      <x:c r="F1114" s="4" t="s">
        <x:v>3776</x:v>
      </x:c>
      <x:c r="G1114" s="3" t="s">
        <x:v>3695</x:v>
      </x:c>
    </x:row>
    <x:row r="1115">
      <x:c r="A1115" s="3" t="s">
        <x:v>3777</x:v>
      </x:c>
      <x:c r="B1115" s="3" t="s">
        <x:v>3691</x:v>
      </x:c>
      <x:c r="C1115" s="3" t="s">
        <x:v>1552</x:v>
      </x:c>
      <x:c r="D1115" s="4" t="s">
        <x:v>3693</x:v>
      </x:c>
      <x:c r="E1115" s="4"/>
      <x:c r="F1115" s="4" t="s">
        <x:v>3778</x:v>
      </x:c>
      <x:c r="G1115" s="3" t="s">
        <x:v>3695</x:v>
      </x:c>
    </x:row>
    <x:row r="1116">
      <x:c r="A1116" s="3" t="s">
        <x:v>3779</x:v>
      </x:c>
      <x:c r="B1116" s="3" t="s">
        <x:v>3691</x:v>
      </x:c>
      <x:c r="C1116" s="3" t="s">
        <x:v>3780</x:v>
      </x:c>
      <x:c r="D1116" s="4" t="s">
        <x:v>3693</x:v>
      </x:c>
      <x:c r="E1116" s="4"/>
      <x:c r="F1116" s="4" t="s">
        <x:v>3781</x:v>
      </x:c>
      <x:c r="G1116" s="3" t="s">
        <x:v>3695</x:v>
      </x:c>
    </x:row>
    <x:row r="1117">
      <x:c r="A1117" s="3" t="s">
        <x:v>3782</x:v>
      </x:c>
      <x:c r="B1117" s="3" t="s">
        <x:v>3691</x:v>
      </x:c>
      <x:c r="C1117" s="3" t="s">
        <x:v>3783</x:v>
      </x:c>
      <x:c r="D1117" s="4" t="s">
        <x:v>3693</x:v>
      </x:c>
      <x:c r="E1117" s="4"/>
      <x:c r="F1117" s="4" t="s">
        <x:v>3784</x:v>
      </x:c>
      <x:c r="G1117" s="3" t="s">
        <x:v>3695</x:v>
      </x:c>
    </x:row>
    <x:row r="1118">
      <x:c r="A1118" s="3" t="s">
        <x:v>3785</x:v>
      </x:c>
      <x:c r="B1118" s="3" t="s">
        <x:v>3691</x:v>
      </x:c>
      <x:c r="C1118" s="3" t="s">
        <x:v>3786</x:v>
      </x:c>
      <x:c r="D1118" s="4" t="s">
        <x:v>3693</x:v>
      </x:c>
      <x:c r="E1118" s="4"/>
      <x:c r="F1118" s="4" t="s">
        <x:v>3787</x:v>
      </x:c>
      <x:c r="G1118" s="3" t="s">
        <x:v>3695</x:v>
      </x:c>
    </x:row>
    <x:row r="1119">
      <x:c r="A1119" s="3" t="s">
        <x:v>3788</x:v>
      </x:c>
      <x:c r="B1119" s="3" t="s">
        <x:v>3691</x:v>
      </x:c>
      <x:c r="C1119" s="3" t="s">
        <x:v>3789</x:v>
      </x:c>
      <x:c r="D1119" s="4" t="s">
        <x:v>3693</x:v>
      </x:c>
      <x:c r="E1119" s="4"/>
      <x:c r="F1119" s="4" t="s">
        <x:v>3790</x:v>
      </x:c>
      <x:c r="G1119" s="3" t="s">
        <x:v>3695</x:v>
      </x:c>
    </x:row>
    <x:row r="1120">
      <x:c r="A1120" s="3" t="s">
        <x:v>3791</x:v>
      </x:c>
      <x:c r="B1120" s="3" t="s">
        <x:v>3691</x:v>
      </x:c>
      <x:c r="C1120" s="3" t="s">
        <x:v>3792</x:v>
      </x:c>
      <x:c r="D1120" s="4" t="s">
        <x:v>3693</x:v>
      </x:c>
      <x:c r="E1120" s="4"/>
      <x:c r="F1120" s="4" t="s">
        <x:v>3793</x:v>
      </x:c>
      <x:c r="G1120" s="3" t="s">
        <x:v>3695</x:v>
      </x:c>
    </x:row>
    <x:row r="1121">
      <x:c r="A1121" s="3" t="s">
        <x:v>3794</x:v>
      </x:c>
      <x:c r="B1121" s="3" t="s">
        <x:v>3691</x:v>
      </x:c>
      <x:c r="C1121" s="3" t="s">
        <x:v>3795</x:v>
      </x:c>
      <x:c r="D1121" s="4" t="s">
        <x:v>3693</x:v>
      </x:c>
      <x:c r="E1121" s="4"/>
      <x:c r="F1121" s="4" t="s">
        <x:v>3796</x:v>
      </x:c>
      <x:c r="G1121" s="3" t="s">
        <x:v>3695</x:v>
      </x:c>
    </x:row>
    <x:row r="1122">
      <x:c r="A1122" s="3" t="s">
        <x:v>3797</x:v>
      </x:c>
      <x:c r="B1122" s="3" t="s">
        <x:v>3691</x:v>
      </x:c>
      <x:c r="C1122" s="3" t="s">
        <x:v>3798</x:v>
      </x:c>
      <x:c r="D1122" s="4" t="s">
        <x:v>3693</x:v>
      </x:c>
      <x:c r="E1122" s="4"/>
      <x:c r="F1122" s="4" t="s">
        <x:v>3799</x:v>
      </x:c>
      <x:c r="G1122" s="3" t="s">
        <x:v>3695</x:v>
      </x:c>
    </x:row>
    <x:row r="1123">
      <x:c r="A1123" s="3" t="s">
        <x:v>3800</x:v>
      </x:c>
      <x:c r="B1123" s="3" t="s">
        <x:v>3691</x:v>
      </x:c>
      <x:c r="C1123" s="3" t="s">
        <x:v>3801</x:v>
      </x:c>
      <x:c r="D1123" s="4" t="s">
        <x:v>3693</x:v>
      </x:c>
      <x:c r="E1123" s="4"/>
      <x:c r="F1123" s="4" t="s">
        <x:v>3802</x:v>
      </x:c>
      <x:c r="G1123" s="3" t="s">
        <x:v>3695</x:v>
      </x:c>
    </x:row>
    <x:row r="1124">
      <x:c r="A1124" s="3" t="s">
        <x:v>3803</x:v>
      </x:c>
      <x:c r="B1124" s="3" t="s">
        <x:v>3691</x:v>
      </x:c>
      <x:c r="C1124" s="3" t="s">
        <x:v>1456</x:v>
      </x:c>
      <x:c r="D1124" s="4" t="s">
        <x:v>3693</x:v>
      </x:c>
      <x:c r="E1124" s="4"/>
      <x:c r="F1124" s="4" t="s">
        <x:v>3804</x:v>
      </x:c>
      <x:c r="G1124" s="3" t="s">
        <x:v>3695</x:v>
      </x:c>
    </x:row>
    <x:row r="1125">
      <x:c r="A1125" s="3" t="s">
        <x:v>3805</x:v>
      </x:c>
      <x:c r="B1125" s="3" t="s">
        <x:v>3691</x:v>
      </x:c>
      <x:c r="C1125" s="3" t="s">
        <x:v>3806</x:v>
      </x:c>
      <x:c r="D1125" s="4" t="s">
        <x:v>3693</x:v>
      </x:c>
      <x:c r="E1125" s="4"/>
      <x:c r="F1125" s="4" t="s">
        <x:v>3807</x:v>
      </x:c>
      <x:c r="G1125" s="3" t="s">
        <x:v>3695</x:v>
      </x:c>
    </x:row>
    <x:row r="1126">
      <x:c r="A1126" s="3" t="s">
        <x:v>3808</x:v>
      </x:c>
      <x:c r="B1126" s="3" t="s">
        <x:v>3691</x:v>
      </x:c>
      <x:c r="C1126" s="3" t="s">
        <x:v>3809</x:v>
      </x:c>
      <x:c r="D1126" s="4" t="s">
        <x:v>3693</x:v>
      </x:c>
      <x:c r="E1126" s="4"/>
      <x:c r="F1126" s="4" t="s">
        <x:v>3810</x:v>
      </x:c>
      <x:c r="G1126" s="3" t="s">
        <x:v>3695</x:v>
      </x:c>
    </x:row>
    <x:row r="1127">
      <x:c r="A1127" s="3" t="s">
        <x:v>3811</x:v>
      </x:c>
      <x:c r="B1127" s="3" t="s">
        <x:v>3691</x:v>
      </x:c>
      <x:c r="C1127" s="3" t="s">
        <x:v>3812</x:v>
      </x:c>
      <x:c r="D1127" s="4" t="s">
        <x:v>3693</x:v>
      </x:c>
      <x:c r="E1127" s="4"/>
      <x:c r="F1127" s="4" t="s">
        <x:v>3813</x:v>
      </x:c>
      <x:c r="G1127" s="3" t="s">
        <x:v>3695</x:v>
      </x:c>
    </x:row>
    <x:row r="1128">
      <x:c r="A1128" s="3" t="s">
        <x:v>3814</x:v>
      </x:c>
      <x:c r="B1128" s="3" t="s">
        <x:v>3691</x:v>
      </x:c>
      <x:c r="C1128" s="3" t="s">
        <x:v>3815</x:v>
      </x:c>
      <x:c r="D1128" s="4" t="s">
        <x:v>3693</x:v>
      </x:c>
      <x:c r="E1128" s="4"/>
      <x:c r="F1128" s="4" t="s">
        <x:v>3816</x:v>
      </x:c>
      <x:c r="G1128" s="3" t="s">
        <x:v>3695</x:v>
      </x:c>
    </x:row>
    <x:row r="1129">
      <x:c r="A1129" s="3" t="s">
        <x:v>3817</x:v>
      </x:c>
      <x:c r="B1129" s="3" t="s">
        <x:v>3691</x:v>
      </x:c>
      <x:c r="C1129" s="3" t="s">
        <x:v>3818</x:v>
      </x:c>
      <x:c r="D1129" s="4" t="s">
        <x:v>3693</x:v>
      </x:c>
      <x:c r="E1129" s="4"/>
      <x:c r="F1129" s="4" t="s">
        <x:v>3819</x:v>
      </x:c>
      <x:c r="G1129" s="3" t="s">
        <x:v>3695</x:v>
      </x:c>
    </x:row>
    <x:row r="1130">
      <x:c r="A1130" s="3" t="s">
        <x:v>3820</x:v>
      </x:c>
      <x:c r="B1130" s="3" t="s">
        <x:v>3691</x:v>
      </x:c>
      <x:c r="C1130" s="3" t="s">
        <x:v>1428</x:v>
      </x:c>
      <x:c r="D1130" s="4" t="s">
        <x:v>3693</x:v>
      </x:c>
      <x:c r="E1130" s="4"/>
      <x:c r="F1130" s="4" t="s">
        <x:v>3821</x:v>
      </x:c>
      <x:c r="G1130" s="3" t="s">
        <x:v>3695</x:v>
      </x:c>
    </x:row>
    <x:row r="1131">
      <x:c r="A1131" s="3" t="s">
        <x:v>3822</x:v>
      </x:c>
      <x:c r="B1131" s="3" t="s">
        <x:v>3691</x:v>
      </x:c>
      <x:c r="C1131" s="3" t="s">
        <x:v>1107</x:v>
      </x:c>
      <x:c r="D1131" s="4" t="s">
        <x:v>3693</x:v>
      </x:c>
      <x:c r="E1131" s="4"/>
      <x:c r="F1131" s="4" t="s">
        <x:v>3823</x:v>
      </x:c>
      <x:c r="G1131" s="3" t="s">
        <x:v>3695</x:v>
      </x:c>
    </x:row>
    <x:row r="1132">
      <x:c r="A1132" s="3" t="s">
        <x:v>3824</x:v>
      </x:c>
      <x:c r="B1132" s="3" t="s">
        <x:v>3691</x:v>
      </x:c>
      <x:c r="C1132" s="3" t="s">
        <x:v>3825</x:v>
      </x:c>
      <x:c r="D1132" s="4" t="s">
        <x:v>3693</x:v>
      </x:c>
      <x:c r="E1132" s="4"/>
      <x:c r="F1132" s="4" t="s">
        <x:v>3826</x:v>
      </x:c>
      <x:c r="G1132" s="3" t="s">
        <x:v>3695</x:v>
      </x:c>
    </x:row>
    <x:row r="1133">
      <x:c r="A1133" s="3" t="s">
        <x:v>3827</x:v>
      </x:c>
      <x:c r="B1133" s="3" t="s">
        <x:v>3691</x:v>
      </x:c>
      <x:c r="C1133" s="3" t="s">
        <x:v>3828</x:v>
      </x:c>
      <x:c r="D1133" s="4" t="s">
        <x:v>3693</x:v>
      </x:c>
      <x:c r="E1133" s="4"/>
      <x:c r="F1133" s="4" t="s">
        <x:v>3829</x:v>
      </x:c>
      <x:c r="G1133" s="3" t="s">
        <x:v>3695</x:v>
      </x:c>
    </x:row>
    <x:row r="1134">
      <x:c r="A1134" s="3" t="s">
        <x:v>3830</x:v>
      </x:c>
      <x:c r="B1134" s="3" t="s">
        <x:v>3691</x:v>
      </x:c>
      <x:c r="C1134" s="3" t="s">
        <x:v>3831</x:v>
      </x:c>
      <x:c r="D1134" s="4" t="s">
        <x:v>3693</x:v>
      </x:c>
      <x:c r="E1134" s="4"/>
      <x:c r="F1134" s="4" t="s">
        <x:v>3832</x:v>
      </x:c>
      <x:c r="G1134" s="3" t="s">
        <x:v>3695</x:v>
      </x:c>
    </x:row>
    <x:row r="1135">
      <x:c r="A1135" s="3" t="s">
        <x:v>3833</x:v>
      </x:c>
      <x:c r="B1135" s="3" t="s">
        <x:v>3691</x:v>
      </x:c>
      <x:c r="C1135" s="3" t="s">
        <x:v>3834</x:v>
      </x:c>
      <x:c r="D1135" s="4" t="s">
        <x:v>3693</x:v>
      </x:c>
      <x:c r="E1135" s="4"/>
      <x:c r="F1135" s="4" t="s">
        <x:v>3835</x:v>
      </x:c>
      <x:c r="G1135" s="3" t="s">
        <x:v>3695</x:v>
      </x:c>
    </x:row>
    <x:row r="1136">
      <x:c r="A1136" s="3" t="s">
        <x:v>3836</x:v>
      </x:c>
      <x:c r="B1136" s="3" t="s">
        <x:v>3691</x:v>
      </x:c>
      <x:c r="C1136" s="3" t="s">
        <x:v>3837</x:v>
      </x:c>
      <x:c r="D1136" s="4" t="s">
        <x:v>3693</x:v>
      </x:c>
      <x:c r="E1136" s="4"/>
      <x:c r="F1136" s="4" t="s">
        <x:v>3838</x:v>
      </x:c>
      <x:c r="G1136" s="3" t="s">
        <x:v>3695</x:v>
      </x:c>
    </x:row>
    <x:row r="1137">
      <x:c r="A1137" s="3" t="s">
        <x:v>3839</x:v>
      </x:c>
      <x:c r="B1137" s="3" t="s">
        <x:v>3691</x:v>
      </x:c>
      <x:c r="C1137" s="3" t="s">
        <x:v>3840</x:v>
      </x:c>
      <x:c r="D1137" s="4" t="s">
        <x:v>3693</x:v>
      </x:c>
      <x:c r="E1137" s="4"/>
      <x:c r="F1137" s="4" t="s">
        <x:v>3841</x:v>
      </x:c>
      <x:c r="G1137" s="3" t="s">
        <x:v>3695</x:v>
      </x:c>
    </x:row>
    <x:row r="1138">
      <x:c r="A1138" s="3" t="s">
        <x:v>3842</x:v>
      </x:c>
      <x:c r="B1138" s="3" t="s">
        <x:v>3691</x:v>
      </x:c>
      <x:c r="C1138" s="3" t="s">
        <x:v>3843</x:v>
      </x:c>
      <x:c r="D1138" s="4" t="s">
        <x:v>3693</x:v>
      </x:c>
      <x:c r="E1138" s="4"/>
      <x:c r="F1138" s="4" t="s">
        <x:v>3844</x:v>
      </x:c>
      <x:c r="G1138" s="3" t="s">
        <x:v>3695</x:v>
      </x:c>
    </x:row>
    <x:row r="1139">
      <x:c r="A1139" s="3" t="s">
        <x:v>3845</x:v>
      </x:c>
      <x:c r="B1139" s="3" t="s">
        <x:v>3691</x:v>
      </x:c>
      <x:c r="C1139" s="3" t="s">
        <x:v>3846</x:v>
      </x:c>
      <x:c r="D1139" s="4" t="s">
        <x:v>3693</x:v>
      </x:c>
      <x:c r="E1139" s="4"/>
      <x:c r="F1139" s="4" t="s">
        <x:v>3847</x:v>
      </x:c>
      <x:c r="G1139" s="3" t="s">
        <x:v>3695</x:v>
      </x:c>
    </x:row>
    <x:row r="1140">
      <x:c r="A1140" s="3" t="s">
        <x:v>3848</x:v>
      </x:c>
      <x:c r="B1140" s="3" t="s">
        <x:v>3691</x:v>
      </x:c>
      <x:c r="C1140" s="3" t="s">
        <x:v>3849</x:v>
      </x:c>
      <x:c r="D1140" s="4" t="s">
        <x:v>3693</x:v>
      </x:c>
      <x:c r="E1140" s="4"/>
      <x:c r="F1140" s="4" t="s">
        <x:v>3850</x:v>
      </x:c>
      <x:c r="G1140" s="3" t="s">
        <x:v>3695</x:v>
      </x:c>
    </x:row>
    <x:row r="1141">
      <x:c r="A1141" s="3" t="s">
        <x:v>3851</x:v>
      </x:c>
      <x:c r="B1141" s="3" t="s">
        <x:v>3691</x:v>
      </x:c>
      <x:c r="C1141" s="3" t="s">
        <x:v>3852</x:v>
      </x:c>
      <x:c r="D1141" s="4" t="s">
        <x:v>3693</x:v>
      </x:c>
      <x:c r="E1141" s="4"/>
      <x:c r="F1141" s="4" t="s">
        <x:v>3853</x:v>
      </x:c>
      <x:c r="G1141" s="3" t="s">
        <x:v>3695</x:v>
      </x:c>
    </x:row>
    <x:row r="1142">
      <x:c r="A1142" s="3" t="s">
        <x:v>3854</x:v>
      </x:c>
      <x:c r="B1142" s="3" t="s">
        <x:v>3691</x:v>
      </x:c>
      <x:c r="C1142" s="3" t="s">
        <x:v>3855</x:v>
      </x:c>
      <x:c r="D1142" s="4" t="s">
        <x:v>3693</x:v>
      </x:c>
      <x:c r="E1142" s="4"/>
      <x:c r="F1142" s="4" t="s">
        <x:v>3856</x:v>
      </x:c>
      <x:c r="G1142" s="3" t="s">
        <x:v>3695</x:v>
      </x:c>
    </x:row>
  </x:sheetData>
  <x:mergeCells>
    <x:mergeCell ref="A1:G1"/>
    <x:mergeCell ref="A2:G2"/>
  </x:mergeCells>
  <x:pageMargins left="0.7" right="0.7" top="0.75" bottom="0.75" header="0.3" footer="0.3"/>
  <x:tableParts count="1">
    <x:tablePart xmlns:r="http://schemas.openxmlformats.org/officeDocument/2006/relationships" r:id="Rbdfa0b88956447fa"/>
  </x:tableParts>
</x:worksheet>
</file>

<file path=xl/worksheets/sheet2.xml><?xml version="1.0" encoding="utf-8"?>
<x:worksheet xmlns:x="http://schemas.openxmlformats.org/spreadsheetml/2006/main">
  <x:sheetFormatPr defaultRowHeight="15"/>
  <x:cols>
    <x:col min="1" max="1" width="25" hidden="0" customWidth="1"/>
    <x:col min="2" max="2" width="34" hidden="0" customWidth="1"/>
    <x:col min="3" max="3" width="46" hidden="0" customWidth="1"/>
    <x:col min="4" max="4" width="52" hidden="0" customWidth="1"/>
    <x:col min="6" max="6" width="8" hidden="0" customWidth="1"/>
    <x:col min="7" max="7" width="58" hidden="0" customWidth="1"/>
    <x:col min="8" max="8" width="4" hidden="0" customWidth="1"/>
  </x:cols>
  <x:sheetData>
    <x:row r="1" ht="30" customHeight="1">
      <x:c r="A1" s="11" t="str">
        <x:v>IMPLICIT MAZE — MASTER SCRYFALL TRANSLATION WORKBOOK</x:v>
      </x:c>
      <x:c r="B1" s="11"/>
      <x:c r="C1" s="11"/>
      <x:c r="D1" s="11"/>
      <x:c r="E1" s="11"/>
      <x:c r="F1" s="11"/>
      <x:c r="G1" s="11"/>
      <x:c r="H1" s="11"/>
    </x:row>
    <x:row r="2" ht="34" customHeight="1">
      <x:c r="A2" s="15" t="str">
        <x:v>Purpose: convert the raw Magic vocabulary corpus into a governed Scryfall translation brain for Plain Reading, query explanation, ambiguity handling, and QA.</x:v>
      </x:c>
      <x:c r="B2" s="15"/>
      <x:c r="C2" s="15"/>
      <x:c r="D2" s="15"/>
      <x:c r="E2" s="15"/>
      <x:c r="F2" s="15"/>
      <x:c r="G2" s="15"/>
      <x:c r="H2" s="15"/>
    </x:row>
    <x:row r="4" ht="28" customHeight="1">
      <x:c r="A4" s="20" t="str">
        <x:v>Sheet</x:v>
      </x:c>
      <x:c r="B4" s="20" t="str">
        <x:v>Role</x:v>
      </x:c>
      <x:c r="C4" s="20" t="str">
        <x:v>Use It For</x:v>
      </x:c>
      <x:c r="D4" s="20" t="str">
        <x:v>Production Guidance</x:v>
      </x:c>
      <x:c r="F4" s="19" t="str">
        <x:v>TRANSLATION PRINCIPLES</x:v>
      </x:c>
      <x:c r="G4" s="19"/>
      <x:c r="H4" s="19"/>
    </x:row>
    <x:row r="5">
      <x:c r="A5" s="26" t="str">
        <x:v>Dashboard</x:v>
      </x:c>
      <x:c r="B5" s="26" t="str">
        <x:v>Coverage and readiness summary</x:v>
      </x:c>
      <x:c r="C5" s="26" t="str">
        <x:v>See corpus size, production-ready/review/semantic counts, and QA inventory.</x:v>
      </x:c>
      <x:c r="D5" s="26" t="str">
        <x:v>Start here for maintenance.</x:v>
      </x:c>
      <x:c r="F5" s="31" t="str">
        <x:v>1</x:v>
      </x:c>
      <x:c r="G5" s="31" t="str">
        <x:v>Native field before regex.</x:v>
      </x:c>
    </x:row>
    <x:row r="6">
      <x:c r="A6" s="26" t="str">
        <x:v>Master_Lexicon</x:v>
      </x:c>
      <x:c r="B6" s="26" t="str">
        <x:v>Enriched form of the original 1,138-row corpus</x:v>
      </x:c>
      <x:c r="C6" s="26" t="str">
        <x:v>Term-by-term direct/semantic strategy, master query fragments, confidence, guardrails.</x:v>
      </x:c>
      <x:c r="D6" s="26" t="str">
        <x:v>This is the main vocabulary authority for Plain Reading.</x:v>
      </x:c>
      <x:c r="F6" s="31" t="str">
        <x:v>2</x:v>
      </x:c>
      <x:c r="G6" s="31" t="str">
        <x:v>Use color identity for Commander card-pool intent.</x:v>
      </x:c>
    </x:row>
    <x:row r="7">
      <x:c r="A7" s="26" t="str">
        <x:v>Operator_Catalog</x:v>
      </x:c>
      <x:c r="B7" s="26" t="str">
        <x:v>Canonical Scryfall operator inventory</x:v>
      </x:c>
      <x:c r="C7" s="26" t="str">
        <x:v>Know which native field should represent each kind of user intent.</x:v>
      </x:c>
      <x:c r="D7" s="26" t="str">
        <x:v>Prefer native operators before regex.</x:v>
      </x:c>
      <x:c r="F7" s="31" t="str">
        <x:v>3</x:v>
      </x:c>
      <x:c r="G7" s="31" t="str">
        <x:v>Use `kw:` when the user means a card has a keyword.</x:v>
      </x:c>
    </x:row>
    <x:row r="8">
      <x:c r="A8" s="26" t="str">
        <x:v>Plain_Language</x:v>
      </x:c>
      <x:c r="B8" s="26" t="str">
        <x:v>High-value player-language aliases and intent mappings</x:v>
      </x:c>
      <x:c r="C8" s="26" t="str">
        <x:v>Translate ETB, sac, blink, ramp, budget, color-group names, etc.</x:v>
      </x:c>
      <x:c r="D8" s="26" t="str">
        <x:v>Context rules and ambiguity policies are first-class data.</x:v>
      </x:c>
      <x:c r="F8" s="31" t="str">
        <x:v>4</x:v>
      </x:c>
      <x:c r="G8" s="31" t="str">
        <x:v>Use exact allowlisted Tagger tags for semantic functions.</x:v>
      </x:c>
    </x:row>
    <x:row r="9">
      <x:c r="A9" s="26" t="str">
        <x:v>Archetype_Map</x:v>
      </x:c>
      <x:c r="B9" s="26" t="str">
        <x:v>Curated treatment of all 58 source archetypes</x:v>
      </x:c>
      <x:c r="C9" s="26" t="str">
        <x:v>Avoid fake `otag:"Human Label"` mappings.</x:v>
      </x:c>
      <x:c r="D9" s="26" t="str">
        <x:v>Production-ready rows can translate; Semantic rows should surface refinement choices.</x:v>
      </x:c>
      <x:c r="F9" s="31" t="str">
        <x:v>5</x:v>
      </x:c>
      <x:c r="G9" s="31" t="str">
        <x:v>Never synthesize arbitrary `is:` or `otag:` values.</x:v>
      </x:c>
    </x:row>
    <x:row r="10">
      <x:c r="A10" s="26" t="str">
        <x:v>Query_Recipes</x:v>
      </x:c>
      <x:c r="B10" s="26" t="str">
        <x:v>Reusable complete query skeletons</x:v>
      </x:c>
      <x:c r="C10" s="26" t="str">
        <x:v>Compose common Commander/deckbuilding searches safely.</x:v>
      </x:c>
      <x:c r="D10" s="26" t="str">
        <x:v>Templates are designed to be parameterized.</x:v>
      </x:c>
      <x:c r="F10" s="31" t="str">
        <x:v>6</x:v>
      </x:c>
      <x:c r="G10" s="31" t="str">
        <x:v>Separate card-level and printing-level constraints.</x:v>
      </x:c>
    </x:row>
    <x:row r="11">
      <x:c r="A11" s="26" t="str">
        <x:v>Regex_Library</x:v>
      </x:c>
      <x:c r="B11" s="26" t="str">
        <x:v>Scryfall-specific regex patterns</x:v>
      </x:c>
      <x:c r="C11" s="26" t="str">
        <x:v>Use wording patterns only when native fields/tags are insufficient.</x:v>
      </x:c>
      <x:c r="D11" s="26" t="str">
        <x:v>Regex describes wording, not complete mechanical meaning.</x:v>
      </x:c>
      <x:c r="F11" s="31" t="str">
        <x:v>7</x:v>
      </x:c>
      <x:c r="G11" s="31" t="str">
        <x:v>Expose assumptions; do not hide exact/subset/superset choices.</x:v>
      </x:c>
    </x:row>
    <x:row r="12">
      <x:c r="A12" s="26" t="str">
        <x:v>Parser_Schema</x:v>
      </x:c>
      <x:c r="B12" s="26" t="str">
        <x:v>Target parse/output contract</x:v>
      </x:c>
      <x:c r="C12" s="26" t="str">
        <x:v>Implement the Plain Reading translator as structured fields, not string concatenation.</x:v>
      </x:c>
      <x:c r="D12" s="26" t="str">
        <x:v>Keep unresolved terms and assumptions observable.</x:v>
      </x:c>
      <x:c r="F12" s="31" t="str">
        <x:v>8</x:v>
      </x:c>
      <x:c r="G12" s="31" t="str">
        <x:v>Meaningful unresolved words are retained, not dropped.</x:v>
      </x:c>
    </x:row>
    <x:row r="13">
      <x:c r="A13" s="26" t="str">
        <x:v>QA_Evals</x:v>
      </x:c>
      <x:c r="B13" s="26" t="str">
        <x:v>59 translation evaluation cases</x:v>
      </x:c>
      <x:c r="C13" s="26" t="str">
        <x:v>Prevent parser drift and false-confidence behavior.</x:v>
      </x:c>
      <x:c r="D13" s="26" t="str">
        <x:v>Treat P0 cases as release-blocking.</x:v>
      </x:c>
      <x:c r="F13" s="31" t="str">
        <x:v>9</x:v>
      </x:c>
      <x:c r="G13" s="31" t="str">
        <x:v>Subjective archetypes require recipes/refinements, not fake precision.</x:v>
      </x:c>
    </x:row>
    <x:row r="14">
      <x:c r="A14" s="26" t="str">
        <x:v>Reconciliation</x:v>
      </x:c>
      <x:c r="B14" s="26" t="str">
        <x:v>Corrections to mixed/outdated/community syntax</x:v>
      </x:c>
      <x:c r="C14" s="26" t="str">
        <x:v>Stop bad aliases or guessed tags from entering production.</x:v>
      </x:c>
      <x:c r="D14" s="26" t="str">
        <x:v>Official syntax wins; unknown shortcuts remain unverified.</x:v>
      </x:c>
      <x:c r="F14" s="31" t="str">
        <x:v>10</x:v>
      </x:c>
      <x:c r="G14" s="31" t="str">
        <x:v>Every important mapping gets a QA eval and a negative guardrail.</x:v>
      </x:c>
    </x:row>
    <x:row r="15">
      <x:c r="A15" s="26" t="str">
        <x:v>Sources_Governance</x:v>
      </x:c>
      <x:c r="B15" s="26" t="str">
        <x:v>Authority order and maintenance rules</x:v>
      </x:c>
      <x:c r="C15" s="26" t="str">
        <x:v>Version Scryfall/Tagger dependencies and governance.</x:v>
      </x:c>
      <x:c r="D15" s="26" t="str">
        <x:v>Tagger mappings require exact allowlisting.</x:v>
      </x:c>
    </x:row>
    <x:row r="16">
      <x:c r="A16" s="26" t="str">
        <x:v>scryall_data_accumulation</x:v>
      </x:c>
      <x:c r="B16" s="26" t="str">
        <x:v>Original source corpus</x:v>
      </x:c>
      <x:c r="C16" s="26" t="str">
        <x:v>Historical/raw provenance.</x:v>
      </x:c>
      <x:c r="D16" s="26" t="str">
        <x:v>Preserved unchanged; do not use it as the production parser directly.</x:v>
      </x:c>
    </x:row>
    <x:row r="17">
      <x:c r="A17" s="26" t="str">
        <x:v>Tagger_Allowlist</x:v>
      </x:c>
      <x:c r="B17" s="26" t="str">
        <x:v>Exact functional-tag production vocabulary</x:v>
      </x:c>
      <x:c r="C17" s="26" t="str">
        <x:v>Prevent invented/approximate otag generation and track verification provenance.</x:v>
      </x:c>
      <x:c r="D17" s="26" t="str">
        <x:v>Only Production-ready tags may be emitted without a fallback/verification path.</x:v>
      </x:c>
    </x:row>
  </x:sheetData>
  <x:mergeCells>
    <x:mergeCell ref="A1:H1"/>
    <x:mergeCell ref="A2:H2"/>
    <x:mergeCell ref="F4:H4"/>
  </x:mergeCells>
  <x:pageMargins left="0.7" right="0.7" top="0.75" bottom="0.75" header="0.3" footer="0.3"/>
  <x:tableParts count="1">
    <x:tablePart xmlns:r="http://schemas.openxmlformats.org/officeDocument/2006/relationships" r:id="R473472deb7164c05"/>
  </x:tableParts>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28" hidden="0" customWidth="1"/>
    <x:col min="4" max="4" width="28" hidden="0" customWidth="1"/>
    <x:col min="5" max="5" width="38" hidden="0" customWidth="1"/>
    <x:col min="6" max="6" width="32" hidden="0" customWidth="1"/>
    <x:col min="7" max="7" width="18" hidden="0" customWidth="1"/>
    <x:col min="8" max="8" width="24" hidden="0" customWidth="1"/>
    <x:col min="9" max="9" width="24" hidden="0" customWidth="1"/>
    <x:col min="10" max="10" width="42" hidden="0" customWidth="1"/>
    <x:col min="11" max="11" width="42" hidden="0" customWidth="1"/>
    <x:col min="12" max="12" width="38" hidden="0" customWidth="1"/>
    <x:col min="13" max="13" width="36" hidden="0" customWidth="1"/>
    <x:col min="14" max="14" width="18" hidden="0" customWidth="1"/>
    <x:col min="15" max="15" width="12" hidden="0" customWidth="1"/>
    <x:col min="16" max="16" width="48" hidden="0" customWidth="1"/>
    <x:col min="17" max="17" width="42" hidden="0" customWidth="1"/>
    <x:col min="18" max="18" width="14" hidden="0" customWidth="1"/>
  </x:cols>
  <x:sheetData>
    <x:row r="1" ht="28" customHeight="1">
      <x:c r="A1" s="33" t="str">
        <x:v>MASTER SCRYFALL LEXICON</x:v>
      </x:c>
      <x:c r="B1" s="33"/>
      <x:c r="C1" s="33"/>
      <x:c r="D1" s="33"/>
      <x:c r="E1" s="33"/>
      <x:c r="F1" s="33"/>
      <x:c r="G1" s="33"/>
      <x:c r="H1" s="33"/>
      <x:c r="I1" s="33"/>
      <x:c r="J1" s="33"/>
      <x:c r="K1" s="33"/>
      <x:c r="L1" s="33"/>
      <x:c r="M1" s="33"/>
      <x:c r="N1" s="33"/>
      <x:c r="O1" s="33"/>
      <x:c r="P1" s="33"/>
      <x:c r="Q1" s="33"/>
      <x:c r="R1" s="33"/>
    </x:row>
    <x:row r="2" ht="30" customHeight="1">
      <x:c r="A2" s="35" t="str">
        <x:v>The original corpus, enriched with canonical strategy, safer query fragments, Plain Reading triggers, status, confidence, and guardrails. Rows marked Semantic must not be converted into guessed syntax.</x:v>
      </x:c>
      <x:c r="B2" s="35"/>
      <x:c r="C2" s="35"/>
      <x:c r="D2" s="35"/>
      <x:c r="E2" s="35"/>
      <x:c r="F2" s="35"/>
      <x:c r="G2" s="35"/>
      <x:c r="H2" s="35"/>
      <x:c r="I2" s="35"/>
      <x:c r="J2" s="35"/>
      <x:c r="K2" s="35"/>
      <x:c r="L2" s="35"/>
      <x:c r="M2" s="35"/>
      <x:c r="N2" s="35"/>
      <x:c r="O2" s="35"/>
      <x:c r="P2" s="35"/>
      <x:c r="Q2" s="35"/>
      <x:c r="R2" s="35"/>
    </x:row>
    <x:row r="4" ht="28" customHeight="1">
      <x:c r="A4" s="39" t="str">
        <x:v>Source Location</x:v>
      </x:c>
      <x:c r="B4" s="39" t="str">
        <x:v>Source Category</x:v>
      </x:c>
      <x:c r="C4" s="39" t="str">
        <x:v>Term / Archetype</x:v>
      </x:c>
      <x:c r="D4" s="39" t="str">
        <x:v>Source Attributes</x:v>
      </x:c>
      <x:c r="E4" s="39" t="str">
        <x:v>Description / Notes</x:v>
      </x:c>
      <x:c r="F4" s="39" t="str">
        <x:v>Original Suggested Search</x:v>
      </x:c>
      <x:c r="G4" s="39" t="str">
        <x:v>Original Reliability</x:v>
      </x:c>
      <x:c r="H4" s="39" t="str">
        <x:v>Intent Class</x:v>
      </x:c>
      <x:c r="I4" s="39" t="str">
        <x:v>Preferred Strategy</x:v>
      </x:c>
      <x:c r="J4" s="39" t="str">
        <x:v>Master Query Fragment</x:v>
      </x:c>
      <x:c r="K4" s="39" t="str">
        <x:v>Fallback / Alternate</x:v>
      </x:c>
      <x:c r="L4" s="39" t="str">
        <x:v>Plain-Language Triggers</x:v>
      </x:c>
      <x:c r="M4" s="39" t="str">
        <x:v>Translator Behavior</x:v>
      </x:c>
      <x:c r="N4" s="39" t="str">
        <x:v>Master Status</x:v>
      </x:c>
      <x:c r="O4" s="39" t="str">
        <x:v>Confidence</x:v>
      </x:c>
      <x:c r="P4" s="39" t="str">
        <x:v>Ambiguity / Guardrail</x:v>
      </x:c>
      <x:c r="Q4" s="39" t="str">
        <x:v>Authority</x:v>
      </x:c>
      <x:c r="R4" s="39" t="str">
        <x:v>Last Reviewed</x:v>
      </x:c>
    </x:row>
    <x:row r="5">
      <x:c r="A5" s="26" t="str">
        <x:v>CreatureTypes!A1</x:v>
      </x:c>
      <x:c r="B5" s="26" t="str">
        <x:v>Creature Type</x:v>
      </x:c>
      <x:c r="C5" s="26" t="str">
        <x:v>Advisor</x:v>
      </x:c>
      <x:c r="D5" s="26" t="str">
        <x:v>Type/subtype</x:v>
      </x:c>
      <x:c r="E5" s="26"/>
      <x:c r="F5" s="26" t="str">
        <x:v>t:"Advisor"</x:v>
      </x:c>
      <x:c r="G5" s="26" t="str">
        <x:v>High</x:v>
      </x:c>
      <x:c r="H5" s="26" t="str">
        <x:v>Native taxonomy</x:v>
      </x:c>
      <x:c r="I5" s="26" t="str">
        <x:v>type:</x:v>
      </x:c>
      <x:c r="J5" s="26" t="str">
        <x:v>t:"Advisor"</x:v>
      </x:c>
      <x:c r="K5" s="26" t="str"/>
      <x:c r="L5" s="26" t="str">
        <x:v>advisor</x:v>
      </x:c>
      <x:c r="M5" s="26" t="str">
        <x:v>Translate directly</x:v>
      </x:c>
      <x:c r="N5" s="26" t="str">
        <x:v>Production-ready</x:v>
      </x:c>
      <x:c r="O5" s="43" t="n">
        <x:v>0.99</x:v>
      </x:c>
      <x:c r="P5" s="26" t="str">
        <x:v>Use for card type/supertype/subtype intent, not for art or rules-text mentions.</x:v>
      </x:c>
      <x:c r="Q5" s="26" t="str">
        <x:v>https://scryfall.com/docs/syntax</x:v>
      </x:c>
      <x:c r="R5" s="26" t="str">
        <x:v>2026-08-21</x:v>
      </x:c>
    </x:row>
    <x:row r="6">
      <x:c r="A6" s="26" t="str">
        <x:v>CreatureTypes!A2</x:v>
      </x:c>
      <x:c r="B6" s="26" t="str">
        <x:v>Creature Type</x:v>
      </x:c>
      <x:c r="C6" s="26" t="str">
        <x:v>Aetherborn</x:v>
      </x:c>
      <x:c r="D6" s="26" t="str">
        <x:v>Type/subtype</x:v>
      </x:c>
      <x:c r="E6" s="26"/>
      <x:c r="F6" s="26" t="str">
        <x:v>t:"Aetherborn"</x:v>
      </x:c>
      <x:c r="G6" s="26" t="str">
        <x:v>High</x:v>
      </x:c>
      <x:c r="H6" s="26" t="str">
        <x:v>Native taxonomy</x:v>
      </x:c>
      <x:c r="I6" s="26" t="str">
        <x:v>type:</x:v>
      </x:c>
      <x:c r="J6" s="26" t="str">
        <x:v>t:"Aetherborn"</x:v>
      </x:c>
      <x:c r="K6" s="26" t="str"/>
      <x:c r="L6" s="26" t="str">
        <x:v>aetherborn</x:v>
      </x:c>
      <x:c r="M6" s="26" t="str">
        <x:v>Translate directly</x:v>
      </x:c>
      <x:c r="N6" s="26" t="str">
        <x:v>Production-ready</x:v>
      </x:c>
      <x:c r="O6" s="43" t="n">
        <x:v>0.99</x:v>
      </x:c>
      <x:c r="P6" s="26" t="str">
        <x:v>Use for card type/supertype/subtype intent, not for art or rules-text mentions.</x:v>
      </x:c>
      <x:c r="Q6" s="26" t="str">
        <x:v>https://scryfall.com/docs/syntax</x:v>
      </x:c>
      <x:c r="R6" s="26" t="str">
        <x:v>2026-08-21</x:v>
      </x:c>
    </x:row>
    <x:row r="7">
      <x:c r="A7" s="26" t="str">
        <x:v>CreatureTypes!A3</x:v>
      </x:c>
      <x:c r="B7" s="26" t="str">
        <x:v>Creature Type</x:v>
      </x:c>
      <x:c r="C7" s="26" t="str">
        <x:v>Alien</x:v>
      </x:c>
      <x:c r="D7" s="26" t="str">
        <x:v>Type/subtype</x:v>
      </x:c>
      <x:c r="E7" s="26"/>
      <x:c r="F7" s="26" t="str">
        <x:v>t:"Alien"</x:v>
      </x:c>
      <x:c r="G7" s="26" t="str">
        <x:v>High</x:v>
      </x:c>
      <x:c r="H7" s="26" t="str">
        <x:v>Native taxonomy</x:v>
      </x:c>
      <x:c r="I7" s="26" t="str">
        <x:v>type:</x:v>
      </x:c>
      <x:c r="J7" s="26" t="str">
        <x:v>t:"Alien"</x:v>
      </x:c>
      <x:c r="K7" s="26" t="str"/>
      <x:c r="L7" s="26" t="str">
        <x:v>alien</x:v>
      </x:c>
      <x:c r="M7" s="26" t="str">
        <x:v>Translate directly</x:v>
      </x:c>
      <x:c r="N7" s="26" t="str">
        <x:v>Production-ready</x:v>
      </x:c>
      <x:c r="O7" s="43" t="n">
        <x:v>0.99</x:v>
      </x:c>
      <x:c r="P7" s="26" t="str">
        <x:v>Use for card type/supertype/subtype intent, not for art or rules-text mentions.</x:v>
      </x:c>
      <x:c r="Q7" s="26" t="str">
        <x:v>https://scryfall.com/docs/syntax</x:v>
      </x:c>
      <x:c r="R7" s="26" t="str">
        <x:v>2026-08-21</x:v>
      </x:c>
    </x:row>
    <x:row r="8">
      <x:c r="A8" s="26" t="str">
        <x:v>CreatureTypes!A4</x:v>
      </x:c>
      <x:c r="B8" s="26" t="str">
        <x:v>Creature Type</x:v>
      </x:c>
      <x:c r="C8" s="26" t="str">
        <x:v>Ally</x:v>
      </x:c>
      <x:c r="D8" s="26" t="str">
        <x:v>Type/subtype</x:v>
      </x:c>
      <x:c r="E8" s="26"/>
      <x:c r="F8" s="26" t="str">
        <x:v>t:"Ally"</x:v>
      </x:c>
      <x:c r="G8" s="26" t="str">
        <x:v>High</x:v>
      </x:c>
      <x:c r="H8" s="26" t="str">
        <x:v>Native taxonomy</x:v>
      </x:c>
      <x:c r="I8" s="26" t="str">
        <x:v>type:</x:v>
      </x:c>
      <x:c r="J8" s="26" t="str">
        <x:v>t:"Ally"</x:v>
      </x:c>
      <x:c r="K8" s="26" t="str"/>
      <x:c r="L8" s="26" t="str">
        <x:v>ally</x:v>
      </x:c>
      <x:c r="M8" s="26" t="str">
        <x:v>Translate directly</x:v>
      </x:c>
      <x:c r="N8" s="26" t="str">
        <x:v>Production-ready</x:v>
      </x:c>
      <x:c r="O8" s="43" t="n">
        <x:v>0.99</x:v>
      </x:c>
      <x:c r="P8" s="26" t="str">
        <x:v>Use for card type/supertype/subtype intent, not for art or rules-text mentions.</x:v>
      </x:c>
      <x:c r="Q8" s="26" t="str">
        <x:v>https://scryfall.com/docs/syntax</x:v>
      </x:c>
      <x:c r="R8" s="26" t="str">
        <x:v>2026-08-21</x:v>
      </x:c>
    </x:row>
    <x:row r="9">
      <x:c r="A9" s="26" t="str">
        <x:v>CreatureTypes!A5</x:v>
      </x:c>
      <x:c r="B9" s="26" t="str">
        <x:v>Creature Type</x:v>
      </x:c>
      <x:c r="C9" s="26" t="str">
        <x:v>Angel</x:v>
      </x:c>
      <x:c r="D9" s="26" t="str">
        <x:v>Type/subtype</x:v>
      </x:c>
      <x:c r="E9" s="26"/>
      <x:c r="F9" s="26" t="str">
        <x:v>t:"Angel"</x:v>
      </x:c>
      <x:c r="G9" s="26" t="str">
        <x:v>High</x:v>
      </x:c>
      <x:c r="H9" s="26" t="str">
        <x:v>Native taxonomy</x:v>
      </x:c>
      <x:c r="I9" s="26" t="str">
        <x:v>type:</x:v>
      </x:c>
      <x:c r="J9" s="26" t="str">
        <x:v>t:"Angel"</x:v>
      </x:c>
      <x:c r="K9" s="26" t="str"/>
      <x:c r="L9" s="26" t="str">
        <x:v>angel</x:v>
      </x:c>
      <x:c r="M9" s="26" t="str">
        <x:v>Translate directly</x:v>
      </x:c>
      <x:c r="N9" s="26" t="str">
        <x:v>Production-ready</x:v>
      </x:c>
      <x:c r="O9" s="43" t="n">
        <x:v>0.99</x:v>
      </x:c>
      <x:c r="P9" s="26" t="str">
        <x:v>Use for card type/supertype/subtype intent, not for art or rules-text mentions.</x:v>
      </x:c>
      <x:c r="Q9" s="26" t="str">
        <x:v>https://scryfall.com/docs/syntax</x:v>
      </x:c>
      <x:c r="R9" s="26" t="str">
        <x:v>2026-08-21</x:v>
      </x:c>
    </x:row>
    <x:row r="10">
      <x:c r="A10" s="26" t="str">
        <x:v>CreatureTypes!A6</x:v>
      </x:c>
      <x:c r="B10" s="26" t="str">
        <x:v>Creature Type</x:v>
      </x:c>
      <x:c r="C10" s="26" t="str">
        <x:v>Antelope</x:v>
      </x:c>
      <x:c r="D10" s="26" t="str">
        <x:v>Type/subtype</x:v>
      </x:c>
      <x:c r="E10" s="26"/>
      <x:c r="F10" s="26" t="str">
        <x:v>t:"Antelope"</x:v>
      </x:c>
      <x:c r="G10" s="26" t="str">
        <x:v>High</x:v>
      </x:c>
      <x:c r="H10" s="26" t="str">
        <x:v>Native taxonomy</x:v>
      </x:c>
      <x:c r="I10" s="26" t="str">
        <x:v>type:</x:v>
      </x:c>
      <x:c r="J10" s="26" t="str">
        <x:v>t:"Antelope"</x:v>
      </x:c>
      <x:c r="K10" s="26" t="str"/>
      <x:c r="L10" s="26" t="str">
        <x:v>antelope</x:v>
      </x:c>
      <x:c r="M10" s="26" t="str">
        <x:v>Translate directly</x:v>
      </x:c>
      <x:c r="N10" s="26" t="str">
        <x:v>Production-ready</x:v>
      </x:c>
      <x:c r="O10" s="43" t="n">
        <x:v>0.99</x:v>
      </x:c>
      <x:c r="P10" s="26" t="str">
        <x:v>Use for card type/supertype/subtype intent, not for art or rules-text mentions.</x:v>
      </x:c>
      <x:c r="Q10" s="26" t="str">
        <x:v>https://scryfall.com/docs/syntax</x:v>
      </x:c>
      <x:c r="R10" s="26" t="str">
        <x:v>2026-08-21</x:v>
      </x:c>
    </x:row>
    <x:row r="11">
      <x:c r="A11" s="26" t="str">
        <x:v>CreatureTypes!A7</x:v>
      </x:c>
      <x:c r="B11" s="26" t="str">
        <x:v>Creature Type</x:v>
      </x:c>
      <x:c r="C11" s="26" t="str">
        <x:v>Ape</x:v>
      </x:c>
      <x:c r="D11" s="26" t="str">
        <x:v>Type/subtype</x:v>
      </x:c>
      <x:c r="E11" s="26"/>
      <x:c r="F11" s="26" t="str">
        <x:v>t:"Ape"</x:v>
      </x:c>
      <x:c r="G11" s="26" t="str">
        <x:v>High</x:v>
      </x:c>
      <x:c r="H11" s="26" t="str">
        <x:v>Native taxonomy</x:v>
      </x:c>
      <x:c r="I11" s="26" t="str">
        <x:v>type:</x:v>
      </x:c>
      <x:c r="J11" s="26" t="str">
        <x:v>t:"Ape"</x:v>
      </x:c>
      <x:c r="K11" s="26" t="str"/>
      <x:c r="L11" s="26" t="str">
        <x:v>ape</x:v>
      </x:c>
      <x:c r="M11" s="26" t="str">
        <x:v>Translate directly</x:v>
      </x:c>
      <x:c r="N11" s="26" t="str">
        <x:v>Production-ready</x:v>
      </x:c>
      <x:c r="O11" s="43" t="n">
        <x:v>0.99</x:v>
      </x:c>
      <x:c r="P11" s="26" t="str">
        <x:v>Use for card type/supertype/subtype intent, not for art or rules-text mentions.</x:v>
      </x:c>
      <x:c r="Q11" s="26" t="str">
        <x:v>https://scryfall.com/docs/syntax</x:v>
      </x:c>
      <x:c r="R11" s="26" t="str">
        <x:v>2026-08-21</x:v>
      </x:c>
    </x:row>
    <x:row r="12">
      <x:c r="A12" s="26" t="str">
        <x:v>CreatureTypes!A8</x:v>
      </x:c>
      <x:c r="B12" s="26" t="str">
        <x:v>Creature Type</x:v>
      </x:c>
      <x:c r="C12" s="26" t="str">
        <x:v>Archer</x:v>
      </x:c>
      <x:c r="D12" s="26" t="str">
        <x:v>Type/subtype</x:v>
      </x:c>
      <x:c r="E12" s="26"/>
      <x:c r="F12" s="26" t="str">
        <x:v>t:"Archer"</x:v>
      </x:c>
      <x:c r="G12" s="26" t="str">
        <x:v>High</x:v>
      </x:c>
      <x:c r="H12" s="26" t="str">
        <x:v>Native taxonomy</x:v>
      </x:c>
      <x:c r="I12" s="26" t="str">
        <x:v>type:</x:v>
      </x:c>
      <x:c r="J12" s="26" t="str">
        <x:v>t:"Archer"</x:v>
      </x:c>
      <x:c r="K12" s="26" t="str"/>
      <x:c r="L12" s="26" t="str">
        <x:v>archer</x:v>
      </x:c>
      <x:c r="M12" s="26" t="str">
        <x:v>Translate directly</x:v>
      </x:c>
      <x:c r="N12" s="26" t="str">
        <x:v>Production-ready</x:v>
      </x:c>
      <x:c r="O12" s="43" t="n">
        <x:v>0.99</x:v>
      </x:c>
      <x:c r="P12" s="26" t="str">
        <x:v>Use for card type/supertype/subtype intent, not for art or rules-text mentions.</x:v>
      </x:c>
      <x:c r="Q12" s="26" t="str">
        <x:v>https://scryfall.com/docs/syntax</x:v>
      </x:c>
      <x:c r="R12" s="26" t="str">
        <x:v>2026-08-21</x:v>
      </x:c>
    </x:row>
    <x:row r="13">
      <x:c r="A13" s="26" t="str">
        <x:v>CreatureTypes!A9</x:v>
      </x:c>
      <x:c r="B13" s="26" t="str">
        <x:v>Creature Type</x:v>
      </x:c>
      <x:c r="C13" s="26" t="str">
        <x:v>Archon</x:v>
      </x:c>
      <x:c r="D13" s="26" t="str">
        <x:v>Type/subtype</x:v>
      </x:c>
      <x:c r="E13" s="26"/>
      <x:c r="F13" s="26" t="str">
        <x:v>t:"Archon"</x:v>
      </x:c>
      <x:c r="G13" s="26" t="str">
        <x:v>High</x:v>
      </x:c>
      <x:c r="H13" s="26" t="str">
        <x:v>Native taxonomy</x:v>
      </x:c>
      <x:c r="I13" s="26" t="str">
        <x:v>type:</x:v>
      </x:c>
      <x:c r="J13" s="26" t="str">
        <x:v>t:"Archon"</x:v>
      </x:c>
      <x:c r="K13" s="26" t="str"/>
      <x:c r="L13" s="26" t="str">
        <x:v>archon</x:v>
      </x:c>
      <x:c r="M13" s="26" t="str">
        <x:v>Translate directly</x:v>
      </x:c>
      <x:c r="N13" s="26" t="str">
        <x:v>Production-ready</x:v>
      </x:c>
      <x:c r="O13" s="43" t="n">
        <x:v>0.99</x:v>
      </x:c>
      <x:c r="P13" s="26" t="str">
        <x:v>Use for card type/supertype/subtype intent, not for art or rules-text mentions.</x:v>
      </x:c>
      <x:c r="Q13" s="26" t="str">
        <x:v>https://scryfall.com/docs/syntax</x:v>
      </x:c>
      <x:c r="R13" s="26" t="str">
        <x:v>2026-08-21</x:v>
      </x:c>
    </x:row>
    <x:row r="14">
      <x:c r="A14" s="26" t="str">
        <x:v>CreatureTypes!A10</x:v>
      </x:c>
      <x:c r="B14" s="26" t="str">
        <x:v>Creature Type</x:v>
      </x:c>
      <x:c r="C14" s="26" t="str">
        <x:v>Armadillo</x:v>
      </x:c>
      <x:c r="D14" s="26" t="str">
        <x:v>Type/subtype</x:v>
      </x:c>
      <x:c r="E14" s="26"/>
      <x:c r="F14" s="26" t="str">
        <x:v>t:"Armadillo"</x:v>
      </x:c>
      <x:c r="G14" s="26" t="str">
        <x:v>High</x:v>
      </x:c>
      <x:c r="H14" s="26" t="str">
        <x:v>Native taxonomy</x:v>
      </x:c>
      <x:c r="I14" s="26" t="str">
        <x:v>type:</x:v>
      </x:c>
      <x:c r="J14" s="26" t="str">
        <x:v>t:"Armadillo"</x:v>
      </x:c>
      <x:c r="K14" s="26" t="str"/>
      <x:c r="L14" s="26" t="str">
        <x:v>armadillo</x:v>
      </x:c>
      <x:c r="M14" s="26" t="str">
        <x:v>Translate directly</x:v>
      </x:c>
      <x:c r="N14" s="26" t="str">
        <x:v>Production-ready</x:v>
      </x:c>
      <x:c r="O14" s="43" t="n">
        <x:v>0.99</x:v>
      </x:c>
      <x:c r="P14" s="26" t="str">
        <x:v>Use for card type/supertype/subtype intent, not for art or rules-text mentions.</x:v>
      </x:c>
      <x:c r="Q14" s="26" t="str">
        <x:v>https://scryfall.com/docs/syntax</x:v>
      </x:c>
      <x:c r="R14" s="26" t="str">
        <x:v>2026-08-21</x:v>
      </x:c>
    </x:row>
    <x:row r="15">
      <x:c r="A15" s="26" t="str">
        <x:v>CreatureTypes!A11</x:v>
      </x:c>
      <x:c r="B15" s="26" t="str">
        <x:v>Creature Type</x:v>
      </x:c>
      <x:c r="C15" s="26" t="str">
        <x:v>Army</x:v>
      </x:c>
      <x:c r="D15" s="26" t="str">
        <x:v>Type/subtype</x:v>
      </x:c>
      <x:c r="E15" s="26"/>
      <x:c r="F15" s="26" t="str">
        <x:v>t:"Army"</x:v>
      </x:c>
      <x:c r="G15" s="26" t="str">
        <x:v>High</x:v>
      </x:c>
      <x:c r="H15" s="26" t="str">
        <x:v>Native taxonomy</x:v>
      </x:c>
      <x:c r="I15" s="26" t="str">
        <x:v>type:</x:v>
      </x:c>
      <x:c r="J15" s="26" t="str">
        <x:v>t:"Army"</x:v>
      </x:c>
      <x:c r="K15" s="26" t="str"/>
      <x:c r="L15" s="26" t="str">
        <x:v>army</x:v>
      </x:c>
      <x:c r="M15" s="26" t="str">
        <x:v>Translate directly</x:v>
      </x:c>
      <x:c r="N15" s="26" t="str">
        <x:v>Production-ready</x:v>
      </x:c>
      <x:c r="O15" s="43" t="n">
        <x:v>0.99</x:v>
      </x:c>
      <x:c r="P15" s="26" t="str">
        <x:v>Use for card type/supertype/subtype intent, not for art or rules-text mentions.</x:v>
      </x:c>
      <x:c r="Q15" s="26" t="str">
        <x:v>https://scryfall.com/docs/syntax</x:v>
      </x:c>
      <x:c r="R15" s="26" t="str">
        <x:v>2026-08-21</x:v>
      </x:c>
    </x:row>
    <x:row r="16">
      <x:c r="A16" s="26" t="str">
        <x:v>CreatureTypes!A12</x:v>
      </x:c>
      <x:c r="B16" s="26" t="str">
        <x:v>Creature Type</x:v>
      </x:c>
      <x:c r="C16" s="26" t="str">
        <x:v>Artificer</x:v>
      </x:c>
      <x:c r="D16" s="26" t="str">
        <x:v>Type/subtype</x:v>
      </x:c>
      <x:c r="E16" s="26"/>
      <x:c r="F16" s="26" t="str">
        <x:v>t:"Artificer"</x:v>
      </x:c>
      <x:c r="G16" s="26" t="str">
        <x:v>High</x:v>
      </x:c>
      <x:c r="H16" s="26" t="str">
        <x:v>Native taxonomy</x:v>
      </x:c>
      <x:c r="I16" s="26" t="str">
        <x:v>type:</x:v>
      </x:c>
      <x:c r="J16" s="26" t="str">
        <x:v>t:"Artificer"</x:v>
      </x:c>
      <x:c r="K16" s="26" t="str"/>
      <x:c r="L16" s="26" t="str">
        <x:v>artificer</x:v>
      </x:c>
      <x:c r="M16" s="26" t="str">
        <x:v>Translate directly</x:v>
      </x:c>
      <x:c r="N16" s="26" t="str">
        <x:v>Production-ready</x:v>
      </x:c>
      <x:c r="O16" s="43" t="n">
        <x:v>0.99</x:v>
      </x:c>
      <x:c r="P16" s="26" t="str">
        <x:v>Use for card type/supertype/subtype intent, not for art or rules-text mentions.</x:v>
      </x:c>
      <x:c r="Q16" s="26" t="str">
        <x:v>https://scryfall.com/docs/syntax</x:v>
      </x:c>
      <x:c r="R16" s="26" t="str">
        <x:v>2026-08-21</x:v>
      </x:c>
    </x:row>
    <x:row r="17">
      <x:c r="A17" s="26" t="str">
        <x:v>CreatureTypes!A13</x:v>
      </x:c>
      <x:c r="B17" s="26" t="str">
        <x:v>Creature Type</x:v>
      </x:c>
      <x:c r="C17" s="26" t="str">
        <x:v>Assassin</x:v>
      </x:c>
      <x:c r="D17" s="26" t="str">
        <x:v>Type/subtype</x:v>
      </x:c>
      <x:c r="E17" s="26"/>
      <x:c r="F17" s="26" t="str">
        <x:v>t:"Assassin"</x:v>
      </x:c>
      <x:c r="G17" s="26" t="str">
        <x:v>High</x:v>
      </x:c>
      <x:c r="H17" s="26" t="str">
        <x:v>Native taxonomy</x:v>
      </x:c>
      <x:c r="I17" s="26" t="str">
        <x:v>type:</x:v>
      </x:c>
      <x:c r="J17" s="26" t="str">
        <x:v>t:"Assassin"</x:v>
      </x:c>
      <x:c r="K17" s="26" t="str"/>
      <x:c r="L17" s="26" t="str">
        <x:v>assassin</x:v>
      </x:c>
      <x:c r="M17" s="26" t="str">
        <x:v>Translate directly</x:v>
      </x:c>
      <x:c r="N17" s="26" t="str">
        <x:v>Production-ready</x:v>
      </x:c>
      <x:c r="O17" s="43" t="n">
        <x:v>0.99</x:v>
      </x:c>
      <x:c r="P17" s="26" t="str">
        <x:v>Use for card type/supertype/subtype intent, not for art or rules-text mentions.</x:v>
      </x:c>
      <x:c r="Q17" s="26" t="str">
        <x:v>https://scryfall.com/docs/syntax</x:v>
      </x:c>
      <x:c r="R17" s="26" t="str">
        <x:v>2026-08-21</x:v>
      </x:c>
    </x:row>
    <x:row r="18">
      <x:c r="A18" s="26" t="str">
        <x:v>CreatureTypes!A14</x:v>
      </x:c>
      <x:c r="B18" s="26" t="str">
        <x:v>Creature Type</x:v>
      </x:c>
      <x:c r="C18" s="26" t="str">
        <x:v>Assembly-Worker</x:v>
      </x:c>
      <x:c r="D18" s="26" t="str">
        <x:v>Type/subtype</x:v>
      </x:c>
      <x:c r="E18" s="26"/>
      <x:c r="F18" s="26" t="str">
        <x:v>t:"Assembly-Worker"</x:v>
      </x:c>
      <x:c r="G18" s="26" t="str">
        <x:v>High</x:v>
      </x:c>
      <x:c r="H18" s="26" t="str">
        <x:v>Native taxonomy</x:v>
      </x:c>
      <x:c r="I18" s="26" t="str">
        <x:v>type:</x:v>
      </x:c>
      <x:c r="J18" s="26" t="str">
        <x:v>t:"Assembly-Worker"</x:v>
      </x:c>
      <x:c r="K18" s="26" t="str"/>
      <x:c r="L18" s="26" t="str">
        <x:v>assembly-worker</x:v>
      </x:c>
      <x:c r="M18" s="26" t="str">
        <x:v>Translate directly</x:v>
      </x:c>
      <x:c r="N18" s="26" t="str">
        <x:v>Production-ready</x:v>
      </x:c>
      <x:c r="O18" s="43" t="n">
        <x:v>0.99</x:v>
      </x:c>
      <x:c r="P18" s="26" t="str">
        <x:v>Use for card type/supertype/subtype intent, not for art or rules-text mentions.</x:v>
      </x:c>
      <x:c r="Q18" s="26" t="str">
        <x:v>https://scryfall.com/docs/syntax</x:v>
      </x:c>
      <x:c r="R18" s="26" t="str">
        <x:v>2026-08-21</x:v>
      </x:c>
    </x:row>
    <x:row r="19">
      <x:c r="A19" s="26" t="str">
        <x:v>CreatureTypes!A15</x:v>
      </x:c>
      <x:c r="B19" s="26" t="str">
        <x:v>Creature Type</x:v>
      </x:c>
      <x:c r="C19" s="26" t="str">
        <x:v>Astartes</x:v>
      </x:c>
      <x:c r="D19" s="26" t="str">
        <x:v>Type/subtype</x:v>
      </x:c>
      <x:c r="E19" s="26"/>
      <x:c r="F19" s="26" t="str">
        <x:v>t:"Astartes"</x:v>
      </x:c>
      <x:c r="G19" s="26" t="str">
        <x:v>High</x:v>
      </x:c>
      <x:c r="H19" s="26" t="str">
        <x:v>Native taxonomy</x:v>
      </x:c>
      <x:c r="I19" s="26" t="str">
        <x:v>type:</x:v>
      </x:c>
      <x:c r="J19" s="26" t="str">
        <x:v>t:"Astartes"</x:v>
      </x:c>
      <x:c r="K19" s="26" t="str"/>
      <x:c r="L19" s="26" t="str">
        <x:v>astartes</x:v>
      </x:c>
      <x:c r="M19" s="26" t="str">
        <x:v>Translate directly</x:v>
      </x:c>
      <x:c r="N19" s="26" t="str">
        <x:v>Production-ready</x:v>
      </x:c>
      <x:c r="O19" s="43" t="n">
        <x:v>0.99</x:v>
      </x:c>
      <x:c r="P19" s="26" t="str">
        <x:v>Use for card type/supertype/subtype intent, not for art or rules-text mentions.</x:v>
      </x:c>
      <x:c r="Q19" s="26" t="str">
        <x:v>https://scryfall.com/docs/syntax</x:v>
      </x:c>
      <x:c r="R19" s="26" t="str">
        <x:v>2026-08-21</x:v>
      </x:c>
    </x:row>
    <x:row r="20">
      <x:c r="A20" s="26" t="str">
        <x:v>CreatureTypes!A16</x:v>
      </x:c>
      <x:c r="B20" s="26" t="str">
        <x:v>Creature Type</x:v>
      </x:c>
      <x:c r="C20" s="26" t="str">
        <x:v>Atog</x:v>
      </x:c>
      <x:c r="D20" s="26" t="str">
        <x:v>Type/subtype</x:v>
      </x:c>
      <x:c r="E20" s="26"/>
      <x:c r="F20" s="26" t="str">
        <x:v>t:"Atog"</x:v>
      </x:c>
      <x:c r="G20" s="26" t="str">
        <x:v>High</x:v>
      </x:c>
      <x:c r="H20" s="26" t="str">
        <x:v>Native taxonomy</x:v>
      </x:c>
      <x:c r="I20" s="26" t="str">
        <x:v>type:</x:v>
      </x:c>
      <x:c r="J20" s="26" t="str">
        <x:v>t:"Atog"</x:v>
      </x:c>
      <x:c r="K20" s="26" t="str"/>
      <x:c r="L20" s="26" t="str">
        <x:v>atog</x:v>
      </x:c>
      <x:c r="M20" s="26" t="str">
        <x:v>Translate directly</x:v>
      </x:c>
      <x:c r="N20" s="26" t="str">
        <x:v>Production-ready</x:v>
      </x:c>
      <x:c r="O20" s="43" t="n">
        <x:v>0.99</x:v>
      </x:c>
      <x:c r="P20" s="26" t="str">
        <x:v>Use for card type/supertype/subtype intent, not for art or rules-text mentions.</x:v>
      </x:c>
      <x:c r="Q20" s="26" t="str">
        <x:v>https://scryfall.com/docs/syntax</x:v>
      </x:c>
      <x:c r="R20" s="26" t="str">
        <x:v>2026-08-21</x:v>
      </x:c>
    </x:row>
    <x:row r="21">
      <x:c r="A21" s="26" t="str">
        <x:v>CreatureTypes!A17</x:v>
      </x:c>
      <x:c r="B21" s="26" t="str">
        <x:v>Creature Type</x:v>
      </x:c>
      <x:c r="C21" s="26" t="str">
        <x:v>Aurochs</x:v>
      </x:c>
      <x:c r="D21" s="26" t="str">
        <x:v>Type/subtype</x:v>
      </x:c>
      <x:c r="E21" s="26"/>
      <x:c r="F21" s="26" t="str">
        <x:v>t:"Aurochs"</x:v>
      </x:c>
      <x:c r="G21" s="26" t="str">
        <x:v>High</x:v>
      </x:c>
      <x:c r="H21" s="26" t="str">
        <x:v>Native taxonomy</x:v>
      </x:c>
      <x:c r="I21" s="26" t="str">
        <x:v>type:</x:v>
      </x:c>
      <x:c r="J21" s="26" t="str">
        <x:v>t:"Aurochs"</x:v>
      </x:c>
      <x:c r="K21" s="26" t="str"/>
      <x:c r="L21" s="26" t="str">
        <x:v>aurochs</x:v>
      </x:c>
      <x:c r="M21" s="26" t="str">
        <x:v>Translate directly</x:v>
      </x:c>
      <x:c r="N21" s="26" t="str">
        <x:v>Production-ready</x:v>
      </x:c>
      <x:c r="O21" s="43" t="n">
        <x:v>0.99</x:v>
      </x:c>
      <x:c r="P21" s="26" t="str">
        <x:v>Use for card type/supertype/subtype intent, not for art or rules-text mentions.</x:v>
      </x:c>
      <x:c r="Q21" s="26" t="str">
        <x:v>https://scryfall.com/docs/syntax</x:v>
      </x:c>
      <x:c r="R21" s="26" t="str">
        <x:v>2026-08-21</x:v>
      </x:c>
    </x:row>
    <x:row r="22">
      <x:c r="A22" s="26" t="str">
        <x:v>CreatureTypes!A18</x:v>
      </x:c>
      <x:c r="B22" s="26" t="str">
        <x:v>Creature Type</x:v>
      </x:c>
      <x:c r="C22" s="26" t="str">
        <x:v>Automaton</x:v>
      </x:c>
      <x:c r="D22" s="26" t="str">
        <x:v>Type/subtype</x:v>
      </x:c>
      <x:c r="E22" s="26"/>
      <x:c r="F22" s="26" t="str">
        <x:v>t:"Automaton"</x:v>
      </x:c>
      <x:c r="G22" s="26" t="str">
        <x:v>High</x:v>
      </x:c>
      <x:c r="H22" s="26" t="str">
        <x:v>Native taxonomy</x:v>
      </x:c>
      <x:c r="I22" s="26" t="str">
        <x:v>type:</x:v>
      </x:c>
      <x:c r="J22" s="26" t="str">
        <x:v>t:"Automaton"</x:v>
      </x:c>
      <x:c r="K22" s="26" t="str"/>
      <x:c r="L22" s="26" t="str">
        <x:v>automaton</x:v>
      </x:c>
      <x:c r="M22" s="26" t="str">
        <x:v>Translate directly</x:v>
      </x:c>
      <x:c r="N22" s="26" t="str">
        <x:v>Production-ready</x:v>
      </x:c>
      <x:c r="O22" s="43" t="n">
        <x:v>0.99</x:v>
      </x:c>
      <x:c r="P22" s="26" t="str">
        <x:v>Use for card type/supertype/subtype intent, not for art or rules-text mentions.</x:v>
      </x:c>
      <x:c r="Q22" s="26" t="str">
        <x:v>https://scryfall.com/docs/syntax</x:v>
      </x:c>
      <x:c r="R22" s="26" t="str">
        <x:v>2026-08-21</x:v>
      </x:c>
    </x:row>
    <x:row r="23">
      <x:c r="A23" s="26" t="str">
        <x:v>CreatureTypes!A19</x:v>
      </x:c>
      <x:c r="B23" s="26" t="str">
        <x:v>Creature Type</x:v>
      </x:c>
      <x:c r="C23" s="26" t="str">
        <x:v>Avatar</x:v>
      </x:c>
      <x:c r="D23" s="26" t="str">
        <x:v>Type/subtype</x:v>
      </x:c>
      <x:c r="E23" s="26"/>
      <x:c r="F23" s="26" t="str">
        <x:v>t:"Avatar"</x:v>
      </x:c>
      <x:c r="G23" s="26" t="str">
        <x:v>High</x:v>
      </x:c>
      <x:c r="H23" s="26" t="str">
        <x:v>Native taxonomy</x:v>
      </x:c>
      <x:c r="I23" s="26" t="str">
        <x:v>type:</x:v>
      </x:c>
      <x:c r="J23" s="26" t="str">
        <x:v>t:"Avatar"</x:v>
      </x:c>
      <x:c r="K23" s="26" t="str"/>
      <x:c r="L23" s="26" t="str">
        <x:v>avatar</x:v>
      </x:c>
      <x:c r="M23" s="26" t="str">
        <x:v>Translate directly</x:v>
      </x:c>
      <x:c r="N23" s="26" t="str">
        <x:v>Production-ready</x:v>
      </x:c>
      <x:c r="O23" s="43" t="n">
        <x:v>0.99</x:v>
      </x:c>
      <x:c r="P23" s="26" t="str">
        <x:v>Use for card type/supertype/subtype intent, not for art or rules-text mentions.</x:v>
      </x:c>
      <x:c r="Q23" s="26" t="str">
        <x:v>https://scryfall.com/docs/syntax</x:v>
      </x:c>
      <x:c r="R23" s="26" t="str">
        <x:v>2026-08-21</x:v>
      </x:c>
    </x:row>
    <x:row r="24">
      <x:c r="A24" s="26" t="str">
        <x:v>CreatureTypes!A20</x:v>
      </x:c>
      <x:c r="B24" s="26" t="str">
        <x:v>Creature Type</x:v>
      </x:c>
      <x:c r="C24" s="26" t="str">
        <x:v>Azra</x:v>
      </x:c>
      <x:c r="D24" s="26" t="str">
        <x:v>Type/subtype</x:v>
      </x:c>
      <x:c r="E24" s="26"/>
      <x:c r="F24" s="26" t="str">
        <x:v>t:"Azra"</x:v>
      </x:c>
      <x:c r="G24" s="26" t="str">
        <x:v>High</x:v>
      </x:c>
      <x:c r="H24" s="26" t="str">
        <x:v>Native taxonomy</x:v>
      </x:c>
      <x:c r="I24" s="26" t="str">
        <x:v>type:</x:v>
      </x:c>
      <x:c r="J24" s="26" t="str">
        <x:v>t:"Azra"</x:v>
      </x:c>
      <x:c r="K24" s="26" t="str"/>
      <x:c r="L24" s="26" t="str">
        <x:v>azra</x:v>
      </x:c>
      <x:c r="M24" s="26" t="str">
        <x:v>Translate directly</x:v>
      </x:c>
      <x:c r="N24" s="26" t="str">
        <x:v>Production-ready</x:v>
      </x:c>
      <x:c r="O24" s="43" t="n">
        <x:v>0.99</x:v>
      </x:c>
      <x:c r="P24" s="26" t="str">
        <x:v>Use for card type/supertype/subtype intent, not for art or rules-text mentions.</x:v>
      </x:c>
      <x:c r="Q24" s="26" t="str">
        <x:v>https://scryfall.com/docs/syntax</x:v>
      </x:c>
      <x:c r="R24" s="26" t="str">
        <x:v>2026-08-21</x:v>
      </x:c>
    </x:row>
    <x:row r="25">
      <x:c r="A25" s="26" t="str">
        <x:v>CreatureTypes!A21</x:v>
      </x:c>
      <x:c r="B25" s="26" t="str">
        <x:v>Creature Type</x:v>
      </x:c>
      <x:c r="C25" s="26" t="str">
        <x:v>Badger</x:v>
      </x:c>
      <x:c r="D25" s="26" t="str">
        <x:v>Type/subtype</x:v>
      </x:c>
      <x:c r="E25" s="26"/>
      <x:c r="F25" s="26" t="str">
        <x:v>t:"Badger"</x:v>
      </x:c>
      <x:c r="G25" s="26" t="str">
        <x:v>High</x:v>
      </x:c>
      <x:c r="H25" s="26" t="str">
        <x:v>Native taxonomy</x:v>
      </x:c>
      <x:c r="I25" s="26" t="str">
        <x:v>type:</x:v>
      </x:c>
      <x:c r="J25" s="26" t="str">
        <x:v>t:"Badger"</x:v>
      </x:c>
      <x:c r="K25" s="26" t="str"/>
      <x:c r="L25" s="26" t="str">
        <x:v>badger</x:v>
      </x:c>
      <x:c r="M25" s="26" t="str">
        <x:v>Translate directly</x:v>
      </x:c>
      <x:c r="N25" s="26" t="str">
        <x:v>Production-ready</x:v>
      </x:c>
      <x:c r="O25" s="43" t="n">
        <x:v>0.99</x:v>
      </x:c>
      <x:c r="P25" s="26" t="str">
        <x:v>Use for card type/supertype/subtype intent, not for art or rules-text mentions.</x:v>
      </x:c>
      <x:c r="Q25" s="26" t="str">
        <x:v>https://scryfall.com/docs/syntax</x:v>
      </x:c>
      <x:c r="R25" s="26" t="str">
        <x:v>2026-08-21</x:v>
      </x:c>
    </x:row>
    <x:row r="26">
      <x:c r="A26" s="26" t="str">
        <x:v>CreatureTypes!A22</x:v>
      </x:c>
      <x:c r="B26" s="26" t="str">
        <x:v>Creature Type</x:v>
      </x:c>
      <x:c r="C26" s="26" t="str">
        <x:v>Balloon</x:v>
      </x:c>
      <x:c r="D26" s="26" t="str">
        <x:v>Type/subtype</x:v>
      </x:c>
      <x:c r="E26" s="26"/>
      <x:c r="F26" s="26" t="str">
        <x:v>t:"Balloon"</x:v>
      </x:c>
      <x:c r="G26" s="26" t="str">
        <x:v>High</x:v>
      </x:c>
      <x:c r="H26" s="26" t="str">
        <x:v>Native taxonomy</x:v>
      </x:c>
      <x:c r="I26" s="26" t="str">
        <x:v>type:</x:v>
      </x:c>
      <x:c r="J26" s="26" t="str">
        <x:v>t:"Balloon"</x:v>
      </x:c>
      <x:c r="K26" s="26" t="str"/>
      <x:c r="L26" s="26" t="str">
        <x:v>balloon</x:v>
      </x:c>
      <x:c r="M26" s="26" t="str">
        <x:v>Translate directly</x:v>
      </x:c>
      <x:c r="N26" s="26" t="str">
        <x:v>Production-ready</x:v>
      </x:c>
      <x:c r="O26" s="43" t="n">
        <x:v>0.99</x:v>
      </x:c>
      <x:c r="P26" s="26" t="str">
        <x:v>Use for card type/supertype/subtype intent, not for art or rules-text mentions.</x:v>
      </x:c>
      <x:c r="Q26" s="26" t="str">
        <x:v>https://scryfall.com/docs/syntax</x:v>
      </x:c>
      <x:c r="R26" s="26" t="str">
        <x:v>2026-08-21</x:v>
      </x:c>
    </x:row>
    <x:row r="27">
      <x:c r="A27" s="26" t="str">
        <x:v>CreatureTypes!A23</x:v>
      </x:c>
      <x:c r="B27" s="26" t="str">
        <x:v>Creature Type</x:v>
      </x:c>
      <x:c r="C27" s="26" t="str">
        <x:v>Barbarian</x:v>
      </x:c>
      <x:c r="D27" s="26" t="str">
        <x:v>Type/subtype</x:v>
      </x:c>
      <x:c r="E27" s="26"/>
      <x:c r="F27" s="26" t="str">
        <x:v>t:"Barbarian"</x:v>
      </x:c>
      <x:c r="G27" s="26" t="str">
        <x:v>High</x:v>
      </x:c>
      <x:c r="H27" s="26" t="str">
        <x:v>Native taxonomy</x:v>
      </x:c>
      <x:c r="I27" s="26" t="str">
        <x:v>type:</x:v>
      </x:c>
      <x:c r="J27" s="26" t="str">
        <x:v>t:"Barbarian"</x:v>
      </x:c>
      <x:c r="K27" s="26" t="str"/>
      <x:c r="L27" s="26" t="str">
        <x:v>barbarian</x:v>
      </x:c>
      <x:c r="M27" s="26" t="str">
        <x:v>Translate directly</x:v>
      </x:c>
      <x:c r="N27" s="26" t="str">
        <x:v>Production-ready</x:v>
      </x:c>
      <x:c r="O27" s="43" t="n">
        <x:v>0.99</x:v>
      </x:c>
      <x:c r="P27" s="26" t="str">
        <x:v>Use for card type/supertype/subtype intent, not for art or rules-text mentions.</x:v>
      </x:c>
      <x:c r="Q27" s="26" t="str">
        <x:v>https://scryfall.com/docs/syntax</x:v>
      </x:c>
      <x:c r="R27" s="26" t="str">
        <x:v>2026-08-21</x:v>
      </x:c>
    </x:row>
    <x:row r="28">
      <x:c r="A28" s="26" t="str">
        <x:v>CreatureTypes!A24</x:v>
      </x:c>
      <x:c r="B28" s="26" t="str">
        <x:v>Creature Type</x:v>
      </x:c>
      <x:c r="C28" s="26" t="str">
        <x:v>Bard</x:v>
      </x:c>
      <x:c r="D28" s="26" t="str">
        <x:v>Type/subtype</x:v>
      </x:c>
      <x:c r="E28" s="26"/>
      <x:c r="F28" s="26" t="str">
        <x:v>t:"Bard"</x:v>
      </x:c>
      <x:c r="G28" s="26" t="str">
        <x:v>High</x:v>
      </x:c>
      <x:c r="H28" s="26" t="str">
        <x:v>Native taxonomy</x:v>
      </x:c>
      <x:c r="I28" s="26" t="str">
        <x:v>type:</x:v>
      </x:c>
      <x:c r="J28" s="26" t="str">
        <x:v>t:"Bard"</x:v>
      </x:c>
      <x:c r="K28" s="26" t="str"/>
      <x:c r="L28" s="26" t="str">
        <x:v>bard</x:v>
      </x:c>
      <x:c r="M28" s="26" t="str">
        <x:v>Translate directly</x:v>
      </x:c>
      <x:c r="N28" s="26" t="str">
        <x:v>Production-ready</x:v>
      </x:c>
      <x:c r="O28" s="43" t="n">
        <x:v>0.99</x:v>
      </x:c>
      <x:c r="P28" s="26" t="str">
        <x:v>Use for card type/supertype/subtype intent, not for art or rules-text mentions.</x:v>
      </x:c>
      <x:c r="Q28" s="26" t="str">
        <x:v>https://scryfall.com/docs/syntax</x:v>
      </x:c>
      <x:c r="R28" s="26" t="str">
        <x:v>2026-08-21</x:v>
      </x:c>
    </x:row>
    <x:row r="29">
      <x:c r="A29" s="26" t="str">
        <x:v>CreatureTypes!A25</x:v>
      </x:c>
      <x:c r="B29" s="26" t="str">
        <x:v>Creature Type</x:v>
      </x:c>
      <x:c r="C29" s="26" t="str">
        <x:v>Basilisk</x:v>
      </x:c>
      <x:c r="D29" s="26" t="str">
        <x:v>Type/subtype</x:v>
      </x:c>
      <x:c r="E29" s="26"/>
      <x:c r="F29" s="26" t="str">
        <x:v>t:"Basilisk"</x:v>
      </x:c>
      <x:c r="G29" s="26" t="str">
        <x:v>High</x:v>
      </x:c>
      <x:c r="H29" s="26" t="str">
        <x:v>Native taxonomy</x:v>
      </x:c>
      <x:c r="I29" s="26" t="str">
        <x:v>type:</x:v>
      </x:c>
      <x:c r="J29" s="26" t="str">
        <x:v>t:"Basilisk"</x:v>
      </x:c>
      <x:c r="K29" s="26" t="str"/>
      <x:c r="L29" s="26" t="str">
        <x:v>basilisk</x:v>
      </x:c>
      <x:c r="M29" s="26" t="str">
        <x:v>Translate directly</x:v>
      </x:c>
      <x:c r="N29" s="26" t="str">
        <x:v>Production-ready</x:v>
      </x:c>
      <x:c r="O29" s="43" t="n">
        <x:v>0.99</x:v>
      </x:c>
      <x:c r="P29" s="26" t="str">
        <x:v>Use for card type/supertype/subtype intent, not for art or rules-text mentions.</x:v>
      </x:c>
      <x:c r="Q29" s="26" t="str">
        <x:v>https://scryfall.com/docs/syntax</x:v>
      </x:c>
      <x:c r="R29" s="26" t="str">
        <x:v>2026-08-21</x:v>
      </x:c>
    </x:row>
    <x:row r="30">
      <x:c r="A30" s="26" t="str">
        <x:v>CreatureTypes!A26</x:v>
      </x:c>
      <x:c r="B30" s="26" t="str">
        <x:v>Creature Type</x:v>
      </x:c>
      <x:c r="C30" s="26" t="str">
        <x:v>Bat</x:v>
      </x:c>
      <x:c r="D30" s="26" t="str">
        <x:v>Type/subtype</x:v>
      </x:c>
      <x:c r="E30" s="26"/>
      <x:c r="F30" s="26" t="str">
        <x:v>t:"Bat"</x:v>
      </x:c>
      <x:c r="G30" s="26" t="str">
        <x:v>High</x:v>
      </x:c>
      <x:c r="H30" s="26" t="str">
        <x:v>Native taxonomy</x:v>
      </x:c>
      <x:c r="I30" s="26" t="str">
        <x:v>type:</x:v>
      </x:c>
      <x:c r="J30" s="26" t="str">
        <x:v>t:"Bat"</x:v>
      </x:c>
      <x:c r="K30" s="26" t="str"/>
      <x:c r="L30" s="26" t="str">
        <x:v>bat</x:v>
      </x:c>
      <x:c r="M30" s="26" t="str">
        <x:v>Translate directly</x:v>
      </x:c>
      <x:c r="N30" s="26" t="str">
        <x:v>Production-ready</x:v>
      </x:c>
      <x:c r="O30" s="43" t="n">
        <x:v>0.99</x:v>
      </x:c>
      <x:c r="P30" s="26" t="str">
        <x:v>Use for card type/supertype/subtype intent, not for art or rules-text mentions.</x:v>
      </x:c>
      <x:c r="Q30" s="26" t="str">
        <x:v>https://scryfall.com/docs/syntax</x:v>
      </x:c>
      <x:c r="R30" s="26" t="str">
        <x:v>2026-08-21</x:v>
      </x:c>
    </x:row>
    <x:row r="31">
      <x:c r="A31" s="26" t="str">
        <x:v>CreatureTypes!A27</x:v>
      </x:c>
      <x:c r="B31" s="26" t="str">
        <x:v>Creature Type</x:v>
      </x:c>
      <x:c r="C31" s="26" t="str">
        <x:v>Bear</x:v>
      </x:c>
      <x:c r="D31" s="26" t="str">
        <x:v>Type/subtype</x:v>
      </x:c>
      <x:c r="E31" s="26"/>
      <x:c r="F31" s="26" t="str">
        <x:v>t:"Bear"</x:v>
      </x:c>
      <x:c r="G31" s="26" t="str">
        <x:v>High</x:v>
      </x:c>
      <x:c r="H31" s="26" t="str">
        <x:v>Native taxonomy</x:v>
      </x:c>
      <x:c r="I31" s="26" t="str">
        <x:v>type:</x:v>
      </x:c>
      <x:c r="J31" s="26" t="str">
        <x:v>t:"Bear"</x:v>
      </x:c>
      <x:c r="K31" s="26" t="str"/>
      <x:c r="L31" s="26" t="str">
        <x:v>bear</x:v>
      </x:c>
      <x:c r="M31" s="26" t="str">
        <x:v>Translate directly</x:v>
      </x:c>
      <x:c r="N31" s="26" t="str">
        <x:v>Production-ready</x:v>
      </x:c>
      <x:c r="O31" s="43" t="n">
        <x:v>0.99</x:v>
      </x:c>
      <x:c r="P31" s="26" t="str">
        <x:v>Use for card type/supertype/subtype intent, not for art or rules-text mentions.</x:v>
      </x:c>
      <x:c r="Q31" s="26" t="str">
        <x:v>https://scryfall.com/docs/syntax</x:v>
      </x:c>
      <x:c r="R31" s="26" t="str">
        <x:v>2026-08-21</x:v>
      </x:c>
    </x:row>
    <x:row r="32">
      <x:c r="A32" s="26" t="str">
        <x:v>CreatureTypes!A28</x:v>
      </x:c>
      <x:c r="B32" s="26" t="str">
        <x:v>Creature Type</x:v>
      </x:c>
      <x:c r="C32" s="26" t="str">
        <x:v>Beast</x:v>
      </x:c>
      <x:c r="D32" s="26" t="str">
        <x:v>Type/subtype</x:v>
      </x:c>
      <x:c r="E32" s="26"/>
      <x:c r="F32" s="26" t="str">
        <x:v>t:"Beast"</x:v>
      </x:c>
      <x:c r="G32" s="26" t="str">
        <x:v>High</x:v>
      </x:c>
      <x:c r="H32" s="26" t="str">
        <x:v>Native taxonomy</x:v>
      </x:c>
      <x:c r="I32" s="26" t="str">
        <x:v>type:</x:v>
      </x:c>
      <x:c r="J32" s="26" t="str">
        <x:v>t:"Beast"</x:v>
      </x:c>
      <x:c r="K32" s="26" t="str"/>
      <x:c r="L32" s="26" t="str">
        <x:v>beast</x:v>
      </x:c>
      <x:c r="M32" s="26" t="str">
        <x:v>Translate directly</x:v>
      </x:c>
      <x:c r="N32" s="26" t="str">
        <x:v>Production-ready</x:v>
      </x:c>
      <x:c r="O32" s="43" t="n">
        <x:v>0.99</x:v>
      </x:c>
      <x:c r="P32" s="26" t="str">
        <x:v>Use for card type/supertype/subtype intent, not for art or rules-text mentions.</x:v>
      </x:c>
      <x:c r="Q32" s="26" t="str">
        <x:v>https://scryfall.com/docs/syntax</x:v>
      </x:c>
      <x:c r="R32" s="26" t="str">
        <x:v>2026-08-21</x:v>
      </x:c>
    </x:row>
    <x:row r="33">
      <x:c r="A33" s="26" t="str">
        <x:v>CreatureTypes!A29</x:v>
      </x:c>
      <x:c r="B33" s="26" t="str">
        <x:v>Creature Type</x:v>
      </x:c>
      <x:c r="C33" s="26" t="str">
        <x:v>Beaver</x:v>
      </x:c>
      <x:c r="D33" s="26" t="str">
        <x:v>Type/subtype</x:v>
      </x:c>
      <x:c r="E33" s="26"/>
      <x:c r="F33" s="26" t="str">
        <x:v>t:"Beaver"</x:v>
      </x:c>
      <x:c r="G33" s="26" t="str">
        <x:v>High</x:v>
      </x:c>
      <x:c r="H33" s="26" t="str">
        <x:v>Native taxonomy</x:v>
      </x:c>
      <x:c r="I33" s="26" t="str">
        <x:v>type:</x:v>
      </x:c>
      <x:c r="J33" s="26" t="str">
        <x:v>t:"Beaver"</x:v>
      </x:c>
      <x:c r="K33" s="26" t="str"/>
      <x:c r="L33" s="26" t="str">
        <x:v>beaver</x:v>
      </x:c>
      <x:c r="M33" s="26" t="str">
        <x:v>Translate directly</x:v>
      </x:c>
      <x:c r="N33" s="26" t="str">
        <x:v>Production-ready</x:v>
      </x:c>
      <x:c r="O33" s="43" t="n">
        <x:v>0.99</x:v>
      </x:c>
      <x:c r="P33" s="26" t="str">
        <x:v>Use for card type/supertype/subtype intent, not for art or rules-text mentions.</x:v>
      </x:c>
      <x:c r="Q33" s="26" t="str">
        <x:v>https://scryfall.com/docs/syntax</x:v>
      </x:c>
      <x:c r="R33" s="26" t="str">
        <x:v>2026-08-21</x:v>
      </x:c>
    </x:row>
    <x:row r="34">
      <x:c r="A34" s="26" t="str">
        <x:v>CreatureTypes!A30</x:v>
      </x:c>
      <x:c r="B34" s="26" t="str">
        <x:v>Creature Type</x:v>
      </x:c>
      <x:c r="C34" s="26" t="str">
        <x:v>Beeble</x:v>
      </x:c>
      <x:c r="D34" s="26" t="str">
        <x:v>Type/subtype</x:v>
      </x:c>
      <x:c r="E34" s="26"/>
      <x:c r="F34" s="26" t="str">
        <x:v>t:"Beeble"</x:v>
      </x:c>
      <x:c r="G34" s="26" t="str">
        <x:v>High</x:v>
      </x:c>
      <x:c r="H34" s="26" t="str">
        <x:v>Native taxonomy</x:v>
      </x:c>
      <x:c r="I34" s="26" t="str">
        <x:v>type:</x:v>
      </x:c>
      <x:c r="J34" s="26" t="str">
        <x:v>t:"Beeble"</x:v>
      </x:c>
      <x:c r="K34" s="26" t="str"/>
      <x:c r="L34" s="26" t="str">
        <x:v>beeble</x:v>
      </x:c>
      <x:c r="M34" s="26" t="str">
        <x:v>Translate directly</x:v>
      </x:c>
      <x:c r="N34" s="26" t="str">
        <x:v>Production-ready</x:v>
      </x:c>
      <x:c r="O34" s="43" t="n">
        <x:v>0.99</x:v>
      </x:c>
      <x:c r="P34" s="26" t="str">
        <x:v>Use for card type/supertype/subtype intent, not for art or rules-text mentions.</x:v>
      </x:c>
      <x:c r="Q34" s="26" t="str">
        <x:v>https://scryfall.com/docs/syntax</x:v>
      </x:c>
      <x:c r="R34" s="26" t="str">
        <x:v>2026-08-21</x:v>
      </x:c>
    </x:row>
    <x:row r="35">
      <x:c r="A35" s="26" t="str">
        <x:v>CreatureTypes!A31</x:v>
      </x:c>
      <x:c r="B35" s="26" t="str">
        <x:v>Creature Type</x:v>
      </x:c>
      <x:c r="C35" s="26" t="str">
        <x:v>Beholder</x:v>
      </x:c>
      <x:c r="D35" s="26" t="str">
        <x:v>Type/subtype</x:v>
      </x:c>
      <x:c r="E35" s="26"/>
      <x:c r="F35" s="26" t="str">
        <x:v>t:"Beholder"</x:v>
      </x:c>
      <x:c r="G35" s="26" t="str">
        <x:v>High</x:v>
      </x:c>
      <x:c r="H35" s="26" t="str">
        <x:v>Native taxonomy</x:v>
      </x:c>
      <x:c r="I35" s="26" t="str">
        <x:v>type:</x:v>
      </x:c>
      <x:c r="J35" s="26" t="str">
        <x:v>t:"Beholder"</x:v>
      </x:c>
      <x:c r="K35" s="26" t="str"/>
      <x:c r="L35" s="26" t="str">
        <x:v>beholder</x:v>
      </x:c>
      <x:c r="M35" s="26" t="str">
        <x:v>Translate directly</x:v>
      </x:c>
      <x:c r="N35" s="26" t="str">
        <x:v>Production-ready</x:v>
      </x:c>
      <x:c r="O35" s="43" t="n">
        <x:v>0.99</x:v>
      </x:c>
      <x:c r="P35" s="26" t="str">
        <x:v>Use for card type/supertype/subtype intent, not for art or rules-text mentions.</x:v>
      </x:c>
      <x:c r="Q35" s="26" t="str">
        <x:v>https://scryfall.com/docs/syntax</x:v>
      </x:c>
      <x:c r="R35" s="26" t="str">
        <x:v>2026-08-21</x:v>
      </x:c>
    </x:row>
    <x:row r="36">
      <x:c r="A36" s="26" t="str">
        <x:v>CreatureTypes!A32</x:v>
      </x:c>
      <x:c r="B36" s="26" t="str">
        <x:v>Creature Type</x:v>
      </x:c>
      <x:c r="C36" s="26" t="str">
        <x:v>Berserker</x:v>
      </x:c>
      <x:c r="D36" s="26" t="str">
        <x:v>Type/subtype</x:v>
      </x:c>
      <x:c r="E36" s="26"/>
      <x:c r="F36" s="26" t="str">
        <x:v>t:"Berserker"</x:v>
      </x:c>
      <x:c r="G36" s="26" t="str">
        <x:v>High</x:v>
      </x:c>
      <x:c r="H36" s="26" t="str">
        <x:v>Native taxonomy</x:v>
      </x:c>
      <x:c r="I36" s="26" t="str">
        <x:v>type:</x:v>
      </x:c>
      <x:c r="J36" s="26" t="str">
        <x:v>t:"Berserker"</x:v>
      </x:c>
      <x:c r="K36" s="26" t="str"/>
      <x:c r="L36" s="26" t="str">
        <x:v>berserker</x:v>
      </x:c>
      <x:c r="M36" s="26" t="str">
        <x:v>Translate directly</x:v>
      </x:c>
      <x:c r="N36" s="26" t="str">
        <x:v>Production-ready</x:v>
      </x:c>
      <x:c r="O36" s="43" t="n">
        <x:v>0.99</x:v>
      </x:c>
      <x:c r="P36" s="26" t="str">
        <x:v>Use for card type/supertype/subtype intent, not for art or rules-text mentions.</x:v>
      </x:c>
      <x:c r="Q36" s="26" t="str">
        <x:v>https://scryfall.com/docs/syntax</x:v>
      </x:c>
      <x:c r="R36" s="26" t="str">
        <x:v>2026-08-21</x:v>
      </x:c>
    </x:row>
    <x:row r="37">
      <x:c r="A37" s="26" t="str">
        <x:v>CreatureTypes!A33</x:v>
      </x:c>
      <x:c r="B37" s="26" t="str">
        <x:v>Creature Type</x:v>
      </x:c>
      <x:c r="C37" s="26" t="str">
        <x:v>Bird</x:v>
      </x:c>
      <x:c r="D37" s="26" t="str">
        <x:v>Type/subtype</x:v>
      </x:c>
      <x:c r="E37" s="26"/>
      <x:c r="F37" s="26" t="str">
        <x:v>t:"Bird"</x:v>
      </x:c>
      <x:c r="G37" s="26" t="str">
        <x:v>High</x:v>
      </x:c>
      <x:c r="H37" s="26" t="str">
        <x:v>Native taxonomy</x:v>
      </x:c>
      <x:c r="I37" s="26" t="str">
        <x:v>type:</x:v>
      </x:c>
      <x:c r="J37" s="26" t="str">
        <x:v>t:"Bird"</x:v>
      </x:c>
      <x:c r="K37" s="26" t="str"/>
      <x:c r="L37" s="26" t="str">
        <x:v>bird</x:v>
      </x:c>
      <x:c r="M37" s="26" t="str">
        <x:v>Translate directly</x:v>
      </x:c>
      <x:c r="N37" s="26" t="str">
        <x:v>Production-ready</x:v>
      </x:c>
      <x:c r="O37" s="43" t="n">
        <x:v>0.99</x:v>
      </x:c>
      <x:c r="P37" s="26" t="str">
        <x:v>Use for card type/supertype/subtype intent, not for art or rules-text mentions.</x:v>
      </x:c>
      <x:c r="Q37" s="26" t="str">
        <x:v>https://scryfall.com/docs/syntax</x:v>
      </x:c>
      <x:c r="R37" s="26" t="str">
        <x:v>2026-08-21</x:v>
      </x:c>
    </x:row>
    <x:row r="38">
      <x:c r="A38" s="26" t="str">
        <x:v>CreatureTypes!A34</x:v>
      </x:c>
      <x:c r="B38" s="26" t="str">
        <x:v>Creature Type</x:v>
      </x:c>
      <x:c r="C38" s="26" t="str">
        <x:v>Bison</x:v>
      </x:c>
      <x:c r="D38" s="26" t="str">
        <x:v>Type/subtype</x:v>
      </x:c>
      <x:c r="E38" s="26"/>
      <x:c r="F38" s="26" t="str">
        <x:v>t:"Bison"</x:v>
      </x:c>
      <x:c r="G38" s="26" t="str">
        <x:v>High</x:v>
      </x:c>
      <x:c r="H38" s="26" t="str">
        <x:v>Native taxonomy</x:v>
      </x:c>
      <x:c r="I38" s="26" t="str">
        <x:v>type:</x:v>
      </x:c>
      <x:c r="J38" s="26" t="str">
        <x:v>t:"Bison"</x:v>
      </x:c>
      <x:c r="K38" s="26" t="str"/>
      <x:c r="L38" s="26" t="str">
        <x:v>bison</x:v>
      </x:c>
      <x:c r="M38" s="26" t="str">
        <x:v>Translate directly</x:v>
      </x:c>
      <x:c r="N38" s="26" t="str">
        <x:v>Production-ready</x:v>
      </x:c>
      <x:c r="O38" s="43" t="n">
        <x:v>0.99</x:v>
      </x:c>
      <x:c r="P38" s="26" t="str">
        <x:v>Use for card type/supertype/subtype intent, not for art or rules-text mentions.</x:v>
      </x:c>
      <x:c r="Q38" s="26" t="str">
        <x:v>https://scryfall.com/docs/syntax</x:v>
      </x:c>
      <x:c r="R38" s="26" t="str">
        <x:v>2026-08-21</x:v>
      </x:c>
    </x:row>
    <x:row r="39">
      <x:c r="A39" s="26" t="str">
        <x:v>CreatureTypes!A35</x:v>
      </x:c>
      <x:c r="B39" s="26" t="str">
        <x:v>Creature Type</x:v>
      </x:c>
      <x:c r="C39" s="26" t="str">
        <x:v>Blinkmoth</x:v>
      </x:c>
      <x:c r="D39" s="26" t="str">
        <x:v>Type/subtype</x:v>
      </x:c>
      <x:c r="E39" s="26"/>
      <x:c r="F39" s="26" t="str">
        <x:v>t:"Blinkmoth"</x:v>
      </x:c>
      <x:c r="G39" s="26" t="str">
        <x:v>High</x:v>
      </x:c>
      <x:c r="H39" s="26" t="str">
        <x:v>Native taxonomy</x:v>
      </x:c>
      <x:c r="I39" s="26" t="str">
        <x:v>type:</x:v>
      </x:c>
      <x:c r="J39" s="26" t="str">
        <x:v>t:"Blinkmoth"</x:v>
      </x:c>
      <x:c r="K39" s="26" t="str"/>
      <x:c r="L39" s="26" t="str">
        <x:v>blinkmoth</x:v>
      </x:c>
      <x:c r="M39" s="26" t="str">
        <x:v>Translate directly</x:v>
      </x:c>
      <x:c r="N39" s="26" t="str">
        <x:v>Production-ready</x:v>
      </x:c>
      <x:c r="O39" s="43" t="n">
        <x:v>0.99</x:v>
      </x:c>
      <x:c r="P39" s="26" t="str">
        <x:v>Use for card type/supertype/subtype intent, not for art or rules-text mentions.</x:v>
      </x:c>
      <x:c r="Q39" s="26" t="str">
        <x:v>https://scryfall.com/docs/syntax</x:v>
      </x:c>
      <x:c r="R39" s="26" t="str">
        <x:v>2026-08-21</x:v>
      </x:c>
    </x:row>
    <x:row r="40">
      <x:c r="A40" s="26" t="str">
        <x:v>CreatureTypes!A36</x:v>
      </x:c>
      <x:c r="B40" s="26" t="str">
        <x:v>Creature Type</x:v>
      </x:c>
      <x:c r="C40" s="26" t="str">
        <x:v>Boar</x:v>
      </x:c>
      <x:c r="D40" s="26" t="str">
        <x:v>Type/subtype</x:v>
      </x:c>
      <x:c r="E40" s="26"/>
      <x:c r="F40" s="26" t="str">
        <x:v>t:"Boar"</x:v>
      </x:c>
      <x:c r="G40" s="26" t="str">
        <x:v>High</x:v>
      </x:c>
      <x:c r="H40" s="26" t="str">
        <x:v>Native taxonomy</x:v>
      </x:c>
      <x:c r="I40" s="26" t="str">
        <x:v>type:</x:v>
      </x:c>
      <x:c r="J40" s="26" t="str">
        <x:v>t:"Boar"</x:v>
      </x:c>
      <x:c r="K40" s="26" t="str"/>
      <x:c r="L40" s="26" t="str">
        <x:v>boar</x:v>
      </x:c>
      <x:c r="M40" s="26" t="str">
        <x:v>Translate directly</x:v>
      </x:c>
      <x:c r="N40" s="26" t="str">
        <x:v>Production-ready</x:v>
      </x:c>
      <x:c r="O40" s="43" t="n">
        <x:v>0.99</x:v>
      </x:c>
      <x:c r="P40" s="26" t="str">
        <x:v>Use for card type/supertype/subtype intent, not for art or rules-text mentions.</x:v>
      </x:c>
      <x:c r="Q40" s="26" t="str">
        <x:v>https://scryfall.com/docs/syntax</x:v>
      </x:c>
      <x:c r="R40" s="26" t="str">
        <x:v>2026-08-21</x:v>
      </x:c>
    </x:row>
    <x:row r="41">
      <x:c r="A41" s="26" t="str">
        <x:v>CreatureTypes!A37</x:v>
      </x:c>
      <x:c r="B41" s="26" t="str">
        <x:v>Creature Type</x:v>
      </x:c>
      <x:c r="C41" s="26" t="str">
        <x:v>Brainiac</x:v>
      </x:c>
      <x:c r="D41" s="26" t="str">
        <x:v>Type/subtype</x:v>
      </x:c>
      <x:c r="E41" s="26"/>
      <x:c r="F41" s="26" t="str">
        <x:v>t:"Brainiac"</x:v>
      </x:c>
      <x:c r="G41" s="26" t="str">
        <x:v>High</x:v>
      </x:c>
      <x:c r="H41" s="26" t="str">
        <x:v>Native taxonomy</x:v>
      </x:c>
      <x:c r="I41" s="26" t="str">
        <x:v>type:</x:v>
      </x:c>
      <x:c r="J41" s="26" t="str">
        <x:v>t:"Brainiac"</x:v>
      </x:c>
      <x:c r="K41" s="26" t="str"/>
      <x:c r="L41" s="26" t="str">
        <x:v>brainiac</x:v>
      </x:c>
      <x:c r="M41" s="26" t="str">
        <x:v>Translate directly</x:v>
      </x:c>
      <x:c r="N41" s="26" t="str">
        <x:v>Production-ready</x:v>
      </x:c>
      <x:c r="O41" s="43" t="n">
        <x:v>0.99</x:v>
      </x:c>
      <x:c r="P41" s="26" t="str">
        <x:v>Use for card type/supertype/subtype intent, not for art or rules-text mentions.</x:v>
      </x:c>
      <x:c r="Q41" s="26" t="str">
        <x:v>https://scryfall.com/docs/syntax</x:v>
      </x:c>
      <x:c r="R41" s="26" t="str">
        <x:v>2026-08-21</x:v>
      </x:c>
    </x:row>
    <x:row r="42">
      <x:c r="A42" s="26" t="str">
        <x:v>CreatureTypes!A38</x:v>
      </x:c>
      <x:c r="B42" s="26" t="str">
        <x:v>Creature Type</x:v>
      </x:c>
      <x:c r="C42" s="26" t="str">
        <x:v>Bringer</x:v>
      </x:c>
      <x:c r="D42" s="26" t="str">
        <x:v>Type/subtype</x:v>
      </x:c>
      <x:c r="E42" s="26"/>
      <x:c r="F42" s="26" t="str">
        <x:v>t:"Bringer"</x:v>
      </x:c>
      <x:c r="G42" s="26" t="str">
        <x:v>High</x:v>
      </x:c>
      <x:c r="H42" s="26" t="str">
        <x:v>Native taxonomy</x:v>
      </x:c>
      <x:c r="I42" s="26" t="str">
        <x:v>type:</x:v>
      </x:c>
      <x:c r="J42" s="26" t="str">
        <x:v>t:"Bringer"</x:v>
      </x:c>
      <x:c r="K42" s="26" t="str"/>
      <x:c r="L42" s="26" t="str">
        <x:v>bringer</x:v>
      </x:c>
      <x:c r="M42" s="26" t="str">
        <x:v>Translate directly</x:v>
      </x:c>
      <x:c r="N42" s="26" t="str">
        <x:v>Production-ready</x:v>
      </x:c>
      <x:c r="O42" s="43" t="n">
        <x:v>0.99</x:v>
      </x:c>
      <x:c r="P42" s="26" t="str">
        <x:v>Use for card type/supertype/subtype intent, not for art or rules-text mentions.</x:v>
      </x:c>
      <x:c r="Q42" s="26" t="str">
        <x:v>https://scryfall.com/docs/syntax</x:v>
      </x:c>
      <x:c r="R42" s="26" t="str">
        <x:v>2026-08-21</x:v>
      </x:c>
    </x:row>
    <x:row r="43">
      <x:c r="A43" s="26" t="str">
        <x:v>CreatureTypes!A39</x:v>
      </x:c>
      <x:c r="B43" s="26" t="str">
        <x:v>Creature Type</x:v>
      </x:c>
      <x:c r="C43" s="26" t="str">
        <x:v>Brushwagg</x:v>
      </x:c>
      <x:c r="D43" s="26" t="str">
        <x:v>Type/subtype</x:v>
      </x:c>
      <x:c r="E43" s="26"/>
      <x:c r="F43" s="26" t="str">
        <x:v>t:"Brushwagg"</x:v>
      </x:c>
      <x:c r="G43" s="26" t="str">
        <x:v>High</x:v>
      </x:c>
      <x:c r="H43" s="26" t="str">
        <x:v>Native taxonomy</x:v>
      </x:c>
      <x:c r="I43" s="26" t="str">
        <x:v>type:</x:v>
      </x:c>
      <x:c r="J43" s="26" t="str">
        <x:v>t:"Brushwagg"</x:v>
      </x:c>
      <x:c r="K43" s="26" t="str"/>
      <x:c r="L43" s="26" t="str">
        <x:v>brushwagg</x:v>
      </x:c>
      <x:c r="M43" s="26" t="str">
        <x:v>Translate directly</x:v>
      </x:c>
      <x:c r="N43" s="26" t="str">
        <x:v>Production-ready</x:v>
      </x:c>
      <x:c r="O43" s="43" t="n">
        <x:v>0.99</x:v>
      </x:c>
      <x:c r="P43" s="26" t="str">
        <x:v>Use for card type/supertype/subtype intent, not for art or rules-text mentions.</x:v>
      </x:c>
      <x:c r="Q43" s="26" t="str">
        <x:v>https://scryfall.com/docs/syntax</x:v>
      </x:c>
      <x:c r="R43" s="26" t="str">
        <x:v>2026-08-21</x:v>
      </x:c>
    </x:row>
    <x:row r="44">
      <x:c r="A44" s="26" t="str">
        <x:v>CreatureTypes!A40</x:v>
      </x:c>
      <x:c r="B44" s="26" t="str">
        <x:v>Creature Type</x:v>
      </x:c>
      <x:c r="C44" s="26" t="str">
        <x:v>C’tan</x:v>
      </x:c>
      <x:c r="D44" s="26" t="str">
        <x:v>Type/subtype</x:v>
      </x:c>
      <x:c r="E44" s="26"/>
      <x:c r="F44" s="26" t="str">
        <x:v>t:"C’tan"</x:v>
      </x:c>
      <x:c r="G44" s="26" t="str">
        <x:v>High</x:v>
      </x:c>
      <x:c r="H44" s="26" t="str">
        <x:v>Native taxonomy</x:v>
      </x:c>
      <x:c r="I44" s="26" t="str">
        <x:v>type:</x:v>
      </x:c>
      <x:c r="J44" s="26" t="str">
        <x:v>t:"C’tan"</x:v>
      </x:c>
      <x:c r="K44" s="26" t="str"/>
      <x:c r="L44" s="26" t="str">
        <x:v>c’tan</x:v>
      </x:c>
      <x:c r="M44" s="26" t="str">
        <x:v>Translate directly</x:v>
      </x:c>
      <x:c r="N44" s="26" t="str">
        <x:v>Production-ready</x:v>
      </x:c>
      <x:c r="O44" s="43" t="n">
        <x:v>0.99</x:v>
      </x:c>
      <x:c r="P44" s="26" t="str">
        <x:v>Use for card type/supertype/subtype intent, not for art or rules-text mentions.</x:v>
      </x:c>
      <x:c r="Q44" s="26" t="str">
        <x:v>https://scryfall.com/docs/syntax</x:v>
      </x:c>
      <x:c r="R44" s="26" t="str">
        <x:v>2026-08-21</x:v>
      </x:c>
    </x:row>
    <x:row r="45">
      <x:c r="A45" s="26" t="str">
        <x:v>CreatureTypes!A41</x:v>
      </x:c>
      <x:c r="B45" s="26" t="str">
        <x:v>Creature Type</x:v>
      </x:c>
      <x:c r="C45" s="26" t="str">
        <x:v>Camarid</x:v>
      </x:c>
      <x:c r="D45" s="26" t="str">
        <x:v>Type/subtype</x:v>
      </x:c>
      <x:c r="E45" s="26"/>
      <x:c r="F45" s="26" t="str">
        <x:v>t:"Camarid"</x:v>
      </x:c>
      <x:c r="G45" s="26" t="str">
        <x:v>High</x:v>
      </x:c>
      <x:c r="H45" s="26" t="str">
        <x:v>Native taxonomy</x:v>
      </x:c>
      <x:c r="I45" s="26" t="str">
        <x:v>type:</x:v>
      </x:c>
      <x:c r="J45" s="26" t="str">
        <x:v>t:"Camarid"</x:v>
      </x:c>
      <x:c r="K45" s="26" t="str"/>
      <x:c r="L45" s="26" t="str">
        <x:v>camarid</x:v>
      </x:c>
      <x:c r="M45" s="26" t="str">
        <x:v>Translate directly</x:v>
      </x:c>
      <x:c r="N45" s="26" t="str">
        <x:v>Production-ready</x:v>
      </x:c>
      <x:c r="O45" s="43" t="n">
        <x:v>0.99</x:v>
      </x:c>
      <x:c r="P45" s="26" t="str">
        <x:v>Use for card type/supertype/subtype intent, not for art or rules-text mentions.</x:v>
      </x:c>
      <x:c r="Q45" s="26" t="str">
        <x:v>https://scryfall.com/docs/syntax</x:v>
      </x:c>
      <x:c r="R45" s="26" t="str">
        <x:v>2026-08-21</x:v>
      </x:c>
    </x:row>
    <x:row r="46">
      <x:c r="A46" s="26" t="str">
        <x:v>CreatureTypes!A42</x:v>
      </x:c>
      <x:c r="B46" s="26" t="str">
        <x:v>Creature Type</x:v>
      </x:c>
      <x:c r="C46" s="26" t="str">
        <x:v>Camel</x:v>
      </x:c>
      <x:c r="D46" s="26" t="str">
        <x:v>Type/subtype</x:v>
      </x:c>
      <x:c r="E46" s="26"/>
      <x:c r="F46" s="26" t="str">
        <x:v>t:"Camel"</x:v>
      </x:c>
      <x:c r="G46" s="26" t="str">
        <x:v>High</x:v>
      </x:c>
      <x:c r="H46" s="26" t="str">
        <x:v>Native taxonomy</x:v>
      </x:c>
      <x:c r="I46" s="26" t="str">
        <x:v>type:</x:v>
      </x:c>
      <x:c r="J46" s="26" t="str">
        <x:v>t:"Camel"</x:v>
      </x:c>
      <x:c r="K46" s="26" t="str"/>
      <x:c r="L46" s="26" t="str">
        <x:v>camel</x:v>
      </x:c>
      <x:c r="M46" s="26" t="str">
        <x:v>Translate directly</x:v>
      </x:c>
      <x:c r="N46" s="26" t="str">
        <x:v>Production-ready</x:v>
      </x:c>
      <x:c r="O46" s="43" t="n">
        <x:v>0.99</x:v>
      </x:c>
      <x:c r="P46" s="26" t="str">
        <x:v>Use for card type/supertype/subtype intent, not for art or rules-text mentions.</x:v>
      </x:c>
      <x:c r="Q46" s="26" t="str">
        <x:v>https://scryfall.com/docs/syntax</x:v>
      </x:c>
      <x:c r="R46" s="26" t="str">
        <x:v>2026-08-21</x:v>
      </x:c>
    </x:row>
    <x:row r="47">
      <x:c r="A47" s="26" t="str">
        <x:v>CreatureTypes!A43</x:v>
      </x:c>
      <x:c r="B47" s="26" t="str">
        <x:v>Creature Type</x:v>
      </x:c>
      <x:c r="C47" s="26" t="str">
        <x:v>Capybara</x:v>
      </x:c>
      <x:c r="D47" s="26" t="str">
        <x:v>Type/subtype</x:v>
      </x:c>
      <x:c r="E47" s="26"/>
      <x:c r="F47" s="26" t="str">
        <x:v>t:"Capybara"</x:v>
      </x:c>
      <x:c r="G47" s="26" t="str">
        <x:v>High</x:v>
      </x:c>
      <x:c r="H47" s="26" t="str">
        <x:v>Native taxonomy</x:v>
      </x:c>
      <x:c r="I47" s="26" t="str">
        <x:v>type:</x:v>
      </x:c>
      <x:c r="J47" s="26" t="str">
        <x:v>t:"Capybara"</x:v>
      </x:c>
      <x:c r="K47" s="26" t="str"/>
      <x:c r="L47" s="26" t="str">
        <x:v>capybara</x:v>
      </x:c>
      <x:c r="M47" s="26" t="str">
        <x:v>Translate directly</x:v>
      </x:c>
      <x:c r="N47" s="26" t="str">
        <x:v>Production-ready</x:v>
      </x:c>
      <x:c r="O47" s="43" t="n">
        <x:v>0.99</x:v>
      </x:c>
      <x:c r="P47" s="26" t="str">
        <x:v>Use for card type/supertype/subtype intent, not for art or rules-text mentions.</x:v>
      </x:c>
      <x:c r="Q47" s="26" t="str">
        <x:v>https://scryfall.com/docs/syntax</x:v>
      </x:c>
      <x:c r="R47" s="26" t="str">
        <x:v>2026-08-21</x:v>
      </x:c>
    </x:row>
    <x:row r="48">
      <x:c r="A48" s="26" t="str">
        <x:v>CreatureTypes!A44</x:v>
      </x:c>
      <x:c r="B48" s="26" t="str">
        <x:v>Creature Type</x:v>
      </x:c>
      <x:c r="C48" s="26" t="str">
        <x:v>Caribou</x:v>
      </x:c>
      <x:c r="D48" s="26" t="str">
        <x:v>Type/subtype</x:v>
      </x:c>
      <x:c r="E48" s="26"/>
      <x:c r="F48" s="26" t="str">
        <x:v>t:"Caribou"</x:v>
      </x:c>
      <x:c r="G48" s="26" t="str">
        <x:v>High</x:v>
      </x:c>
      <x:c r="H48" s="26" t="str">
        <x:v>Native taxonomy</x:v>
      </x:c>
      <x:c r="I48" s="26" t="str">
        <x:v>type:</x:v>
      </x:c>
      <x:c r="J48" s="26" t="str">
        <x:v>t:"Caribou"</x:v>
      </x:c>
      <x:c r="K48" s="26" t="str"/>
      <x:c r="L48" s="26" t="str">
        <x:v>caribou</x:v>
      </x:c>
      <x:c r="M48" s="26" t="str">
        <x:v>Translate directly</x:v>
      </x:c>
      <x:c r="N48" s="26" t="str">
        <x:v>Production-ready</x:v>
      </x:c>
      <x:c r="O48" s="43" t="n">
        <x:v>0.99</x:v>
      </x:c>
      <x:c r="P48" s="26" t="str">
        <x:v>Use for card type/supertype/subtype intent, not for art or rules-text mentions.</x:v>
      </x:c>
      <x:c r="Q48" s="26" t="str">
        <x:v>https://scryfall.com/docs/syntax</x:v>
      </x:c>
      <x:c r="R48" s="26" t="str">
        <x:v>2026-08-21</x:v>
      </x:c>
    </x:row>
    <x:row r="49">
      <x:c r="A49" s="26" t="str">
        <x:v>CreatureTypes!A45</x:v>
      </x:c>
      <x:c r="B49" s="26" t="str">
        <x:v>Creature Type</x:v>
      </x:c>
      <x:c r="C49" s="26" t="str">
        <x:v>Carrier</x:v>
      </x:c>
      <x:c r="D49" s="26" t="str">
        <x:v>Type/subtype</x:v>
      </x:c>
      <x:c r="E49" s="26"/>
      <x:c r="F49" s="26" t="str">
        <x:v>t:"Carrier"</x:v>
      </x:c>
      <x:c r="G49" s="26" t="str">
        <x:v>High</x:v>
      </x:c>
      <x:c r="H49" s="26" t="str">
        <x:v>Native taxonomy</x:v>
      </x:c>
      <x:c r="I49" s="26" t="str">
        <x:v>type:</x:v>
      </x:c>
      <x:c r="J49" s="26" t="str">
        <x:v>t:"Carrier"</x:v>
      </x:c>
      <x:c r="K49" s="26" t="str"/>
      <x:c r="L49" s="26" t="str">
        <x:v>carrier</x:v>
      </x:c>
      <x:c r="M49" s="26" t="str">
        <x:v>Translate directly</x:v>
      </x:c>
      <x:c r="N49" s="26" t="str">
        <x:v>Production-ready</x:v>
      </x:c>
      <x:c r="O49" s="43" t="n">
        <x:v>0.99</x:v>
      </x:c>
      <x:c r="P49" s="26" t="str">
        <x:v>Use for card type/supertype/subtype intent, not for art or rules-text mentions.</x:v>
      </x:c>
      <x:c r="Q49" s="26" t="str">
        <x:v>https://scryfall.com/docs/syntax</x:v>
      </x:c>
      <x:c r="R49" s="26" t="str">
        <x:v>2026-08-21</x:v>
      </x:c>
    </x:row>
    <x:row r="50">
      <x:c r="A50" s="26" t="str">
        <x:v>CreatureTypes!A46</x:v>
      </x:c>
      <x:c r="B50" s="26" t="str">
        <x:v>Creature Type</x:v>
      </x:c>
      <x:c r="C50" s="26" t="str">
        <x:v>Cat</x:v>
      </x:c>
      <x:c r="D50" s="26" t="str">
        <x:v>Type/subtype</x:v>
      </x:c>
      <x:c r="E50" s="26"/>
      <x:c r="F50" s="26" t="str">
        <x:v>t:"Cat"</x:v>
      </x:c>
      <x:c r="G50" s="26" t="str">
        <x:v>High</x:v>
      </x:c>
      <x:c r="H50" s="26" t="str">
        <x:v>Native taxonomy</x:v>
      </x:c>
      <x:c r="I50" s="26" t="str">
        <x:v>type:</x:v>
      </x:c>
      <x:c r="J50" s="26" t="str">
        <x:v>t:"Cat"</x:v>
      </x:c>
      <x:c r="K50" s="26" t="str"/>
      <x:c r="L50" s="26" t="str">
        <x:v>cat</x:v>
      </x:c>
      <x:c r="M50" s="26" t="str">
        <x:v>Translate directly</x:v>
      </x:c>
      <x:c r="N50" s="26" t="str">
        <x:v>Production-ready</x:v>
      </x:c>
      <x:c r="O50" s="43" t="n">
        <x:v>0.99</x:v>
      </x:c>
      <x:c r="P50" s="26" t="str">
        <x:v>Use for card type/supertype/subtype intent, not for art or rules-text mentions.</x:v>
      </x:c>
      <x:c r="Q50" s="26" t="str">
        <x:v>https://scryfall.com/docs/syntax</x:v>
      </x:c>
      <x:c r="R50" s="26" t="str">
        <x:v>2026-08-21</x:v>
      </x:c>
    </x:row>
    <x:row r="51">
      <x:c r="A51" s="26" t="str">
        <x:v>CreatureTypes!A47</x:v>
      </x:c>
      <x:c r="B51" s="26" t="str">
        <x:v>Creature Type</x:v>
      </x:c>
      <x:c r="C51" s="26" t="str">
        <x:v>Centaur</x:v>
      </x:c>
      <x:c r="D51" s="26" t="str">
        <x:v>Type/subtype</x:v>
      </x:c>
      <x:c r="E51" s="26"/>
      <x:c r="F51" s="26" t="str">
        <x:v>t:"Centaur"</x:v>
      </x:c>
      <x:c r="G51" s="26" t="str">
        <x:v>High</x:v>
      </x:c>
      <x:c r="H51" s="26" t="str">
        <x:v>Native taxonomy</x:v>
      </x:c>
      <x:c r="I51" s="26" t="str">
        <x:v>type:</x:v>
      </x:c>
      <x:c r="J51" s="26" t="str">
        <x:v>t:"Centaur"</x:v>
      </x:c>
      <x:c r="K51" s="26" t="str"/>
      <x:c r="L51" s="26" t="str">
        <x:v>centaur</x:v>
      </x:c>
      <x:c r="M51" s="26" t="str">
        <x:v>Translate directly</x:v>
      </x:c>
      <x:c r="N51" s="26" t="str">
        <x:v>Production-ready</x:v>
      </x:c>
      <x:c r="O51" s="43" t="n">
        <x:v>0.99</x:v>
      </x:c>
      <x:c r="P51" s="26" t="str">
        <x:v>Use for card type/supertype/subtype intent, not for art or rules-text mentions.</x:v>
      </x:c>
      <x:c r="Q51" s="26" t="str">
        <x:v>https://scryfall.com/docs/syntax</x:v>
      </x:c>
      <x:c r="R51" s="26" t="str">
        <x:v>2026-08-21</x:v>
      </x:c>
    </x:row>
    <x:row r="52">
      <x:c r="A52" s="26" t="str">
        <x:v>CreatureTypes!A48</x:v>
      </x:c>
      <x:c r="B52" s="26" t="str">
        <x:v>Creature Type</x:v>
      </x:c>
      <x:c r="C52" s="26" t="str">
        <x:v>Chicken</x:v>
      </x:c>
      <x:c r="D52" s="26" t="str">
        <x:v>Type/subtype</x:v>
      </x:c>
      <x:c r="E52" s="26"/>
      <x:c r="F52" s="26" t="str">
        <x:v>t:"Chicken"</x:v>
      </x:c>
      <x:c r="G52" s="26" t="str">
        <x:v>High</x:v>
      </x:c>
      <x:c r="H52" s="26" t="str">
        <x:v>Native taxonomy</x:v>
      </x:c>
      <x:c r="I52" s="26" t="str">
        <x:v>type:</x:v>
      </x:c>
      <x:c r="J52" s="26" t="str">
        <x:v>t:"Chicken"</x:v>
      </x:c>
      <x:c r="K52" s="26" t="str"/>
      <x:c r="L52" s="26" t="str">
        <x:v>chicken</x:v>
      </x:c>
      <x:c r="M52" s="26" t="str">
        <x:v>Translate directly</x:v>
      </x:c>
      <x:c r="N52" s="26" t="str">
        <x:v>Production-ready</x:v>
      </x:c>
      <x:c r="O52" s="43" t="n">
        <x:v>0.99</x:v>
      </x:c>
      <x:c r="P52" s="26" t="str">
        <x:v>Use for card type/supertype/subtype intent, not for art or rules-text mentions.</x:v>
      </x:c>
      <x:c r="Q52" s="26" t="str">
        <x:v>https://scryfall.com/docs/syntax</x:v>
      </x:c>
      <x:c r="R52" s="26" t="str">
        <x:v>2026-08-21</x:v>
      </x:c>
    </x:row>
    <x:row r="53">
      <x:c r="A53" s="26" t="str">
        <x:v>CreatureTypes!A49</x:v>
      </x:c>
      <x:c r="B53" s="26" t="str">
        <x:v>Creature Type</x:v>
      </x:c>
      <x:c r="C53" s="26" t="str">
        <x:v>Child</x:v>
      </x:c>
      <x:c r="D53" s="26" t="str">
        <x:v>Type/subtype</x:v>
      </x:c>
      <x:c r="E53" s="26"/>
      <x:c r="F53" s="26" t="str">
        <x:v>t:"Child"</x:v>
      </x:c>
      <x:c r="G53" s="26" t="str">
        <x:v>High</x:v>
      </x:c>
      <x:c r="H53" s="26" t="str">
        <x:v>Native taxonomy</x:v>
      </x:c>
      <x:c r="I53" s="26" t="str">
        <x:v>type:</x:v>
      </x:c>
      <x:c r="J53" s="26" t="str">
        <x:v>t:"Child"</x:v>
      </x:c>
      <x:c r="K53" s="26" t="str"/>
      <x:c r="L53" s="26" t="str">
        <x:v>child</x:v>
      </x:c>
      <x:c r="M53" s="26" t="str">
        <x:v>Translate directly</x:v>
      </x:c>
      <x:c r="N53" s="26" t="str">
        <x:v>Production-ready</x:v>
      </x:c>
      <x:c r="O53" s="43" t="n">
        <x:v>0.99</x:v>
      </x:c>
      <x:c r="P53" s="26" t="str">
        <x:v>Use for card type/supertype/subtype intent, not for art or rules-text mentions.</x:v>
      </x:c>
      <x:c r="Q53" s="26" t="str">
        <x:v>https://scryfall.com/docs/syntax</x:v>
      </x:c>
      <x:c r="R53" s="26" t="str">
        <x:v>2026-08-21</x:v>
      </x:c>
    </x:row>
    <x:row r="54">
      <x:c r="A54" s="26" t="str">
        <x:v>CreatureTypes!A50</x:v>
      </x:c>
      <x:c r="B54" s="26" t="str">
        <x:v>Creature Type</x:v>
      </x:c>
      <x:c r="C54" s="26" t="str">
        <x:v>Chimera</x:v>
      </x:c>
      <x:c r="D54" s="26" t="str">
        <x:v>Type/subtype</x:v>
      </x:c>
      <x:c r="E54" s="26"/>
      <x:c r="F54" s="26" t="str">
        <x:v>t:"Chimera"</x:v>
      </x:c>
      <x:c r="G54" s="26" t="str">
        <x:v>High</x:v>
      </x:c>
      <x:c r="H54" s="26" t="str">
        <x:v>Native taxonomy</x:v>
      </x:c>
      <x:c r="I54" s="26" t="str">
        <x:v>type:</x:v>
      </x:c>
      <x:c r="J54" s="26" t="str">
        <x:v>t:"Chimera"</x:v>
      </x:c>
      <x:c r="K54" s="26" t="str"/>
      <x:c r="L54" s="26" t="str">
        <x:v>chimera</x:v>
      </x:c>
      <x:c r="M54" s="26" t="str">
        <x:v>Translate directly</x:v>
      </x:c>
      <x:c r="N54" s="26" t="str">
        <x:v>Production-ready</x:v>
      </x:c>
      <x:c r="O54" s="43" t="n">
        <x:v>0.99</x:v>
      </x:c>
      <x:c r="P54" s="26" t="str">
        <x:v>Use for card type/supertype/subtype intent, not for art or rules-text mentions.</x:v>
      </x:c>
      <x:c r="Q54" s="26" t="str">
        <x:v>https://scryfall.com/docs/syntax</x:v>
      </x:c>
      <x:c r="R54" s="26" t="str">
        <x:v>2026-08-21</x:v>
      </x:c>
    </x:row>
    <x:row r="55">
      <x:c r="A55" s="26" t="str">
        <x:v>CreatureTypes!A51</x:v>
      </x:c>
      <x:c r="B55" s="26" t="str">
        <x:v>Creature Type</x:v>
      </x:c>
      <x:c r="C55" s="26" t="str">
        <x:v>Citizen</x:v>
      </x:c>
      <x:c r="D55" s="26" t="str">
        <x:v>Type/subtype</x:v>
      </x:c>
      <x:c r="E55" s="26"/>
      <x:c r="F55" s="26" t="str">
        <x:v>t:"Citizen"</x:v>
      </x:c>
      <x:c r="G55" s="26" t="str">
        <x:v>High</x:v>
      </x:c>
      <x:c r="H55" s="26" t="str">
        <x:v>Native taxonomy</x:v>
      </x:c>
      <x:c r="I55" s="26" t="str">
        <x:v>type:</x:v>
      </x:c>
      <x:c r="J55" s="26" t="str">
        <x:v>t:"Citizen"</x:v>
      </x:c>
      <x:c r="K55" s="26" t="str"/>
      <x:c r="L55" s="26" t="str">
        <x:v>citizen</x:v>
      </x:c>
      <x:c r="M55" s="26" t="str">
        <x:v>Translate directly</x:v>
      </x:c>
      <x:c r="N55" s="26" t="str">
        <x:v>Production-ready</x:v>
      </x:c>
      <x:c r="O55" s="43" t="n">
        <x:v>0.99</x:v>
      </x:c>
      <x:c r="P55" s="26" t="str">
        <x:v>Use for card type/supertype/subtype intent, not for art or rules-text mentions.</x:v>
      </x:c>
      <x:c r="Q55" s="26" t="str">
        <x:v>https://scryfall.com/docs/syntax</x:v>
      </x:c>
      <x:c r="R55" s="26" t="str">
        <x:v>2026-08-21</x:v>
      </x:c>
    </x:row>
    <x:row r="56">
      <x:c r="A56" s="26" t="str">
        <x:v>CreatureTypes!A52</x:v>
      </x:c>
      <x:c r="B56" s="26" t="str">
        <x:v>Creature Type</x:v>
      </x:c>
      <x:c r="C56" s="26" t="str">
        <x:v>Cleric</x:v>
      </x:c>
      <x:c r="D56" s="26" t="str">
        <x:v>Type/subtype</x:v>
      </x:c>
      <x:c r="E56" s="26"/>
      <x:c r="F56" s="26" t="str">
        <x:v>t:"Cleric"</x:v>
      </x:c>
      <x:c r="G56" s="26" t="str">
        <x:v>High</x:v>
      </x:c>
      <x:c r="H56" s="26" t="str">
        <x:v>Native taxonomy</x:v>
      </x:c>
      <x:c r="I56" s="26" t="str">
        <x:v>type:</x:v>
      </x:c>
      <x:c r="J56" s="26" t="str">
        <x:v>t:"Cleric"</x:v>
      </x:c>
      <x:c r="K56" s="26" t="str"/>
      <x:c r="L56" s="26" t="str">
        <x:v>cleric</x:v>
      </x:c>
      <x:c r="M56" s="26" t="str">
        <x:v>Translate directly</x:v>
      </x:c>
      <x:c r="N56" s="26" t="str">
        <x:v>Production-ready</x:v>
      </x:c>
      <x:c r="O56" s="43" t="n">
        <x:v>0.99</x:v>
      </x:c>
      <x:c r="P56" s="26" t="str">
        <x:v>Use for card type/supertype/subtype intent, not for art or rules-text mentions.</x:v>
      </x:c>
      <x:c r="Q56" s="26" t="str">
        <x:v>https://scryfall.com/docs/syntax</x:v>
      </x:c>
      <x:c r="R56" s="26" t="str">
        <x:v>2026-08-21</x:v>
      </x:c>
    </x:row>
    <x:row r="57">
      <x:c r="A57" s="26" t="str">
        <x:v>CreatureTypes!A53</x:v>
      </x:c>
      <x:c r="B57" s="26" t="str">
        <x:v>Creature Type</x:v>
      </x:c>
      <x:c r="C57" s="26" t="str">
        <x:v>Clown</x:v>
      </x:c>
      <x:c r="D57" s="26" t="str">
        <x:v>Type/subtype</x:v>
      </x:c>
      <x:c r="E57" s="26"/>
      <x:c r="F57" s="26" t="str">
        <x:v>t:"Clown"</x:v>
      </x:c>
      <x:c r="G57" s="26" t="str">
        <x:v>High</x:v>
      </x:c>
      <x:c r="H57" s="26" t="str">
        <x:v>Native taxonomy</x:v>
      </x:c>
      <x:c r="I57" s="26" t="str">
        <x:v>type:</x:v>
      </x:c>
      <x:c r="J57" s="26" t="str">
        <x:v>t:"Clown"</x:v>
      </x:c>
      <x:c r="K57" s="26" t="str"/>
      <x:c r="L57" s="26" t="str">
        <x:v>clown</x:v>
      </x:c>
      <x:c r="M57" s="26" t="str">
        <x:v>Translate directly</x:v>
      </x:c>
      <x:c r="N57" s="26" t="str">
        <x:v>Production-ready</x:v>
      </x:c>
      <x:c r="O57" s="43" t="n">
        <x:v>0.99</x:v>
      </x:c>
      <x:c r="P57" s="26" t="str">
        <x:v>Use for card type/supertype/subtype intent, not for art or rules-text mentions.</x:v>
      </x:c>
      <x:c r="Q57" s="26" t="str">
        <x:v>https://scryfall.com/docs/syntax</x:v>
      </x:c>
      <x:c r="R57" s="26" t="str">
        <x:v>2026-08-21</x:v>
      </x:c>
    </x:row>
    <x:row r="58">
      <x:c r="A58" s="26" t="str">
        <x:v>CreatureTypes!A54</x:v>
      </x:c>
      <x:c r="B58" s="26" t="str">
        <x:v>Creature Type</x:v>
      </x:c>
      <x:c r="C58" s="26" t="str">
        <x:v>Cockatrice</x:v>
      </x:c>
      <x:c r="D58" s="26" t="str">
        <x:v>Type/subtype</x:v>
      </x:c>
      <x:c r="E58" s="26"/>
      <x:c r="F58" s="26" t="str">
        <x:v>t:"Cockatrice"</x:v>
      </x:c>
      <x:c r="G58" s="26" t="str">
        <x:v>High</x:v>
      </x:c>
      <x:c r="H58" s="26" t="str">
        <x:v>Native taxonomy</x:v>
      </x:c>
      <x:c r="I58" s="26" t="str">
        <x:v>type:</x:v>
      </x:c>
      <x:c r="J58" s="26" t="str">
        <x:v>t:"Cockatrice"</x:v>
      </x:c>
      <x:c r="K58" s="26" t="str"/>
      <x:c r="L58" s="26" t="str">
        <x:v>cockatrice</x:v>
      </x:c>
      <x:c r="M58" s="26" t="str">
        <x:v>Translate directly</x:v>
      </x:c>
      <x:c r="N58" s="26" t="str">
        <x:v>Production-ready</x:v>
      </x:c>
      <x:c r="O58" s="43" t="n">
        <x:v>0.99</x:v>
      </x:c>
      <x:c r="P58" s="26" t="str">
        <x:v>Use for card type/supertype/subtype intent, not for art or rules-text mentions.</x:v>
      </x:c>
      <x:c r="Q58" s="26" t="str">
        <x:v>https://scryfall.com/docs/syntax</x:v>
      </x:c>
      <x:c r="R58" s="26" t="str">
        <x:v>2026-08-21</x:v>
      </x:c>
    </x:row>
    <x:row r="59">
      <x:c r="A59" s="26" t="str">
        <x:v>CreatureTypes!A55</x:v>
      </x:c>
      <x:c r="B59" s="26" t="str">
        <x:v>Creature Type</x:v>
      </x:c>
      <x:c r="C59" s="26" t="str">
        <x:v>Construct</x:v>
      </x:c>
      <x:c r="D59" s="26" t="str">
        <x:v>Type/subtype</x:v>
      </x:c>
      <x:c r="E59" s="26"/>
      <x:c r="F59" s="26" t="str">
        <x:v>t:"Construct"</x:v>
      </x:c>
      <x:c r="G59" s="26" t="str">
        <x:v>High</x:v>
      </x:c>
      <x:c r="H59" s="26" t="str">
        <x:v>Native taxonomy</x:v>
      </x:c>
      <x:c r="I59" s="26" t="str">
        <x:v>type:</x:v>
      </x:c>
      <x:c r="J59" s="26" t="str">
        <x:v>t:"Construct"</x:v>
      </x:c>
      <x:c r="K59" s="26" t="str"/>
      <x:c r="L59" s="26" t="str">
        <x:v>construct</x:v>
      </x:c>
      <x:c r="M59" s="26" t="str">
        <x:v>Translate directly</x:v>
      </x:c>
      <x:c r="N59" s="26" t="str">
        <x:v>Production-ready</x:v>
      </x:c>
      <x:c r="O59" s="43" t="n">
        <x:v>0.99</x:v>
      </x:c>
      <x:c r="P59" s="26" t="str">
        <x:v>Use for card type/supertype/subtype intent, not for art or rules-text mentions.</x:v>
      </x:c>
      <x:c r="Q59" s="26" t="str">
        <x:v>https://scryfall.com/docs/syntax</x:v>
      </x:c>
      <x:c r="R59" s="26" t="str">
        <x:v>2026-08-21</x:v>
      </x:c>
    </x:row>
    <x:row r="60">
      <x:c r="A60" s="26" t="str">
        <x:v>CreatureTypes!A56</x:v>
      </x:c>
      <x:c r="B60" s="26" t="str">
        <x:v>Creature Type</x:v>
      </x:c>
      <x:c r="C60" s="26" t="str">
        <x:v>Coward</x:v>
      </x:c>
      <x:c r="D60" s="26" t="str">
        <x:v>Type/subtype</x:v>
      </x:c>
      <x:c r="E60" s="26"/>
      <x:c r="F60" s="26" t="str">
        <x:v>t:"Coward"</x:v>
      </x:c>
      <x:c r="G60" s="26" t="str">
        <x:v>High</x:v>
      </x:c>
      <x:c r="H60" s="26" t="str">
        <x:v>Native taxonomy</x:v>
      </x:c>
      <x:c r="I60" s="26" t="str">
        <x:v>type:</x:v>
      </x:c>
      <x:c r="J60" s="26" t="str">
        <x:v>t:"Coward"</x:v>
      </x:c>
      <x:c r="K60" s="26" t="str"/>
      <x:c r="L60" s="26" t="str">
        <x:v>coward</x:v>
      </x:c>
      <x:c r="M60" s="26" t="str">
        <x:v>Translate directly</x:v>
      </x:c>
      <x:c r="N60" s="26" t="str">
        <x:v>Production-ready</x:v>
      </x:c>
      <x:c r="O60" s="43" t="n">
        <x:v>0.99</x:v>
      </x:c>
      <x:c r="P60" s="26" t="str">
        <x:v>Use for card type/supertype/subtype intent, not for art or rules-text mentions.</x:v>
      </x:c>
      <x:c r="Q60" s="26" t="str">
        <x:v>https://scryfall.com/docs/syntax</x:v>
      </x:c>
      <x:c r="R60" s="26" t="str">
        <x:v>2026-08-21</x:v>
      </x:c>
    </x:row>
    <x:row r="61">
      <x:c r="A61" s="26" t="str">
        <x:v>CreatureTypes!A57</x:v>
      </x:c>
      <x:c r="B61" s="26" t="str">
        <x:v>Creature Type</x:v>
      </x:c>
      <x:c r="C61" s="26" t="str">
        <x:v>Coyote</x:v>
      </x:c>
      <x:c r="D61" s="26" t="str">
        <x:v>Type/subtype</x:v>
      </x:c>
      <x:c r="E61" s="26"/>
      <x:c r="F61" s="26" t="str">
        <x:v>t:"Coyote"</x:v>
      </x:c>
      <x:c r="G61" s="26" t="str">
        <x:v>High</x:v>
      </x:c>
      <x:c r="H61" s="26" t="str">
        <x:v>Native taxonomy</x:v>
      </x:c>
      <x:c r="I61" s="26" t="str">
        <x:v>type:</x:v>
      </x:c>
      <x:c r="J61" s="26" t="str">
        <x:v>t:"Coyote"</x:v>
      </x:c>
      <x:c r="K61" s="26" t="str"/>
      <x:c r="L61" s="26" t="str">
        <x:v>coyote</x:v>
      </x:c>
      <x:c r="M61" s="26" t="str">
        <x:v>Translate directly</x:v>
      </x:c>
      <x:c r="N61" s="26" t="str">
        <x:v>Production-ready</x:v>
      </x:c>
      <x:c r="O61" s="43" t="n">
        <x:v>0.99</x:v>
      </x:c>
      <x:c r="P61" s="26" t="str">
        <x:v>Use for card type/supertype/subtype intent, not for art or rules-text mentions.</x:v>
      </x:c>
      <x:c r="Q61" s="26" t="str">
        <x:v>https://scryfall.com/docs/syntax</x:v>
      </x:c>
      <x:c r="R61" s="26" t="str">
        <x:v>2026-08-21</x:v>
      </x:c>
    </x:row>
    <x:row r="62">
      <x:c r="A62" s="26" t="str">
        <x:v>CreatureTypes!A58</x:v>
      </x:c>
      <x:c r="B62" s="26" t="str">
        <x:v>Creature Type</x:v>
      </x:c>
      <x:c r="C62" s="26" t="str">
        <x:v>Crab</x:v>
      </x:c>
      <x:c r="D62" s="26" t="str">
        <x:v>Type/subtype</x:v>
      </x:c>
      <x:c r="E62" s="26"/>
      <x:c r="F62" s="26" t="str">
        <x:v>t:"Crab"</x:v>
      </x:c>
      <x:c r="G62" s="26" t="str">
        <x:v>High</x:v>
      </x:c>
      <x:c r="H62" s="26" t="str">
        <x:v>Native taxonomy</x:v>
      </x:c>
      <x:c r="I62" s="26" t="str">
        <x:v>type:</x:v>
      </x:c>
      <x:c r="J62" s="26" t="str">
        <x:v>t:"Crab"</x:v>
      </x:c>
      <x:c r="K62" s="26" t="str"/>
      <x:c r="L62" s="26" t="str">
        <x:v>crab</x:v>
      </x:c>
      <x:c r="M62" s="26" t="str">
        <x:v>Translate directly</x:v>
      </x:c>
      <x:c r="N62" s="26" t="str">
        <x:v>Production-ready</x:v>
      </x:c>
      <x:c r="O62" s="43" t="n">
        <x:v>0.99</x:v>
      </x:c>
      <x:c r="P62" s="26" t="str">
        <x:v>Use for card type/supertype/subtype intent, not for art or rules-text mentions.</x:v>
      </x:c>
      <x:c r="Q62" s="26" t="str">
        <x:v>https://scryfall.com/docs/syntax</x:v>
      </x:c>
      <x:c r="R62" s="26" t="str">
        <x:v>2026-08-21</x:v>
      </x:c>
    </x:row>
    <x:row r="63">
      <x:c r="A63" s="26" t="str">
        <x:v>CreatureTypes!A59</x:v>
      </x:c>
      <x:c r="B63" s="26" t="str">
        <x:v>Creature Type</x:v>
      </x:c>
      <x:c r="C63" s="26" t="str">
        <x:v>Crocodile</x:v>
      </x:c>
      <x:c r="D63" s="26" t="str">
        <x:v>Type/subtype</x:v>
      </x:c>
      <x:c r="E63" s="26"/>
      <x:c r="F63" s="26" t="str">
        <x:v>t:"Crocodile"</x:v>
      </x:c>
      <x:c r="G63" s="26" t="str">
        <x:v>High</x:v>
      </x:c>
      <x:c r="H63" s="26" t="str">
        <x:v>Native taxonomy</x:v>
      </x:c>
      <x:c r="I63" s="26" t="str">
        <x:v>type:</x:v>
      </x:c>
      <x:c r="J63" s="26" t="str">
        <x:v>t:"Crocodile"</x:v>
      </x:c>
      <x:c r="K63" s="26" t="str"/>
      <x:c r="L63" s="26" t="str">
        <x:v>crocodile</x:v>
      </x:c>
      <x:c r="M63" s="26" t="str">
        <x:v>Translate directly</x:v>
      </x:c>
      <x:c r="N63" s="26" t="str">
        <x:v>Production-ready</x:v>
      </x:c>
      <x:c r="O63" s="43" t="n">
        <x:v>0.99</x:v>
      </x:c>
      <x:c r="P63" s="26" t="str">
        <x:v>Use for card type/supertype/subtype intent, not for art or rules-text mentions.</x:v>
      </x:c>
      <x:c r="Q63" s="26" t="str">
        <x:v>https://scryfall.com/docs/syntax</x:v>
      </x:c>
      <x:c r="R63" s="26" t="str">
        <x:v>2026-08-21</x:v>
      </x:c>
    </x:row>
    <x:row r="64">
      <x:c r="A64" s="26" t="str">
        <x:v>CreatureTypes!A60</x:v>
      </x:c>
      <x:c r="B64" s="26" t="str">
        <x:v>Creature Type</x:v>
      </x:c>
      <x:c r="C64" s="26" t="str">
        <x:v>Custodes</x:v>
      </x:c>
      <x:c r="D64" s="26" t="str">
        <x:v>Type/subtype</x:v>
      </x:c>
      <x:c r="E64" s="26"/>
      <x:c r="F64" s="26" t="str">
        <x:v>t:"Custodes"</x:v>
      </x:c>
      <x:c r="G64" s="26" t="str">
        <x:v>High</x:v>
      </x:c>
      <x:c r="H64" s="26" t="str">
        <x:v>Native taxonomy</x:v>
      </x:c>
      <x:c r="I64" s="26" t="str">
        <x:v>type:</x:v>
      </x:c>
      <x:c r="J64" s="26" t="str">
        <x:v>t:"Custodes"</x:v>
      </x:c>
      <x:c r="K64" s="26" t="str"/>
      <x:c r="L64" s="26" t="str">
        <x:v>custodes</x:v>
      </x:c>
      <x:c r="M64" s="26" t="str">
        <x:v>Translate directly</x:v>
      </x:c>
      <x:c r="N64" s="26" t="str">
        <x:v>Production-ready</x:v>
      </x:c>
      <x:c r="O64" s="43" t="n">
        <x:v>0.99</x:v>
      </x:c>
      <x:c r="P64" s="26" t="str">
        <x:v>Use for card type/supertype/subtype intent, not for art or rules-text mentions.</x:v>
      </x:c>
      <x:c r="Q64" s="26" t="str">
        <x:v>https://scryfall.com/docs/syntax</x:v>
      </x:c>
      <x:c r="R64" s="26" t="str">
        <x:v>2026-08-21</x:v>
      </x:c>
    </x:row>
    <x:row r="65">
      <x:c r="A65" s="26" t="str">
        <x:v>CreatureTypes!A61</x:v>
      </x:c>
      <x:c r="B65" s="26" t="str">
        <x:v>Creature Type</x:v>
      </x:c>
      <x:c r="C65" s="26" t="str">
        <x:v>Cyberman</x:v>
      </x:c>
      <x:c r="D65" s="26" t="str">
        <x:v>Type/subtype</x:v>
      </x:c>
      <x:c r="E65" s="26"/>
      <x:c r="F65" s="26" t="str">
        <x:v>t:"Cyberman"</x:v>
      </x:c>
      <x:c r="G65" s="26" t="str">
        <x:v>High</x:v>
      </x:c>
      <x:c r="H65" s="26" t="str">
        <x:v>Native taxonomy</x:v>
      </x:c>
      <x:c r="I65" s="26" t="str">
        <x:v>type:</x:v>
      </x:c>
      <x:c r="J65" s="26" t="str">
        <x:v>t:"Cyberman"</x:v>
      </x:c>
      <x:c r="K65" s="26" t="str"/>
      <x:c r="L65" s="26" t="str">
        <x:v>cyberman</x:v>
      </x:c>
      <x:c r="M65" s="26" t="str">
        <x:v>Translate directly</x:v>
      </x:c>
      <x:c r="N65" s="26" t="str">
        <x:v>Production-ready</x:v>
      </x:c>
      <x:c r="O65" s="43" t="n">
        <x:v>0.99</x:v>
      </x:c>
      <x:c r="P65" s="26" t="str">
        <x:v>Use for card type/supertype/subtype intent, not for art or rules-text mentions.</x:v>
      </x:c>
      <x:c r="Q65" s="26" t="str">
        <x:v>https://scryfall.com/docs/syntax</x:v>
      </x:c>
      <x:c r="R65" s="26" t="str">
        <x:v>2026-08-21</x:v>
      </x:c>
    </x:row>
    <x:row r="66">
      <x:c r="A66" s="26" t="str">
        <x:v>CreatureTypes!A62</x:v>
      </x:c>
      <x:c r="B66" s="26" t="str">
        <x:v>Creature Type</x:v>
      </x:c>
      <x:c r="C66" s="26" t="str">
        <x:v>Cyclops</x:v>
      </x:c>
      <x:c r="D66" s="26" t="str">
        <x:v>Type/subtype</x:v>
      </x:c>
      <x:c r="E66" s="26"/>
      <x:c r="F66" s="26" t="str">
        <x:v>t:"Cyclops"</x:v>
      </x:c>
      <x:c r="G66" s="26" t="str">
        <x:v>High</x:v>
      </x:c>
      <x:c r="H66" s="26" t="str">
        <x:v>Native taxonomy</x:v>
      </x:c>
      <x:c r="I66" s="26" t="str">
        <x:v>type:</x:v>
      </x:c>
      <x:c r="J66" s="26" t="str">
        <x:v>t:"Cyclops"</x:v>
      </x:c>
      <x:c r="K66" s="26" t="str"/>
      <x:c r="L66" s="26" t="str">
        <x:v>cyclops</x:v>
      </x:c>
      <x:c r="M66" s="26" t="str">
        <x:v>Translate directly</x:v>
      </x:c>
      <x:c r="N66" s="26" t="str">
        <x:v>Production-ready</x:v>
      </x:c>
      <x:c r="O66" s="43" t="n">
        <x:v>0.99</x:v>
      </x:c>
      <x:c r="P66" s="26" t="str">
        <x:v>Use for card type/supertype/subtype intent, not for art or rules-text mentions.</x:v>
      </x:c>
      <x:c r="Q66" s="26" t="str">
        <x:v>https://scryfall.com/docs/syntax</x:v>
      </x:c>
      <x:c r="R66" s="26" t="str">
        <x:v>2026-08-21</x:v>
      </x:c>
    </x:row>
    <x:row r="67">
      <x:c r="A67" s="26" t="str">
        <x:v>CreatureTypes!A63</x:v>
      </x:c>
      <x:c r="B67" s="26" t="str">
        <x:v>Creature Type</x:v>
      </x:c>
      <x:c r="C67" s="26" t="str">
        <x:v>Dalek</x:v>
      </x:c>
      <x:c r="D67" s="26" t="str">
        <x:v>Type/subtype</x:v>
      </x:c>
      <x:c r="E67" s="26"/>
      <x:c r="F67" s="26" t="str">
        <x:v>t:"Dalek"</x:v>
      </x:c>
      <x:c r="G67" s="26" t="str">
        <x:v>High</x:v>
      </x:c>
      <x:c r="H67" s="26" t="str">
        <x:v>Native taxonomy</x:v>
      </x:c>
      <x:c r="I67" s="26" t="str">
        <x:v>type:</x:v>
      </x:c>
      <x:c r="J67" s="26" t="str">
        <x:v>t:"Dalek"</x:v>
      </x:c>
      <x:c r="K67" s="26" t="str"/>
      <x:c r="L67" s="26" t="str">
        <x:v>dalek</x:v>
      </x:c>
      <x:c r="M67" s="26" t="str">
        <x:v>Translate directly</x:v>
      </x:c>
      <x:c r="N67" s="26" t="str">
        <x:v>Production-ready</x:v>
      </x:c>
      <x:c r="O67" s="43" t="n">
        <x:v>0.99</x:v>
      </x:c>
      <x:c r="P67" s="26" t="str">
        <x:v>Use for card type/supertype/subtype intent, not for art or rules-text mentions.</x:v>
      </x:c>
      <x:c r="Q67" s="26" t="str">
        <x:v>https://scryfall.com/docs/syntax</x:v>
      </x:c>
      <x:c r="R67" s="26" t="str">
        <x:v>2026-08-21</x:v>
      </x:c>
    </x:row>
    <x:row r="68">
      <x:c r="A68" s="26" t="str">
        <x:v>CreatureTypes!A64</x:v>
      </x:c>
      <x:c r="B68" s="26" t="str">
        <x:v>Creature Type</x:v>
      </x:c>
      <x:c r="C68" s="26" t="str">
        <x:v>Dauthi</x:v>
      </x:c>
      <x:c r="D68" s="26" t="str">
        <x:v>Type/subtype</x:v>
      </x:c>
      <x:c r="E68" s="26"/>
      <x:c r="F68" s="26" t="str">
        <x:v>t:"Dauthi"</x:v>
      </x:c>
      <x:c r="G68" s="26" t="str">
        <x:v>High</x:v>
      </x:c>
      <x:c r="H68" s="26" t="str">
        <x:v>Native taxonomy</x:v>
      </x:c>
      <x:c r="I68" s="26" t="str">
        <x:v>type:</x:v>
      </x:c>
      <x:c r="J68" s="26" t="str">
        <x:v>t:"Dauthi"</x:v>
      </x:c>
      <x:c r="K68" s="26" t="str"/>
      <x:c r="L68" s="26" t="str">
        <x:v>dauthi</x:v>
      </x:c>
      <x:c r="M68" s="26" t="str">
        <x:v>Translate directly</x:v>
      </x:c>
      <x:c r="N68" s="26" t="str">
        <x:v>Production-ready</x:v>
      </x:c>
      <x:c r="O68" s="43" t="n">
        <x:v>0.99</x:v>
      </x:c>
      <x:c r="P68" s="26" t="str">
        <x:v>Use for card type/supertype/subtype intent, not for art or rules-text mentions.</x:v>
      </x:c>
      <x:c r="Q68" s="26" t="str">
        <x:v>https://scryfall.com/docs/syntax</x:v>
      </x:c>
      <x:c r="R68" s="26" t="str">
        <x:v>2026-08-21</x:v>
      </x:c>
    </x:row>
    <x:row r="69">
      <x:c r="A69" s="26" t="str">
        <x:v>CreatureTypes!A65</x:v>
      </x:c>
      <x:c r="B69" s="26" t="str">
        <x:v>Creature Type</x:v>
      </x:c>
      <x:c r="C69" s="26" t="str">
        <x:v>Demigod</x:v>
      </x:c>
      <x:c r="D69" s="26" t="str">
        <x:v>Type/subtype</x:v>
      </x:c>
      <x:c r="E69" s="26"/>
      <x:c r="F69" s="26" t="str">
        <x:v>t:"Demigod"</x:v>
      </x:c>
      <x:c r="G69" s="26" t="str">
        <x:v>High</x:v>
      </x:c>
      <x:c r="H69" s="26" t="str">
        <x:v>Native taxonomy</x:v>
      </x:c>
      <x:c r="I69" s="26" t="str">
        <x:v>type:</x:v>
      </x:c>
      <x:c r="J69" s="26" t="str">
        <x:v>t:"Demigod"</x:v>
      </x:c>
      <x:c r="K69" s="26" t="str"/>
      <x:c r="L69" s="26" t="str">
        <x:v>demigod</x:v>
      </x:c>
      <x:c r="M69" s="26" t="str">
        <x:v>Translate directly</x:v>
      </x:c>
      <x:c r="N69" s="26" t="str">
        <x:v>Production-ready</x:v>
      </x:c>
      <x:c r="O69" s="43" t="n">
        <x:v>0.99</x:v>
      </x:c>
      <x:c r="P69" s="26" t="str">
        <x:v>Use for card type/supertype/subtype intent, not for art or rules-text mentions.</x:v>
      </x:c>
      <x:c r="Q69" s="26" t="str">
        <x:v>https://scryfall.com/docs/syntax</x:v>
      </x:c>
      <x:c r="R69" s="26" t="str">
        <x:v>2026-08-21</x:v>
      </x:c>
    </x:row>
    <x:row r="70">
      <x:c r="A70" s="26" t="str">
        <x:v>CreatureTypes!A66</x:v>
      </x:c>
      <x:c r="B70" s="26" t="str">
        <x:v>Creature Type</x:v>
      </x:c>
      <x:c r="C70" s="26" t="str">
        <x:v>Demon</x:v>
      </x:c>
      <x:c r="D70" s="26" t="str">
        <x:v>Type/subtype</x:v>
      </x:c>
      <x:c r="E70" s="26"/>
      <x:c r="F70" s="26" t="str">
        <x:v>t:"Demon"</x:v>
      </x:c>
      <x:c r="G70" s="26" t="str">
        <x:v>High</x:v>
      </x:c>
      <x:c r="H70" s="26" t="str">
        <x:v>Native taxonomy</x:v>
      </x:c>
      <x:c r="I70" s="26" t="str">
        <x:v>type:</x:v>
      </x:c>
      <x:c r="J70" s="26" t="str">
        <x:v>t:"Demon"</x:v>
      </x:c>
      <x:c r="K70" s="26" t="str"/>
      <x:c r="L70" s="26" t="str">
        <x:v>demon</x:v>
      </x:c>
      <x:c r="M70" s="26" t="str">
        <x:v>Translate directly</x:v>
      </x:c>
      <x:c r="N70" s="26" t="str">
        <x:v>Production-ready</x:v>
      </x:c>
      <x:c r="O70" s="43" t="n">
        <x:v>0.99</x:v>
      </x:c>
      <x:c r="P70" s="26" t="str">
        <x:v>Use for card type/supertype/subtype intent, not for art or rules-text mentions.</x:v>
      </x:c>
      <x:c r="Q70" s="26" t="str">
        <x:v>https://scryfall.com/docs/syntax</x:v>
      </x:c>
      <x:c r="R70" s="26" t="str">
        <x:v>2026-08-21</x:v>
      </x:c>
    </x:row>
    <x:row r="71">
      <x:c r="A71" s="26" t="str">
        <x:v>CreatureTypes!A67</x:v>
      </x:c>
      <x:c r="B71" s="26" t="str">
        <x:v>Creature Type</x:v>
      </x:c>
      <x:c r="C71" s="26" t="str">
        <x:v>Deserter</x:v>
      </x:c>
      <x:c r="D71" s="26" t="str">
        <x:v>Type/subtype</x:v>
      </x:c>
      <x:c r="E71" s="26"/>
      <x:c r="F71" s="26" t="str">
        <x:v>t:"Deserter"</x:v>
      </x:c>
      <x:c r="G71" s="26" t="str">
        <x:v>High</x:v>
      </x:c>
      <x:c r="H71" s="26" t="str">
        <x:v>Native taxonomy</x:v>
      </x:c>
      <x:c r="I71" s="26" t="str">
        <x:v>type:</x:v>
      </x:c>
      <x:c r="J71" s="26" t="str">
        <x:v>t:"Deserter"</x:v>
      </x:c>
      <x:c r="K71" s="26" t="str"/>
      <x:c r="L71" s="26" t="str">
        <x:v>deserter</x:v>
      </x:c>
      <x:c r="M71" s="26" t="str">
        <x:v>Translate directly</x:v>
      </x:c>
      <x:c r="N71" s="26" t="str">
        <x:v>Production-ready</x:v>
      </x:c>
      <x:c r="O71" s="43" t="n">
        <x:v>0.99</x:v>
      </x:c>
      <x:c r="P71" s="26" t="str">
        <x:v>Use for card type/supertype/subtype intent, not for art or rules-text mentions.</x:v>
      </x:c>
      <x:c r="Q71" s="26" t="str">
        <x:v>https://scryfall.com/docs/syntax</x:v>
      </x:c>
      <x:c r="R71" s="26" t="str">
        <x:v>2026-08-21</x:v>
      </x:c>
    </x:row>
    <x:row r="72">
      <x:c r="A72" s="26" t="str">
        <x:v>CreatureTypes!A68</x:v>
      </x:c>
      <x:c r="B72" s="26" t="str">
        <x:v>Creature Type</x:v>
      </x:c>
      <x:c r="C72" s="26" t="str">
        <x:v>Detective</x:v>
      </x:c>
      <x:c r="D72" s="26" t="str">
        <x:v>Type/subtype</x:v>
      </x:c>
      <x:c r="E72" s="26"/>
      <x:c r="F72" s="26" t="str">
        <x:v>t:"Detective"</x:v>
      </x:c>
      <x:c r="G72" s="26" t="str">
        <x:v>High</x:v>
      </x:c>
      <x:c r="H72" s="26" t="str">
        <x:v>Native taxonomy</x:v>
      </x:c>
      <x:c r="I72" s="26" t="str">
        <x:v>type:</x:v>
      </x:c>
      <x:c r="J72" s="26" t="str">
        <x:v>t:"Detective"</x:v>
      </x:c>
      <x:c r="K72" s="26" t="str"/>
      <x:c r="L72" s="26" t="str">
        <x:v>detective</x:v>
      </x:c>
      <x:c r="M72" s="26" t="str">
        <x:v>Translate directly</x:v>
      </x:c>
      <x:c r="N72" s="26" t="str">
        <x:v>Production-ready</x:v>
      </x:c>
      <x:c r="O72" s="43" t="n">
        <x:v>0.99</x:v>
      </x:c>
      <x:c r="P72" s="26" t="str">
        <x:v>Use for card type/supertype/subtype intent, not for art or rules-text mentions.</x:v>
      </x:c>
      <x:c r="Q72" s="26" t="str">
        <x:v>https://scryfall.com/docs/syntax</x:v>
      </x:c>
      <x:c r="R72" s="26" t="str">
        <x:v>2026-08-21</x:v>
      </x:c>
    </x:row>
    <x:row r="73">
      <x:c r="A73" s="26" t="str">
        <x:v>CreatureTypes!A69</x:v>
      </x:c>
      <x:c r="B73" s="26" t="str">
        <x:v>Creature Type</x:v>
      </x:c>
      <x:c r="C73" s="26" t="str">
        <x:v>Devil</x:v>
      </x:c>
      <x:c r="D73" s="26" t="str">
        <x:v>Type/subtype</x:v>
      </x:c>
      <x:c r="E73" s="26"/>
      <x:c r="F73" s="26" t="str">
        <x:v>t:"Devil"</x:v>
      </x:c>
      <x:c r="G73" s="26" t="str">
        <x:v>High</x:v>
      </x:c>
      <x:c r="H73" s="26" t="str">
        <x:v>Native taxonomy</x:v>
      </x:c>
      <x:c r="I73" s="26" t="str">
        <x:v>type:</x:v>
      </x:c>
      <x:c r="J73" s="26" t="str">
        <x:v>t:"Devil"</x:v>
      </x:c>
      <x:c r="K73" s="26" t="str"/>
      <x:c r="L73" s="26" t="str">
        <x:v>devil</x:v>
      </x:c>
      <x:c r="M73" s="26" t="str">
        <x:v>Translate directly</x:v>
      </x:c>
      <x:c r="N73" s="26" t="str">
        <x:v>Production-ready</x:v>
      </x:c>
      <x:c r="O73" s="43" t="n">
        <x:v>0.99</x:v>
      </x:c>
      <x:c r="P73" s="26" t="str">
        <x:v>Use for card type/supertype/subtype intent, not for art or rules-text mentions.</x:v>
      </x:c>
      <x:c r="Q73" s="26" t="str">
        <x:v>https://scryfall.com/docs/syntax</x:v>
      </x:c>
      <x:c r="R73" s="26" t="str">
        <x:v>2026-08-21</x:v>
      </x:c>
    </x:row>
    <x:row r="74">
      <x:c r="A74" s="26" t="str">
        <x:v>CreatureTypes!A70</x:v>
      </x:c>
      <x:c r="B74" s="26" t="str">
        <x:v>Creature Type</x:v>
      </x:c>
      <x:c r="C74" s="26" t="str">
        <x:v>Dinosaur</x:v>
      </x:c>
      <x:c r="D74" s="26" t="str">
        <x:v>Type/subtype</x:v>
      </x:c>
      <x:c r="E74" s="26"/>
      <x:c r="F74" s="26" t="str">
        <x:v>t:"Dinosaur"</x:v>
      </x:c>
      <x:c r="G74" s="26" t="str">
        <x:v>High</x:v>
      </x:c>
      <x:c r="H74" s="26" t="str">
        <x:v>Native taxonomy</x:v>
      </x:c>
      <x:c r="I74" s="26" t="str">
        <x:v>type:</x:v>
      </x:c>
      <x:c r="J74" s="26" t="str">
        <x:v>t:"Dinosaur"</x:v>
      </x:c>
      <x:c r="K74" s="26" t="str"/>
      <x:c r="L74" s="26" t="str">
        <x:v>dinosaur</x:v>
      </x:c>
      <x:c r="M74" s="26" t="str">
        <x:v>Translate directly</x:v>
      </x:c>
      <x:c r="N74" s="26" t="str">
        <x:v>Production-ready</x:v>
      </x:c>
      <x:c r="O74" s="43" t="n">
        <x:v>0.99</x:v>
      </x:c>
      <x:c r="P74" s="26" t="str">
        <x:v>Use for card type/supertype/subtype intent, not for art or rules-text mentions.</x:v>
      </x:c>
      <x:c r="Q74" s="26" t="str">
        <x:v>https://scryfall.com/docs/syntax</x:v>
      </x:c>
      <x:c r="R74" s="26" t="str">
        <x:v>2026-08-21</x:v>
      </x:c>
    </x:row>
    <x:row r="75">
      <x:c r="A75" s="26" t="str">
        <x:v>CreatureTypes!A71</x:v>
      </x:c>
      <x:c r="B75" s="26" t="str">
        <x:v>Creature Type</x:v>
      </x:c>
      <x:c r="C75" s="26" t="str">
        <x:v>Djinn</x:v>
      </x:c>
      <x:c r="D75" s="26" t="str">
        <x:v>Type/subtype</x:v>
      </x:c>
      <x:c r="E75" s="26"/>
      <x:c r="F75" s="26" t="str">
        <x:v>t:"Djinn"</x:v>
      </x:c>
      <x:c r="G75" s="26" t="str">
        <x:v>High</x:v>
      </x:c>
      <x:c r="H75" s="26" t="str">
        <x:v>Native taxonomy</x:v>
      </x:c>
      <x:c r="I75" s="26" t="str">
        <x:v>type:</x:v>
      </x:c>
      <x:c r="J75" s="26" t="str">
        <x:v>t:"Djinn"</x:v>
      </x:c>
      <x:c r="K75" s="26" t="str"/>
      <x:c r="L75" s="26" t="str">
        <x:v>djinn</x:v>
      </x:c>
      <x:c r="M75" s="26" t="str">
        <x:v>Translate directly</x:v>
      </x:c>
      <x:c r="N75" s="26" t="str">
        <x:v>Production-ready</x:v>
      </x:c>
      <x:c r="O75" s="43" t="n">
        <x:v>0.99</x:v>
      </x:c>
      <x:c r="P75" s="26" t="str">
        <x:v>Use for card type/supertype/subtype intent, not for art or rules-text mentions.</x:v>
      </x:c>
      <x:c r="Q75" s="26" t="str">
        <x:v>https://scryfall.com/docs/syntax</x:v>
      </x:c>
      <x:c r="R75" s="26" t="str">
        <x:v>2026-08-21</x:v>
      </x:c>
    </x:row>
    <x:row r="76">
      <x:c r="A76" s="26" t="str">
        <x:v>CreatureTypes!A72</x:v>
      </x:c>
      <x:c r="B76" s="26" t="str">
        <x:v>Creature Type</x:v>
      </x:c>
      <x:c r="C76" s="26" t="str">
        <x:v>Doctor</x:v>
      </x:c>
      <x:c r="D76" s="26" t="str">
        <x:v>Type/subtype</x:v>
      </x:c>
      <x:c r="E76" s="26"/>
      <x:c r="F76" s="26" t="str">
        <x:v>t:"Doctor"</x:v>
      </x:c>
      <x:c r="G76" s="26" t="str">
        <x:v>High</x:v>
      </x:c>
      <x:c r="H76" s="26" t="str">
        <x:v>Native taxonomy</x:v>
      </x:c>
      <x:c r="I76" s="26" t="str">
        <x:v>type:</x:v>
      </x:c>
      <x:c r="J76" s="26" t="str">
        <x:v>t:"Doctor"</x:v>
      </x:c>
      <x:c r="K76" s="26" t="str"/>
      <x:c r="L76" s="26" t="str">
        <x:v>doctor</x:v>
      </x:c>
      <x:c r="M76" s="26" t="str">
        <x:v>Translate directly</x:v>
      </x:c>
      <x:c r="N76" s="26" t="str">
        <x:v>Production-ready</x:v>
      </x:c>
      <x:c r="O76" s="43" t="n">
        <x:v>0.99</x:v>
      </x:c>
      <x:c r="P76" s="26" t="str">
        <x:v>Use for card type/supertype/subtype intent, not for art or rules-text mentions.</x:v>
      </x:c>
      <x:c r="Q76" s="26" t="str">
        <x:v>https://scryfall.com/docs/syntax</x:v>
      </x:c>
      <x:c r="R76" s="26" t="str">
        <x:v>2026-08-21</x:v>
      </x:c>
    </x:row>
    <x:row r="77">
      <x:c r="A77" s="26" t="str">
        <x:v>CreatureTypes!A73</x:v>
      </x:c>
      <x:c r="B77" s="26" t="str">
        <x:v>Creature Type</x:v>
      </x:c>
      <x:c r="C77" s="26" t="str">
        <x:v>Dog</x:v>
      </x:c>
      <x:c r="D77" s="26" t="str">
        <x:v>Type/subtype</x:v>
      </x:c>
      <x:c r="E77" s="26"/>
      <x:c r="F77" s="26" t="str">
        <x:v>t:"Dog"</x:v>
      </x:c>
      <x:c r="G77" s="26" t="str">
        <x:v>High</x:v>
      </x:c>
      <x:c r="H77" s="26" t="str">
        <x:v>Native taxonomy</x:v>
      </x:c>
      <x:c r="I77" s="26" t="str">
        <x:v>type:</x:v>
      </x:c>
      <x:c r="J77" s="26" t="str">
        <x:v>t:"Dog"</x:v>
      </x:c>
      <x:c r="K77" s="26" t="str"/>
      <x:c r="L77" s="26" t="str">
        <x:v>dog</x:v>
      </x:c>
      <x:c r="M77" s="26" t="str">
        <x:v>Translate directly</x:v>
      </x:c>
      <x:c r="N77" s="26" t="str">
        <x:v>Production-ready</x:v>
      </x:c>
      <x:c r="O77" s="43" t="n">
        <x:v>0.99</x:v>
      </x:c>
      <x:c r="P77" s="26" t="str">
        <x:v>Use for card type/supertype/subtype intent, not for art or rules-text mentions.</x:v>
      </x:c>
      <x:c r="Q77" s="26" t="str">
        <x:v>https://scryfall.com/docs/syntax</x:v>
      </x:c>
      <x:c r="R77" s="26" t="str">
        <x:v>2026-08-21</x:v>
      </x:c>
    </x:row>
    <x:row r="78">
      <x:c r="A78" s="26" t="str">
        <x:v>CreatureTypes!A74</x:v>
      </x:c>
      <x:c r="B78" s="26" t="str">
        <x:v>Creature Type</x:v>
      </x:c>
      <x:c r="C78" s="26" t="str">
        <x:v>Dragon</x:v>
      </x:c>
      <x:c r="D78" s="26" t="str">
        <x:v>Type/subtype</x:v>
      </x:c>
      <x:c r="E78" s="26"/>
      <x:c r="F78" s="26" t="str">
        <x:v>t:"Dragon"</x:v>
      </x:c>
      <x:c r="G78" s="26" t="str">
        <x:v>High</x:v>
      </x:c>
      <x:c r="H78" s="26" t="str">
        <x:v>Native taxonomy</x:v>
      </x:c>
      <x:c r="I78" s="26" t="str">
        <x:v>type:</x:v>
      </x:c>
      <x:c r="J78" s="26" t="str">
        <x:v>t:"Dragon"</x:v>
      </x:c>
      <x:c r="K78" s="26" t="str"/>
      <x:c r="L78" s="26" t="str">
        <x:v>dragon</x:v>
      </x:c>
      <x:c r="M78" s="26" t="str">
        <x:v>Translate directly</x:v>
      </x:c>
      <x:c r="N78" s="26" t="str">
        <x:v>Production-ready</x:v>
      </x:c>
      <x:c r="O78" s="43" t="n">
        <x:v>0.99</x:v>
      </x:c>
      <x:c r="P78" s="26" t="str">
        <x:v>Use for card type/supertype/subtype intent, not for art or rules-text mentions.</x:v>
      </x:c>
      <x:c r="Q78" s="26" t="str">
        <x:v>https://scryfall.com/docs/syntax</x:v>
      </x:c>
      <x:c r="R78" s="26" t="str">
        <x:v>2026-08-21</x:v>
      </x:c>
    </x:row>
    <x:row r="79">
      <x:c r="A79" s="26" t="str">
        <x:v>CreatureTypes!A75</x:v>
      </x:c>
      <x:c r="B79" s="26" t="str">
        <x:v>Creature Type</x:v>
      </x:c>
      <x:c r="C79" s="26" t="str">
        <x:v>Drake</x:v>
      </x:c>
      <x:c r="D79" s="26" t="str">
        <x:v>Type/subtype</x:v>
      </x:c>
      <x:c r="E79" s="26"/>
      <x:c r="F79" s="26" t="str">
        <x:v>t:"Drake"</x:v>
      </x:c>
      <x:c r="G79" s="26" t="str">
        <x:v>High</x:v>
      </x:c>
      <x:c r="H79" s="26" t="str">
        <x:v>Native taxonomy</x:v>
      </x:c>
      <x:c r="I79" s="26" t="str">
        <x:v>type:</x:v>
      </x:c>
      <x:c r="J79" s="26" t="str">
        <x:v>t:"Drake"</x:v>
      </x:c>
      <x:c r="K79" s="26" t="str"/>
      <x:c r="L79" s="26" t="str">
        <x:v>drake</x:v>
      </x:c>
      <x:c r="M79" s="26" t="str">
        <x:v>Translate directly</x:v>
      </x:c>
      <x:c r="N79" s="26" t="str">
        <x:v>Production-ready</x:v>
      </x:c>
      <x:c r="O79" s="43" t="n">
        <x:v>0.99</x:v>
      </x:c>
      <x:c r="P79" s="26" t="str">
        <x:v>Use for card type/supertype/subtype intent, not for art or rules-text mentions.</x:v>
      </x:c>
      <x:c r="Q79" s="26" t="str">
        <x:v>https://scryfall.com/docs/syntax</x:v>
      </x:c>
      <x:c r="R79" s="26" t="str">
        <x:v>2026-08-21</x:v>
      </x:c>
    </x:row>
    <x:row r="80">
      <x:c r="A80" s="26" t="str">
        <x:v>CreatureTypes!A76</x:v>
      </x:c>
      <x:c r="B80" s="26" t="str">
        <x:v>Creature Type</x:v>
      </x:c>
      <x:c r="C80" s="26" t="str">
        <x:v>Dreadnought</x:v>
      </x:c>
      <x:c r="D80" s="26" t="str">
        <x:v>Type/subtype</x:v>
      </x:c>
      <x:c r="E80" s="26"/>
      <x:c r="F80" s="26" t="str">
        <x:v>t:"Dreadnought"</x:v>
      </x:c>
      <x:c r="G80" s="26" t="str">
        <x:v>High</x:v>
      </x:c>
      <x:c r="H80" s="26" t="str">
        <x:v>Native taxonomy</x:v>
      </x:c>
      <x:c r="I80" s="26" t="str">
        <x:v>type:</x:v>
      </x:c>
      <x:c r="J80" s="26" t="str">
        <x:v>t:"Dreadnought"</x:v>
      </x:c>
      <x:c r="K80" s="26" t="str"/>
      <x:c r="L80" s="26" t="str">
        <x:v>dreadnought</x:v>
      </x:c>
      <x:c r="M80" s="26" t="str">
        <x:v>Translate directly</x:v>
      </x:c>
      <x:c r="N80" s="26" t="str">
        <x:v>Production-ready</x:v>
      </x:c>
      <x:c r="O80" s="43" t="n">
        <x:v>0.99</x:v>
      </x:c>
      <x:c r="P80" s="26" t="str">
        <x:v>Use for card type/supertype/subtype intent, not for art or rules-text mentions.</x:v>
      </x:c>
      <x:c r="Q80" s="26" t="str">
        <x:v>https://scryfall.com/docs/syntax</x:v>
      </x:c>
      <x:c r="R80" s="26" t="str">
        <x:v>2026-08-21</x:v>
      </x:c>
    </x:row>
    <x:row r="81">
      <x:c r="A81" s="26" t="str">
        <x:v>CreatureTypes!A77</x:v>
      </x:c>
      <x:c r="B81" s="26" t="str">
        <x:v>Creature Type</x:v>
      </x:c>
      <x:c r="C81" s="26" t="str">
        <x:v>Drix</x:v>
      </x:c>
      <x:c r="D81" s="26" t="str">
        <x:v>Type/subtype</x:v>
      </x:c>
      <x:c r="E81" s="26"/>
      <x:c r="F81" s="26" t="str">
        <x:v>t:"Drix"</x:v>
      </x:c>
      <x:c r="G81" s="26" t="str">
        <x:v>High</x:v>
      </x:c>
      <x:c r="H81" s="26" t="str">
        <x:v>Native taxonomy</x:v>
      </x:c>
      <x:c r="I81" s="26" t="str">
        <x:v>type:</x:v>
      </x:c>
      <x:c r="J81" s="26" t="str">
        <x:v>t:"Drix"</x:v>
      </x:c>
      <x:c r="K81" s="26" t="str"/>
      <x:c r="L81" s="26" t="str">
        <x:v>drix</x:v>
      </x:c>
      <x:c r="M81" s="26" t="str">
        <x:v>Translate directly</x:v>
      </x:c>
      <x:c r="N81" s="26" t="str">
        <x:v>Production-ready</x:v>
      </x:c>
      <x:c r="O81" s="43" t="n">
        <x:v>0.99</x:v>
      </x:c>
      <x:c r="P81" s="26" t="str">
        <x:v>Use for card type/supertype/subtype intent, not for art or rules-text mentions.</x:v>
      </x:c>
      <x:c r="Q81" s="26" t="str">
        <x:v>https://scryfall.com/docs/syntax</x:v>
      </x:c>
      <x:c r="R81" s="26" t="str">
        <x:v>2026-08-21</x:v>
      </x:c>
    </x:row>
    <x:row r="82">
      <x:c r="A82" s="26" t="str">
        <x:v>CreatureTypes!A78</x:v>
      </x:c>
      <x:c r="B82" s="26" t="str">
        <x:v>Creature Type</x:v>
      </x:c>
      <x:c r="C82" s="26" t="str">
        <x:v>Drone</x:v>
      </x:c>
      <x:c r="D82" s="26" t="str">
        <x:v>Type/subtype</x:v>
      </x:c>
      <x:c r="E82" s="26"/>
      <x:c r="F82" s="26" t="str">
        <x:v>t:"Drone"</x:v>
      </x:c>
      <x:c r="G82" s="26" t="str">
        <x:v>High</x:v>
      </x:c>
      <x:c r="H82" s="26" t="str">
        <x:v>Native taxonomy</x:v>
      </x:c>
      <x:c r="I82" s="26" t="str">
        <x:v>type:</x:v>
      </x:c>
      <x:c r="J82" s="26" t="str">
        <x:v>t:"Drone"</x:v>
      </x:c>
      <x:c r="K82" s="26" t="str"/>
      <x:c r="L82" s="26" t="str">
        <x:v>drone</x:v>
      </x:c>
      <x:c r="M82" s="26" t="str">
        <x:v>Translate directly</x:v>
      </x:c>
      <x:c r="N82" s="26" t="str">
        <x:v>Production-ready</x:v>
      </x:c>
      <x:c r="O82" s="43" t="n">
        <x:v>0.99</x:v>
      </x:c>
      <x:c r="P82" s="26" t="str">
        <x:v>Use for card type/supertype/subtype intent, not for art or rules-text mentions.</x:v>
      </x:c>
      <x:c r="Q82" s="26" t="str">
        <x:v>https://scryfall.com/docs/syntax</x:v>
      </x:c>
      <x:c r="R82" s="26" t="str">
        <x:v>2026-08-21</x:v>
      </x:c>
    </x:row>
    <x:row r="83">
      <x:c r="A83" s="26" t="str">
        <x:v>CreatureTypes!A79</x:v>
      </x:c>
      <x:c r="B83" s="26" t="str">
        <x:v>Creature Type</x:v>
      </x:c>
      <x:c r="C83" s="26" t="str">
        <x:v>Druid</x:v>
      </x:c>
      <x:c r="D83" s="26" t="str">
        <x:v>Type/subtype</x:v>
      </x:c>
      <x:c r="E83" s="26"/>
      <x:c r="F83" s="26" t="str">
        <x:v>t:"Druid"</x:v>
      </x:c>
      <x:c r="G83" s="26" t="str">
        <x:v>High</x:v>
      </x:c>
      <x:c r="H83" s="26" t="str">
        <x:v>Native taxonomy</x:v>
      </x:c>
      <x:c r="I83" s="26" t="str">
        <x:v>type:</x:v>
      </x:c>
      <x:c r="J83" s="26" t="str">
        <x:v>t:"Druid"</x:v>
      </x:c>
      <x:c r="K83" s="26" t="str"/>
      <x:c r="L83" s="26" t="str">
        <x:v>druid</x:v>
      </x:c>
      <x:c r="M83" s="26" t="str">
        <x:v>Translate directly</x:v>
      </x:c>
      <x:c r="N83" s="26" t="str">
        <x:v>Production-ready</x:v>
      </x:c>
      <x:c r="O83" s="43" t="n">
        <x:v>0.99</x:v>
      </x:c>
      <x:c r="P83" s="26" t="str">
        <x:v>Use for card type/supertype/subtype intent, not for art or rules-text mentions.</x:v>
      </x:c>
      <x:c r="Q83" s="26" t="str">
        <x:v>https://scryfall.com/docs/syntax</x:v>
      </x:c>
      <x:c r="R83" s="26" t="str">
        <x:v>2026-08-21</x:v>
      </x:c>
    </x:row>
    <x:row r="84">
      <x:c r="A84" s="26" t="str">
        <x:v>CreatureTypes!A80</x:v>
      </x:c>
      <x:c r="B84" s="26" t="str">
        <x:v>Creature Type</x:v>
      </x:c>
      <x:c r="C84" s="26" t="str">
        <x:v>Dryad</x:v>
      </x:c>
      <x:c r="D84" s="26" t="str">
        <x:v>Type/subtype</x:v>
      </x:c>
      <x:c r="E84" s="26"/>
      <x:c r="F84" s="26" t="str">
        <x:v>t:"Dryad"</x:v>
      </x:c>
      <x:c r="G84" s="26" t="str">
        <x:v>High</x:v>
      </x:c>
      <x:c r="H84" s="26" t="str">
        <x:v>Native taxonomy</x:v>
      </x:c>
      <x:c r="I84" s="26" t="str">
        <x:v>type:</x:v>
      </x:c>
      <x:c r="J84" s="26" t="str">
        <x:v>t:"Dryad"</x:v>
      </x:c>
      <x:c r="K84" s="26" t="str"/>
      <x:c r="L84" s="26" t="str">
        <x:v>dryad</x:v>
      </x:c>
      <x:c r="M84" s="26" t="str">
        <x:v>Translate directly</x:v>
      </x:c>
      <x:c r="N84" s="26" t="str">
        <x:v>Production-ready</x:v>
      </x:c>
      <x:c r="O84" s="43" t="n">
        <x:v>0.99</x:v>
      </x:c>
      <x:c r="P84" s="26" t="str">
        <x:v>Use for card type/supertype/subtype intent, not for art or rules-text mentions.</x:v>
      </x:c>
      <x:c r="Q84" s="26" t="str">
        <x:v>https://scryfall.com/docs/syntax</x:v>
      </x:c>
      <x:c r="R84" s="26" t="str">
        <x:v>2026-08-21</x:v>
      </x:c>
    </x:row>
    <x:row r="85">
      <x:c r="A85" s="26" t="str">
        <x:v>CreatureTypes!A81</x:v>
      </x:c>
      <x:c r="B85" s="26" t="str">
        <x:v>Creature Type</x:v>
      </x:c>
      <x:c r="C85" s="26" t="str">
        <x:v>Dwarf</x:v>
      </x:c>
      <x:c r="D85" s="26" t="str">
        <x:v>Type/subtype</x:v>
      </x:c>
      <x:c r="E85" s="26"/>
      <x:c r="F85" s="26" t="str">
        <x:v>t:"Dwarf"</x:v>
      </x:c>
      <x:c r="G85" s="26" t="str">
        <x:v>High</x:v>
      </x:c>
      <x:c r="H85" s="26" t="str">
        <x:v>Native taxonomy</x:v>
      </x:c>
      <x:c r="I85" s="26" t="str">
        <x:v>type:</x:v>
      </x:c>
      <x:c r="J85" s="26" t="str">
        <x:v>t:"Dwarf"</x:v>
      </x:c>
      <x:c r="K85" s="26" t="str"/>
      <x:c r="L85" s="26" t="str">
        <x:v>dwarf</x:v>
      </x:c>
      <x:c r="M85" s="26" t="str">
        <x:v>Translate directly</x:v>
      </x:c>
      <x:c r="N85" s="26" t="str">
        <x:v>Production-ready</x:v>
      </x:c>
      <x:c r="O85" s="43" t="n">
        <x:v>0.99</x:v>
      </x:c>
      <x:c r="P85" s="26" t="str">
        <x:v>Use for card type/supertype/subtype intent, not for art or rules-text mentions.</x:v>
      </x:c>
      <x:c r="Q85" s="26" t="str">
        <x:v>https://scryfall.com/docs/syntax</x:v>
      </x:c>
      <x:c r="R85" s="26" t="str">
        <x:v>2026-08-21</x:v>
      </x:c>
    </x:row>
    <x:row r="86">
      <x:c r="A86" s="26" t="str">
        <x:v>CreatureTypes!A82</x:v>
      </x:c>
      <x:c r="B86" s="26" t="str">
        <x:v>Creature Type</x:v>
      </x:c>
      <x:c r="C86" s="26" t="str">
        <x:v>Echidna</x:v>
      </x:c>
      <x:c r="D86" s="26" t="str">
        <x:v>Type/subtype</x:v>
      </x:c>
      <x:c r="E86" s="26"/>
      <x:c r="F86" s="26" t="str">
        <x:v>t:"Echidna"</x:v>
      </x:c>
      <x:c r="G86" s="26" t="str">
        <x:v>High</x:v>
      </x:c>
      <x:c r="H86" s="26" t="str">
        <x:v>Native taxonomy</x:v>
      </x:c>
      <x:c r="I86" s="26" t="str">
        <x:v>type:</x:v>
      </x:c>
      <x:c r="J86" s="26" t="str">
        <x:v>t:"Echidna"</x:v>
      </x:c>
      <x:c r="K86" s="26" t="str"/>
      <x:c r="L86" s="26" t="str">
        <x:v>echidna</x:v>
      </x:c>
      <x:c r="M86" s="26" t="str">
        <x:v>Translate directly</x:v>
      </x:c>
      <x:c r="N86" s="26" t="str">
        <x:v>Production-ready</x:v>
      </x:c>
      <x:c r="O86" s="43" t="n">
        <x:v>0.99</x:v>
      </x:c>
      <x:c r="P86" s="26" t="str">
        <x:v>Use for card type/supertype/subtype intent, not for art or rules-text mentions.</x:v>
      </x:c>
      <x:c r="Q86" s="26" t="str">
        <x:v>https://scryfall.com/docs/syntax</x:v>
      </x:c>
      <x:c r="R86" s="26" t="str">
        <x:v>2026-08-21</x:v>
      </x:c>
    </x:row>
    <x:row r="87">
      <x:c r="A87" s="26" t="str">
        <x:v>CreatureTypes!A83</x:v>
      </x:c>
      <x:c r="B87" s="26" t="str">
        <x:v>Creature Type</x:v>
      </x:c>
      <x:c r="C87" s="26" t="str">
        <x:v>Efreet</x:v>
      </x:c>
      <x:c r="D87" s="26" t="str">
        <x:v>Type/subtype</x:v>
      </x:c>
      <x:c r="E87" s="26"/>
      <x:c r="F87" s="26" t="str">
        <x:v>t:"Efreet"</x:v>
      </x:c>
      <x:c r="G87" s="26" t="str">
        <x:v>High</x:v>
      </x:c>
      <x:c r="H87" s="26" t="str">
        <x:v>Native taxonomy</x:v>
      </x:c>
      <x:c r="I87" s="26" t="str">
        <x:v>type:</x:v>
      </x:c>
      <x:c r="J87" s="26" t="str">
        <x:v>t:"Efreet"</x:v>
      </x:c>
      <x:c r="K87" s="26" t="str"/>
      <x:c r="L87" s="26" t="str">
        <x:v>efreet</x:v>
      </x:c>
      <x:c r="M87" s="26" t="str">
        <x:v>Translate directly</x:v>
      </x:c>
      <x:c r="N87" s="26" t="str">
        <x:v>Production-ready</x:v>
      </x:c>
      <x:c r="O87" s="43" t="n">
        <x:v>0.99</x:v>
      </x:c>
      <x:c r="P87" s="26" t="str">
        <x:v>Use for card type/supertype/subtype intent, not for art or rules-text mentions.</x:v>
      </x:c>
      <x:c r="Q87" s="26" t="str">
        <x:v>https://scryfall.com/docs/syntax</x:v>
      </x:c>
      <x:c r="R87" s="26" t="str">
        <x:v>2026-08-21</x:v>
      </x:c>
    </x:row>
    <x:row r="88">
      <x:c r="A88" s="26" t="str">
        <x:v>CreatureTypes!A84</x:v>
      </x:c>
      <x:c r="B88" s="26" t="str">
        <x:v>Creature Type</x:v>
      </x:c>
      <x:c r="C88" s="26" t="str">
        <x:v>Egg</x:v>
      </x:c>
      <x:c r="D88" s="26" t="str">
        <x:v>Type/subtype</x:v>
      </x:c>
      <x:c r="E88" s="26"/>
      <x:c r="F88" s="26" t="str">
        <x:v>t:"Egg"</x:v>
      </x:c>
      <x:c r="G88" s="26" t="str">
        <x:v>High</x:v>
      </x:c>
      <x:c r="H88" s="26" t="str">
        <x:v>Native taxonomy</x:v>
      </x:c>
      <x:c r="I88" s="26" t="str">
        <x:v>type:</x:v>
      </x:c>
      <x:c r="J88" s="26" t="str">
        <x:v>t:"Egg"</x:v>
      </x:c>
      <x:c r="K88" s="26" t="str"/>
      <x:c r="L88" s="26" t="str">
        <x:v>egg</x:v>
      </x:c>
      <x:c r="M88" s="26" t="str">
        <x:v>Translate directly</x:v>
      </x:c>
      <x:c r="N88" s="26" t="str">
        <x:v>Production-ready</x:v>
      </x:c>
      <x:c r="O88" s="43" t="n">
        <x:v>0.99</x:v>
      </x:c>
      <x:c r="P88" s="26" t="str">
        <x:v>Use for card type/supertype/subtype intent, not for art or rules-text mentions.</x:v>
      </x:c>
      <x:c r="Q88" s="26" t="str">
        <x:v>https://scryfall.com/docs/syntax</x:v>
      </x:c>
      <x:c r="R88" s="26" t="str">
        <x:v>2026-08-21</x:v>
      </x:c>
    </x:row>
    <x:row r="89">
      <x:c r="A89" s="26" t="str">
        <x:v>CreatureTypes!A85</x:v>
      </x:c>
      <x:c r="B89" s="26" t="str">
        <x:v>Creature Type</x:v>
      </x:c>
      <x:c r="C89" s="26" t="str">
        <x:v>Elder</x:v>
      </x:c>
      <x:c r="D89" s="26" t="str">
        <x:v>Type/subtype</x:v>
      </x:c>
      <x:c r="E89" s="26"/>
      <x:c r="F89" s="26" t="str">
        <x:v>t:"Elder"</x:v>
      </x:c>
      <x:c r="G89" s="26" t="str">
        <x:v>High</x:v>
      </x:c>
      <x:c r="H89" s="26" t="str">
        <x:v>Native taxonomy</x:v>
      </x:c>
      <x:c r="I89" s="26" t="str">
        <x:v>type:</x:v>
      </x:c>
      <x:c r="J89" s="26" t="str">
        <x:v>t:"Elder"</x:v>
      </x:c>
      <x:c r="K89" s="26" t="str"/>
      <x:c r="L89" s="26" t="str">
        <x:v>elder</x:v>
      </x:c>
      <x:c r="M89" s="26" t="str">
        <x:v>Translate directly</x:v>
      </x:c>
      <x:c r="N89" s="26" t="str">
        <x:v>Production-ready</x:v>
      </x:c>
      <x:c r="O89" s="43" t="n">
        <x:v>0.99</x:v>
      </x:c>
      <x:c r="P89" s="26" t="str">
        <x:v>Use for card type/supertype/subtype intent, not for art or rules-text mentions.</x:v>
      </x:c>
      <x:c r="Q89" s="26" t="str">
        <x:v>https://scryfall.com/docs/syntax</x:v>
      </x:c>
      <x:c r="R89" s="26" t="str">
        <x:v>2026-08-21</x:v>
      </x:c>
    </x:row>
    <x:row r="90">
      <x:c r="A90" s="26" t="str">
        <x:v>CreatureTypes!A86</x:v>
      </x:c>
      <x:c r="B90" s="26" t="str">
        <x:v>Creature Type</x:v>
      </x:c>
      <x:c r="C90" s="26" t="str">
        <x:v>Eldrazi</x:v>
      </x:c>
      <x:c r="D90" s="26" t="str">
        <x:v>Type/subtype</x:v>
      </x:c>
      <x:c r="E90" s="26"/>
      <x:c r="F90" s="26" t="str">
        <x:v>t:"Eldrazi"</x:v>
      </x:c>
      <x:c r="G90" s="26" t="str">
        <x:v>High</x:v>
      </x:c>
      <x:c r="H90" s="26" t="str">
        <x:v>Native taxonomy</x:v>
      </x:c>
      <x:c r="I90" s="26" t="str">
        <x:v>type:</x:v>
      </x:c>
      <x:c r="J90" s="26" t="str">
        <x:v>t:"Eldrazi"</x:v>
      </x:c>
      <x:c r="K90" s="26" t="str"/>
      <x:c r="L90" s="26" t="str">
        <x:v>eldrazi</x:v>
      </x:c>
      <x:c r="M90" s="26" t="str">
        <x:v>Translate directly</x:v>
      </x:c>
      <x:c r="N90" s="26" t="str">
        <x:v>Production-ready</x:v>
      </x:c>
      <x:c r="O90" s="43" t="n">
        <x:v>0.99</x:v>
      </x:c>
      <x:c r="P90" s="26" t="str">
        <x:v>Use for card type/supertype/subtype intent, not for art or rules-text mentions.</x:v>
      </x:c>
      <x:c r="Q90" s="26" t="str">
        <x:v>https://scryfall.com/docs/syntax</x:v>
      </x:c>
      <x:c r="R90" s="26" t="str">
        <x:v>2026-08-21</x:v>
      </x:c>
    </x:row>
    <x:row r="91">
      <x:c r="A91" s="26" t="str">
        <x:v>CreatureTypes!A87</x:v>
      </x:c>
      <x:c r="B91" s="26" t="str">
        <x:v>Creature Type</x:v>
      </x:c>
      <x:c r="C91" s="26" t="str">
        <x:v>Elemental</x:v>
      </x:c>
      <x:c r="D91" s="26" t="str">
        <x:v>Type/subtype</x:v>
      </x:c>
      <x:c r="E91" s="26"/>
      <x:c r="F91" s="26" t="str">
        <x:v>t:"Elemental"</x:v>
      </x:c>
      <x:c r="G91" s="26" t="str">
        <x:v>High</x:v>
      </x:c>
      <x:c r="H91" s="26" t="str">
        <x:v>Native taxonomy</x:v>
      </x:c>
      <x:c r="I91" s="26" t="str">
        <x:v>type:</x:v>
      </x:c>
      <x:c r="J91" s="26" t="str">
        <x:v>t:"Elemental"</x:v>
      </x:c>
      <x:c r="K91" s="26" t="str"/>
      <x:c r="L91" s="26" t="str">
        <x:v>elemental</x:v>
      </x:c>
      <x:c r="M91" s="26" t="str">
        <x:v>Translate directly</x:v>
      </x:c>
      <x:c r="N91" s="26" t="str">
        <x:v>Production-ready</x:v>
      </x:c>
      <x:c r="O91" s="43" t="n">
        <x:v>0.99</x:v>
      </x:c>
      <x:c r="P91" s="26" t="str">
        <x:v>Use for card type/supertype/subtype intent, not for art or rules-text mentions.</x:v>
      </x:c>
      <x:c r="Q91" s="26" t="str">
        <x:v>https://scryfall.com/docs/syntax</x:v>
      </x:c>
      <x:c r="R91" s="26" t="str">
        <x:v>2026-08-21</x:v>
      </x:c>
    </x:row>
    <x:row r="92">
      <x:c r="A92" s="26" t="str">
        <x:v>CreatureTypes!A88</x:v>
      </x:c>
      <x:c r="B92" s="26" t="str">
        <x:v>Creature Type</x:v>
      </x:c>
      <x:c r="C92" s="26" t="str">
        <x:v>Elephant</x:v>
      </x:c>
      <x:c r="D92" s="26" t="str">
        <x:v>Type/subtype</x:v>
      </x:c>
      <x:c r="E92" s="26"/>
      <x:c r="F92" s="26" t="str">
        <x:v>t:"Elephant"</x:v>
      </x:c>
      <x:c r="G92" s="26" t="str">
        <x:v>High</x:v>
      </x:c>
      <x:c r="H92" s="26" t="str">
        <x:v>Native taxonomy</x:v>
      </x:c>
      <x:c r="I92" s="26" t="str">
        <x:v>type:</x:v>
      </x:c>
      <x:c r="J92" s="26" t="str">
        <x:v>t:"Elephant"</x:v>
      </x:c>
      <x:c r="K92" s="26" t="str"/>
      <x:c r="L92" s="26" t="str">
        <x:v>elephant</x:v>
      </x:c>
      <x:c r="M92" s="26" t="str">
        <x:v>Translate directly</x:v>
      </x:c>
      <x:c r="N92" s="26" t="str">
        <x:v>Production-ready</x:v>
      </x:c>
      <x:c r="O92" s="43" t="n">
        <x:v>0.99</x:v>
      </x:c>
      <x:c r="P92" s="26" t="str">
        <x:v>Use for card type/supertype/subtype intent, not for art or rules-text mentions.</x:v>
      </x:c>
      <x:c r="Q92" s="26" t="str">
        <x:v>https://scryfall.com/docs/syntax</x:v>
      </x:c>
      <x:c r="R92" s="26" t="str">
        <x:v>2026-08-21</x:v>
      </x:c>
    </x:row>
    <x:row r="93">
      <x:c r="A93" s="26" t="str">
        <x:v>CreatureTypes!A89</x:v>
      </x:c>
      <x:c r="B93" s="26" t="str">
        <x:v>Creature Type</x:v>
      </x:c>
      <x:c r="C93" s="26" t="str">
        <x:v>Elf</x:v>
      </x:c>
      <x:c r="D93" s="26" t="str">
        <x:v>Type/subtype</x:v>
      </x:c>
      <x:c r="E93" s="26"/>
      <x:c r="F93" s="26" t="str">
        <x:v>t:"Elf"</x:v>
      </x:c>
      <x:c r="G93" s="26" t="str">
        <x:v>High</x:v>
      </x:c>
      <x:c r="H93" s="26" t="str">
        <x:v>Native taxonomy</x:v>
      </x:c>
      <x:c r="I93" s="26" t="str">
        <x:v>type:</x:v>
      </x:c>
      <x:c r="J93" s="26" t="str">
        <x:v>t:"Elf"</x:v>
      </x:c>
      <x:c r="K93" s="26" t="str"/>
      <x:c r="L93" s="26" t="str">
        <x:v>elf</x:v>
      </x:c>
      <x:c r="M93" s="26" t="str">
        <x:v>Translate directly</x:v>
      </x:c>
      <x:c r="N93" s="26" t="str">
        <x:v>Production-ready</x:v>
      </x:c>
      <x:c r="O93" s="43" t="n">
        <x:v>0.99</x:v>
      </x:c>
      <x:c r="P93" s="26" t="str">
        <x:v>Use for card type/supertype/subtype intent, not for art or rules-text mentions.</x:v>
      </x:c>
      <x:c r="Q93" s="26" t="str">
        <x:v>https://scryfall.com/docs/syntax</x:v>
      </x:c>
      <x:c r="R93" s="26" t="str">
        <x:v>2026-08-21</x:v>
      </x:c>
    </x:row>
    <x:row r="94">
      <x:c r="A94" s="26" t="str">
        <x:v>CreatureTypes!A90</x:v>
      </x:c>
      <x:c r="B94" s="26" t="str">
        <x:v>Creature Type</x:v>
      </x:c>
      <x:c r="C94" s="26" t="str">
        <x:v>Elk</x:v>
      </x:c>
      <x:c r="D94" s="26" t="str">
        <x:v>Type/subtype</x:v>
      </x:c>
      <x:c r="E94" s="26"/>
      <x:c r="F94" s="26" t="str">
        <x:v>t:"Elk"</x:v>
      </x:c>
      <x:c r="G94" s="26" t="str">
        <x:v>High</x:v>
      </x:c>
      <x:c r="H94" s="26" t="str">
        <x:v>Native taxonomy</x:v>
      </x:c>
      <x:c r="I94" s="26" t="str">
        <x:v>type:</x:v>
      </x:c>
      <x:c r="J94" s="26" t="str">
        <x:v>t:"Elk"</x:v>
      </x:c>
      <x:c r="K94" s="26" t="str"/>
      <x:c r="L94" s="26" t="str">
        <x:v>elk</x:v>
      </x:c>
      <x:c r="M94" s="26" t="str">
        <x:v>Translate directly</x:v>
      </x:c>
      <x:c r="N94" s="26" t="str">
        <x:v>Production-ready</x:v>
      </x:c>
      <x:c r="O94" s="43" t="n">
        <x:v>0.99</x:v>
      </x:c>
      <x:c r="P94" s="26" t="str">
        <x:v>Use for card type/supertype/subtype intent, not for art or rules-text mentions.</x:v>
      </x:c>
      <x:c r="Q94" s="26" t="str">
        <x:v>https://scryfall.com/docs/syntax</x:v>
      </x:c>
      <x:c r="R94" s="26" t="str">
        <x:v>2026-08-21</x:v>
      </x:c>
    </x:row>
    <x:row r="95">
      <x:c r="A95" s="26" t="str">
        <x:v>CreatureTypes!A91</x:v>
      </x:c>
      <x:c r="B95" s="26" t="str">
        <x:v>Creature Type</x:v>
      </x:c>
      <x:c r="C95" s="26" t="str">
        <x:v>Employee</x:v>
      </x:c>
      <x:c r="D95" s="26" t="str">
        <x:v>Type/subtype</x:v>
      </x:c>
      <x:c r="E95" s="26"/>
      <x:c r="F95" s="26" t="str">
        <x:v>t:"Employee"</x:v>
      </x:c>
      <x:c r="G95" s="26" t="str">
        <x:v>High</x:v>
      </x:c>
      <x:c r="H95" s="26" t="str">
        <x:v>Native taxonomy</x:v>
      </x:c>
      <x:c r="I95" s="26" t="str">
        <x:v>type:</x:v>
      </x:c>
      <x:c r="J95" s="26" t="str">
        <x:v>t:"Employee"</x:v>
      </x:c>
      <x:c r="K95" s="26" t="str"/>
      <x:c r="L95" s="26" t="str">
        <x:v>employee</x:v>
      </x:c>
      <x:c r="M95" s="26" t="str">
        <x:v>Translate directly</x:v>
      </x:c>
      <x:c r="N95" s="26" t="str">
        <x:v>Production-ready</x:v>
      </x:c>
      <x:c r="O95" s="43" t="n">
        <x:v>0.99</x:v>
      </x:c>
      <x:c r="P95" s="26" t="str">
        <x:v>Use for card type/supertype/subtype intent, not for art or rules-text mentions.</x:v>
      </x:c>
      <x:c r="Q95" s="26" t="str">
        <x:v>https://scryfall.com/docs/syntax</x:v>
      </x:c>
      <x:c r="R95" s="26" t="str">
        <x:v>2026-08-21</x:v>
      </x:c>
    </x:row>
    <x:row r="96">
      <x:c r="A96" s="26" t="str">
        <x:v>CreatureTypes!A92</x:v>
      </x:c>
      <x:c r="B96" s="26" t="str">
        <x:v>Creature Type</x:v>
      </x:c>
      <x:c r="C96" s="26" t="str">
        <x:v>Eternal</x:v>
      </x:c>
      <x:c r="D96" s="26" t="str">
        <x:v>Type/subtype</x:v>
      </x:c>
      <x:c r="E96" s="26"/>
      <x:c r="F96" s="26" t="str">
        <x:v>t:"Eternal"</x:v>
      </x:c>
      <x:c r="G96" s="26" t="str">
        <x:v>High</x:v>
      </x:c>
      <x:c r="H96" s="26" t="str">
        <x:v>Native taxonomy</x:v>
      </x:c>
      <x:c r="I96" s="26" t="str">
        <x:v>type:</x:v>
      </x:c>
      <x:c r="J96" s="26" t="str">
        <x:v>t:"Eternal"</x:v>
      </x:c>
      <x:c r="K96" s="26" t="str"/>
      <x:c r="L96" s="26" t="str">
        <x:v>eternal</x:v>
      </x:c>
      <x:c r="M96" s="26" t="str">
        <x:v>Translate directly</x:v>
      </x:c>
      <x:c r="N96" s="26" t="str">
        <x:v>Production-ready</x:v>
      </x:c>
      <x:c r="O96" s="43" t="n">
        <x:v>0.99</x:v>
      </x:c>
      <x:c r="P96" s="26" t="str">
        <x:v>Use for card type/supertype/subtype intent, not for art or rules-text mentions.</x:v>
      </x:c>
      <x:c r="Q96" s="26" t="str">
        <x:v>https://scryfall.com/docs/syntax</x:v>
      </x:c>
      <x:c r="R96" s="26" t="str">
        <x:v>2026-08-21</x:v>
      </x:c>
    </x:row>
    <x:row r="97">
      <x:c r="A97" s="26" t="str">
        <x:v>CreatureTypes!A93</x:v>
      </x:c>
      <x:c r="B97" s="26" t="str">
        <x:v>Creature Type</x:v>
      </x:c>
      <x:c r="C97" s="26" t="str">
        <x:v>Eye</x:v>
      </x:c>
      <x:c r="D97" s="26" t="str">
        <x:v>Type/subtype</x:v>
      </x:c>
      <x:c r="E97" s="26"/>
      <x:c r="F97" s="26" t="str">
        <x:v>t:"Eye"</x:v>
      </x:c>
      <x:c r="G97" s="26" t="str">
        <x:v>High</x:v>
      </x:c>
      <x:c r="H97" s="26" t="str">
        <x:v>Native taxonomy</x:v>
      </x:c>
      <x:c r="I97" s="26" t="str">
        <x:v>type:</x:v>
      </x:c>
      <x:c r="J97" s="26" t="str">
        <x:v>t:"Eye"</x:v>
      </x:c>
      <x:c r="K97" s="26" t="str"/>
      <x:c r="L97" s="26" t="str">
        <x:v>eye</x:v>
      </x:c>
      <x:c r="M97" s="26" t="str">
        <x:v>Translate directly</x:v>
      </x:c>
      <x:c r="N97" s="26" t="str">
        <x:v>Production-ready</x:v>
      </x:c>
      <x:c r="O97" s="43" t="n">
        <x:v>0.99</x:v>
      </x:c>
      <x:c r="P97" s="26" t="str">
        <x:v>Use for card type/supertype/subtype intent, not for art or rules-text mentions.</x:v>
      </x:c>
      <x:c r="Q97" s="26" t="str">
        <x:v>https://scryfall.com/docs/syntax</x:v>
      </x:c>
      <x:c r="R97" s="26" t="str">
        <x:v>2026-08-21</x:v>
      </x:c>
    </x:row>
    <x:row r="98">
      <x:c r="A98" s="26" t="str">
        <x:v>CreatureTypes!A94</x:v>
      </x:c>
      <x:c r="B98" s="26" t="str">
        <x:v>Creature Type</x:v>
      </x:c>
      <x:c r="C98" s="26" t="str">
        <x:v>Faerie</x:v>
      </x:c>
      <x:c r="D98" s="26" t="str">
        <x:v>Type/subtype</x:v>
      </x:c>
      <x:c r="E98" s="26"/>
      <x:c r="F98" s="26" t="str">
        <x:v>t:"Faerie"</x:v>
      </x:c>
      <x:c r="G98" s="26" t="str">
        <x:v>High</x:v>
      </x:c>
      <x:c r="H98" s="26" t="str">
        <x:v>Native taxonomy</x:v>
      </x:c>
      <x:c r="I98" s="26" t="str">
        <x:v>type:</x:v>
      </x:c>
      <x:c r="J98" s="26" t="str">
        <x:v>t:"Faerie"</x:v>
      </x:c>
      <x:c r="K98" s="26" t="str"/>
      <x:c r="L98" s="26" t="str">
        <x:v>faerie</x:v>
      </x:c>
      <x:c r="M98" s="26" t="str">
        <x:v>Translate directly</x:v>
      </x:c>
      <x:c r="N98" s="26" t="str">
        <x:v>Production-ready</x:v>
      </x:c>
      <x:c r="O98" s="43" t="n">
        <x:v>0.99</x:v>
      </x:c>
      <x:c r="P98" s="26" t="str">
        <x:v>Use for card type/supertype/subtype intent, not for art or rules-text mentions.</x:v>
      </x:c>
      <x:c r="Q98" s="26" t="str">
        <x:v>https://scryfall.com/docs/syntax</x:v>
      </x:c>
      <x:c r="R98" s="26" t="str">
        <x:v>2026-08-21</x:v>
      </x:c>
    </x:row>
    <x:row r="99">
      <x:c r="A99" s="26" t="str">
        <x:v>CreatureTypes!A95</x:v>
      </x:c>
      <x:c r="B99" s="26" t="str">
        <x:v>Creature Type</x:v>
      </x:c>
      <x:c r="C99" s="26" t="str">
        <x:v>Ferret</x:v>
      </x:c>
      <x:c r="D99" s="26" t="str">
        <x:v>Type/subtype</x:v>
      </x:c>
      <x:c r="E99" s="26"/>
      <x:c r="F99" s="26" t="str">
        <x:v>t:"Ferret"</x:v>
      </x:c>
      <x:c r="G99" s="26" t="str">
        <x:v>High</x:v>
      </x:c>
      <x:c r="H99" s="26" t="str">
        <x:v>Native taxonomy</x:v>
      </x:c>
      <x:c r="I99" s="26" t="str">
        <x:v>type:</x:v>
      </x:c>
      <x:c r="J99" s="26" t="str">
        <x:v>t:"Ferret"</x:v>
      </x:c>
      <x:c r="K99" s="26" t="str"/>
      <x:c r="L99" s="26" t="str">
        <x:v>ferret</x:v>
      </x:c>
      <x:c r="M99" s="26" t="str">
        <x:v>Translate directly</x:v>
      </x:c>
      <x:c r="N99" s="26" t="str">
        <x:v>Production-ready</x:v>
      </x:c>
      <x:c r="O99" s="43" t="n">
        <x:v>0.99</x:v>
      </x:c>
      <x:c r="P99" s="26" t="str">
        <x:v>Use for card type/supertype/subtype intent, not for art or rules-text mentions.</x:v>
      </x:c>
      <x:c r="Q99" s="26" t="str">
        <x:v>https://scryfall.com/docs/syntax</x:v>
      </x:c>
      <x:c r="R99" s="26" t="str">
        <x:v>2026-08-21</x:v>
      </x:c>
    </x:row>
    <x:row r="100">
      <x:c r="A100" s="26" t="str">
        <x:v>CreatureTypes!A96</x:v>
      </x:c>
      <x:c r="B100" s="26" t="str">
        <x:v>Creature Type</x:v>
      </x:c>
      <x:c r="C100" s="26" t="str">
        <x:v>Fish</x:v>
      </x:c>
      <x:c r="D100" s="26" t="str">
        <x:v>Type/subtype</x:v>
      </x:c>
      <x:c r="E100" s="26"/>
      <x:c r="F100" s="26" t="str">
        <x:v>t:"Fish"</x:v>
      </x:c>
      <x:c r="G100" s="26" t="str">
        <x:v>High</x:v>
      </x:c>
      <x:c r="H100" s="26" t="str">
        <x:v>Native taxonomy</x:v>
      </x:c>
      <x:c r="I100" s="26" t="str">
        <x:v>type:</x:v>
      </x:c>
      <x:c r="J100" s="26" t="str">
        <x:v>t:"Fish"</x:v>
      </x:c>
      <x:c r="K100" s="26" t="str"/>
      <x:c r="L100" s="26" t="str">
        <x:v>fish</x:v>
      </x:c>
      <x:c r="M100" s="26" t="str">
        <x:v>Translate directly</x:v>
      </x:c>
      <x:c r="N100" s="26" t="str">
        <x:v>Production-ready</x:v>
      </x:c>
      <x:c r="O100" s="43" t="n">
        <x:v>0.99</x:v>
      </x:c>
      <x:c r="P100" s="26" t="str">
        <x:v>Use for card type/supertype/subtype intent, not for art or rules-text mentions.</x:v>
      </x:c>
      <x:c r="Q100" s="26" t="str">
        <x:v>https://scryfall.com/docs/syntax</x:v>
      </x:c>
      <x:c r="R100" s="26" t="str">
        <x:v>2026-08-21</x:v>
      </x:c>
    </x:row>
    <x:row r="101">
      <x:c r="A101" s="26" t="str">
        <x:v>CreatureTypes!A97</x:v>
      </x:c>
      <x:c r="B101" s="26" t="str">
        <x:v>Creature Type</x:v>
      </x:c>
      <x:c r="C101" s="26" t="str">
        <x:v>Flagbearer</x:v>
      </x:c>
      <x:c r="D101" s="26" t="str">
        <x:v>Type/subtype</x:v>
      </x:c>
      <x:c r="E101" s="26"/>
      <x:c r="F101" s="26" t="str">
        <x:v>t:"Flagbearer"</x:v>
      </x:c>
      <x:c r="G101" s="26" t="str">
        <x:v>High</x:v>
      </x:c>
      <x:c r="H101" s="26" t="str">
        <x:v>Native taxonomy</x:v>
      </x:c>
      <x:c r="I101" s="26" t="str">
        <x:v>type:</x:v>
      </x:c>
      <x:c r="J101" s="26" t="str">
        <x:v>t:"Flagbearer"</x:v>
      </x:c>
      <x:c r="K101" s="26" t="str"/>
      <x:c r="L101" s="26" t="str">
        <x:v>flagbearer</x:v>
      </x:c>
      <x:c r="M101" s="26" t="str">
        <x:v>Translate directly</x:v>
      </x:c>
      <x:c r="N101" s="26" t="str">
        <x:v>Production-ready</x:v>
      </x:c>
      <x:c r="O101" s="43" t="n">
        <x:v>0.99</x:v>
      </x:c>
      <x:c r="P101" s="26" t="str">
        <x:v>Use for card type/supertype/subtype intent, not for art or rules-text mentions.</x:v>
      </x:c>
      <x:c r="Q101" s="26" t="str">
        <x:v>https://scryfall.com/docs/syntax</x:v>
      </x:c>
      <x:c r="R101" s="26" t="str">
        <x:v>2026-08-21</x:v>
      </x:c>
    </x:row>
    <x:row r="102">
      <x:c r="A102" s="26" t="str">
        <x:v>CreatureTypes!A98</x:v>
      </x:c>
      <x:c r="B102" s="26" t="str">
        <x:v>Creature Type</x:v>
      </x:c>
      <x:c r="C102" s="26" t="str">
        <x:v>Fox</x:v>
      </x:c>
      <x:c r="D102" s="26" t="str">
        <x:v>Type/subtype</x:v>
      </x:c>
      <x:c r="E102" s="26"/>
      <x:c r="F102" s="26" t="str">
        <x:v>t:"Fox"</x:v>
      </x:c>
      <x:c r="G102" s="26" t="str">
        <x:v>High</x:v>
      </x:c>
      <x:c r="H102" s="26" t="str">
        <x:v>Native taxonomy</x:v>
      </x:c>
      <x:c r="I102" s="26" t="str">
        <x:v>type:</x:v>
      </x:c>
      <x:c r="J102" s="26" t="str">
        <x:v>t:"Fox"</x:v>
      </x:c>
      <x:c r="K102" s="26" t="str"/>
      <x:c r="L102" s="26" t="str">
        <x:v>fox</x:v>
      </x:c>
      <x:c r="M102" s="26" t="str">
        <x:v>Translate directly</x:v>
      </x:c>
      <x:c r="N102" s="26" t="str">
        <x:v>Production-ready</x:v>
      </x:c>
      <x:c r="O102" s="43" t="n">
        <x:v>0.99</x:v>
      </x:c>
      <x:c r="P102" s="26" t="str">
        <x:v>Use for card type/supertype/subtype intent, not for art or rules-text mentions.</x:v>
      </x:c>
      <x:c r="Q102" s="26" t="str">
        <x:v>https://scryfall.com/docs/syntax</x:v>
      </x:c>
      <x:c r="R102" s="26" t="str">
        <x:v>2026-08-21</x:v>
      </x:c>
    </x:row>
    <x:row r="103">
      <x:c r="A103" s="26" t="str">
        <x:v>CreatureTypes!A99</x:v>
      </x:c>
      <x:c r="B103" s="26" t="str">
        <x:v>Creature Type</x:v>
      </x:c>
      <x:c r="C103" s="26" t="str">
        <x:v>Fractal</x:v>
      </x:c>
      <x:c r="D103" s="26" t="str">
        <x:v>Type/subtype</x:v>
      </x:c>
      <x:c r="E103" s="26"/>
      <x:c r="F103" s="26" t="str">
        <x:v>t:"Fractal"</x:v>
      </x:c>
      <x:c r="G103" s="26" t="str">
        <x:v>High</x:v>
      </x:c>
      <x:c r="H103" s="26" t="str">
        <x:v>Native taxonomy</x:v>
      </x:c>
      <x:c r="I103" s="26" t="str">
        <x:v>type:</x:v>
      </x:c>
      <x:c r="J103" s="26" t="str">
        <x:v>t:"Fractal"</x:v>
      </x:c>
      <x:c r="K103" s="26" t="str"/>
      <x:c r="L103" s="26" t="str">
        <x:v>fractal</x:v>
      </x:c>
      <x:c r="M103" s="26" t="str">
        <x:v>Translate directly</x:v>
      </x:c>
      <x:c r="N103" s="26" t="str">
        <x:v>Production-ready</x:v>
      </x:c>
      <x:c r="O103" s="43" t="n">
        <x:v>0.99</x:v>
      </x:c>
      <x:c r="P103" s="26" t="str">
        <x:v>Use for card type/supertype/subtype intent, not for art or rules-text mentions.</x:v>
      </x:c>
      <x:c r="Q103" s="26" t="str">
        <x:v>https://scryfall.com/docs/syntax</x:v>
      </x:c>
      <x:c r="R103" s="26" t="str">
        <x:v>2026-08-21</x:v>
      </x:c>
    </x:row>
    <x:row r="104">
      <x:c r="A104" s="26" t="str">
        <x:v>CreatureTypes!A100</x:v>
      </x:c>
      <x:c r="B104" s="26" t="str">
        <x:v>Creature Type</x:v>
      </x:c>
      <x:c r="C104" s="26" t="str">
        <x:v>Frog</x:v>
      </x:c>
      <x:c r="D104" s="26" t="str">
        <x:v>Type/subtype</x:v>
      </x:c>
      <x:c r="E104" s="26"/>
      <x:c r="F104" s="26" t="str">
        <x:v>t:"Frog"</x:v>
      </x:c>
      <x:c r="G104" s="26" t="str">
        <x:v>High</x:v>
      </x:c>
      <x:c r="H104" s="26" t="str">
        <x:v>Native taxonomy</x:v>
      </x:c>
      <x:c r="I104" s="26" t="str">
        <x:v>type:</x:v>
      </x:c>
      <x:c r="J104" s="26" t="str">
        <x:v>t:"Frog"</x:v>
      </x:c>
      <x:c r="K104" s="26" t="str"/>
      <x:c r="L104" s="26" t="str">
        <x:v>frog</x:v>
      </x:c>
      <x:c r="M104" s="26" t="str">
        <x:v>Translate directly</x:v>
      </x:c>
      <x:c r="N104" s="26" t="str">
        <x:v>Production-ready</x:v>
      </x:c>
      <x:c r="O104" s="43" t="n">
        <x:v>0.99</x:v>
      </x:c>
      <x:c r="P104" s="26" t="str">
        <x:v>Use for card type/supertype/subtype intent, not for art or rules-text mentions.</x:v>
      </x:c>
      <x:c r="Q104" s="26" t="str">
        <x:v>https://scryfall.com/docs/syntax</x:v>
      </x:c>
      <x:c r="R104" s="26" t="str">
        <x:v>2026-08-21</x:v>
      </x:c>
    </x:row>
    <x:row r="105">
      <x:c r="A105" s="26" t="str">
        <x:v>CreatureTypes!A101</x:v>
      </x:c>
      <x:c r="B105" s="26" t="str">
        <x:v>Creature Type</x:v>
      </x:c>
      <x:c r="C105" s="26" t="str">
        <x:v>Fungus</x:v>
      </x:c>
      <x:c r="D105" s="26" t="str">
        <x:v>Type/subtype</x:v>
      </x:c>
      <x:c r="E105" s="26"/>
      <x:c r="F105" s="26" t="str">
        <x:v>t:"Fungus"</x:v>
      </x:c>
      <x:c r="G105" s="26" t="str">
        <x:v>High</x:v>
      </x:c>
      <x:c r="H105" s="26" t="str">
        <x:v>Native taxonomy</x:v>
      </x:c>
      <x:c r="I105" s="26" t="str">
        <x:v>type:</x:v>
      </x:c>
      <x:c r="J105" s="26" t="str">
        <x:v>t:"Fungus"</x:v>
      </x:c>
      <x:c r="K105" s="26" t="str"/>
      <x:c r="L105" s="26" t="str">
        <x:v>fungus</x:v>
      </x:c>
      <x:c r="M105" s="26" t="str">
        <x:v>Translate directly</x:v>
      </x:c>
      <x:c r="N105" s="26" t="str">
        <x:v>Production-ready</x:v>
      </x:c>
      <x:c r="O105" s="43" t="n">
        <x:v>0.99</x:v>
      </x:c>
      <x:c r="P105" s="26" t="str">
        <x:v>Use for card type/supertype/subtype intent, not for art or rules-text mentions.</x:v>
      </x:c>
      <x:c r="Q105" s="26" t="str">
        <x:v>https://scryfall.com/docs/syntax</x:v>
      </x:c>
      <x:c r="R105" s="26" t="str">
        <x:v>2026-08-21</x:v>
      </x:c>
    </x:row>
    <x:row r="106">
      <x:c r="A106" s="26" t="str">
        <x:v>CreatureTypes!A102</x:v>
      </x:c>
      <x:c r="B106" s="26" t="str">
        <x:v>Creature Type</x:v>
      </x:c>
      <x:c r="C106" s="26" t="str">
        <x:v>Gamer</x:v>
      </x:c>
      <x:c r="D106" s="26" t="str">
        <x:v>Type/subtype</x:v>
      </x:c>
      <x:c r="E106" s="26"/>
      <x:c r="F106" s="26" t="str">
        <x:v>t:"Gamer"</x:v>
      </x:c>
      <x:c r="G106" s="26" t="str">
        <x:v>High</x:v>
      </x:c>
      <x:c r="H106" s="26" t="str">
        <x:v>Native taxonomy</x:v>
      </x:c>
      <x:c r="I106" s="26" t="str">
        <x:v>type:</x:v>
      </x:c>
      <x:c r="J106" s="26" t="str">
        <x:v>t:"Gamer"</x:v>
      </x:c>
      <x:c r="K106" s="26" t="str"/>
      <x:c r="L106" s="26" t="str">
        <x:v>gamer</x:v>
      </x:c>
      <x:c r="M106" s="26" t="str">
        <x:v>Translate directly</x:v>
      </x:c>
      <x:c r="N106" s="26" t="str">
        <x:v>Production-ready</x:v>
      </x:c>
      <x:c r="O106" s="43" t="n">
        <x:v>0.99</x:v>
      </x:c>
      <x:c r="P106" s="26" t="str">
        <x:v>Use for card type/supertype/subtype intent, not for art or rules-text mentions.</x:v>
      </x:c>
      <x:c r="Q106" s="26" t="str">
        <x:v>https://scryfall.com/docs/syntax</x:v>
      </x:c>
      <x:c r="R106" s="26" t="str">
        <x:v>2026-08-21</x:v>
      </x:c>
    </x:row>
    <x:row r="107">
      <x:c r="A107" s="26" t="str">
        <x:v>CreatureTypes!A103</x:v>
      </x:c>
      <x:c r="B107" s="26" t="str">
        <x:v>Creature Type</x:v>
      </x:c>
      <x:c r="C107" s="26" t="str">
        <x:v>Gamma</x:v>
      </x:c>
      <x:c r="D107" s="26" t="str">
        <x:v>Type/subtype</x:v>
      </x:c>
      <x:c r="E107" s="26"/>
      <x:c r="F107" s="26" t="str">
        <x:v>t:"Gamma"</x:v>
      </x:c>
      <x:c r="G107" s="26" t="str">
        <x:v>High</x:v>
      </x:c>
      <x:c r="H107" s="26" t="str">
        <x:v>Native taxonomy</x:v>
      </x:c>
      <x:c r="I107" s="26" t="str">
        <x:v>type:</x:v>
      </x:c>
      <x:c r="J107" s="26" t="str">
        <x:v>t:"Gamma"</x:v>
      </x:c>
      <x:c r="K107" s="26" t="str"/>
      <x:c r="L107" s="26" t="str">
        <x:v>gamma</x:v>
      </x:c>
      <x:c r="M107" s="26" t="str">
        <x:v>Translate directly</x:v>
      </x:c>
      <x:c r="N107" s="26" t="str">
        <x:v>Production-ready</x:v>
      </x:c>
      <x:c r="O107" s="43" t="n">
        <x:v>0.99</x:v>
      </x:c>
      <x:c r="P107" s="26" t="str">
        <x:v>Use for card type/supertype/subtype intent, not for art or rules-text mentions.</x:v>
      </x:c>
      <x:c r="Q107" s="26" t="str">
        <x:v>https://scryfall.com/docs/syntax</x:v>
      </x:c>
      <x:c r="R107" s="26" t="str">
        <x:v>2026-08-21</x:v>
      </x:c>
    </x:row>
    <x:row r="108">
      <x:c r="A108" s="26" t="str">
        <x:v>CreatureTypes!A104</x:v>
      </x:c>
      <x:c r="B108" s="26" t="str">
        <x:v>Creature Type</x:v>
      </x:c>
      <x:c r="C108" s="26" t="str">
        <x:v>Gargoyle</x:v>
      </x:c>
      <x:c r="D108" s="26" t="str">
        <x:v>Type/subtype</x:v>
      </x:c>
      <x:c r="E108" s="26"/>
      <x:c r="F108" s="26" t="str">
        <x:v>t:"Gargoyle"</x:v>
      </x:c>
      <x:c r="G108" s="26" t="str">
        <x:v>High</x:v>
      </x:c>
      <x:c r="H108" s="26" t="str">
        <x:v>Native taxonomy</x:v>
      </x:c>
      <x:c r="I108" s="26" t="str">
        <x:v>type:</x:v>
      </x:c>
      <x:c r="J108" s="26" t="str">
        <x:v>t:"Gargoyle"</x:v>
      </x:c>
      <x:c r="K108" s="26" t="str"/>
      <x:c r="L108" s="26" t="str">
        <x:v>gargoyle</x:v>
      </x:c>
      <x:c r="M108" s="26" t="str">
        <x:v>Translate directly</x:v>
      </x:c>
      <x:c r="N108" s="26" t="str">
        <x:v>Production-ready</x:v>
      </x:c>
      <x:c r="O108" s="43" t="n">
        <x:v>0.99</x:v>
      </x:c>
      <x:c r="P108" s="26" t="str">
        <x:v>Use for card type/supertype/subtype intent, not for art or rules-text mentions.</x:v>
      </x:c>
      <x:c r="Q108" s="26" t="str">
        <x:v>https://scryfall.com/docs/syntax</x:v>
      </x:c>
      <x:c r="R108" s="26" t="str">
        <x:v>2026-08-21</x:v>
      </x:c>
    </x:row>
    <x:row r="109">
      <x:c r="A109" s="26" t="str">
        <x:v>CreatureTypes!A105</x:v>
      </x:c>
      <x:c r="B109" s="26" t="str">
        <x:v>Creature Type</x:v>
      </x:c>
      <x:c r="C109" s="26" t="str">
        <x:v>Germ</x:v>
      </x:c>
      <x:c r="D109" s="26" t="str">
        <x:v>Type/subtype</x:v>
      </x:c>
      <x:c r="E109" s="26"/>
      <x:c r="F109" s="26" t="str">
        <x:v>t:"Germ"</x:v>
      </x:c>
      <x:c r="G109" s="26" t="str">
        <x:v>High</x:v>
      </x:c>
      <x:c r="H109" s="26" t="str">
        <x:v>Native taxonomy</x:v>
      </x:c>
      <x:c r="I109" s="26" t="str">
        <x:v>type:</x:v>
      </x:c>
      <x:c r="J109" s="26" t="str">
        <x:v>t:"Germ"</x:v>
      </x:c>
      <x:c r="K109" s="26" t="str"/>
      <x:c r="L109" s="26" t="str">
        <x:v>germ</x:v>
      </x:c>
      <x:c r="M109" s="26" t="str">
        <x:v>Translate directly</x:v>
      </x:c>
      <x:c r="N109" s="26" t="str">
        <x:v>Production-ready</x:v>
      </x:c>
      <x:c r="O109" s="43" t="n">
        <x:v>0.99</x:v>
      </x:c>
      <x:c r="P109" s="26" t="str">
        <x:v>Use for card type/supertype/subtype intent, not for art or rules-text mentions.</x:v>
      </x:c>
      <x:c r="Q109" s="26" t="str">
        <x:v>https://scryfall.com/docs/syntax</x:v>
      </x:c>
      <x:c r="R109" s="26" t="str">
        <x:v>2026-08-21</x:v>
      </x:c>
    </x:row>
    <x:row r="110">
      <x:c r="A110" s="26" t="str">
        <x:v>CreatureTypes!A106</x:v>
      </x:c>
      <x:c r="B110" s="26" t="str">
        <x:v>Creature Type</x:v>
      </x:c>
      <x:c r="C110" s="26" t="str">
        <x:v>Giant</x:v>
      </x:c>
      <x:c r="D110" s="26" t="str">
        <x:v>Type/subtype</x:v>
      </x:c>
      <x:c r="E110" s="26"/>
      <x:c r="F110" s="26" t="str">
        <x:v>t:"Giant"</x:v>
      </x:c>
      <x:c r="G110" s="26" t="str">
        <x:v>High</x:v>
      </x:c>
      <x:c r="H110" s="26" t="str">
        <x:v>Native taxonomy</x:v>
      </x:c>
      <x:c r="I110" s="26" t="str">
        <x:v>type:</x:v>
      </x:c>
      <x:c r="J110" s="26" t="str">
        <x:v>t:"Giant"</x:v>
      </x:c>
      <x:c r="K110" s="26" t="str"/>
      <x:c r="L110" s="26" t="str">
        <x:v>giant</x:v>
      </x:c>
      <x:c r="M110" s="26" t="str">
        <x:v>Translate directly</x:v>
      </x:c>
      <x:c r="N110" s="26" t="str">
        <x:v>Production-ready</x:v>
      </x:c>
      <x:c r="O110" s="43" t="n">
        <x:v>0.99</x:v>
      </x:c>
      <x:c r="P110" s="26" t="str">
        <x:v>Use for card type/supertype/subtype intent, not for art or rules-text mentions.</x:v>
      </x:c>
      <x:c r="Q110" s="26" t="str">
        <x:v>https://scryfall.com/docs/syntax</x:v>
      </x:c>
      <x:c r="R110" s="26" t="str">
        <x:v>2026-08-21</x:v>
      </x:c>
    </x:row>
    <x:row r="111">
      <x:c r="A111" s="26" t="str">
        <x:v>CreatureTypes!A107</x:v>
      </x:c>
      <x:c r="B111" s="26" t="str">
        <x:v>Creature Type</x:v>
      </x:c>
      <x:c r="C111" s="26" t="str">
        <x:v>Giraffe</x:v>
      </x:c>
      <x:c r="D111" s="26" t="str">
        <x:v>Type/subtype</x:v>
      </x:c>
      <x:c r="E111" s="26"/>
      <x:c r="F111" s="26" t="str">
        <x:v>t:"Giraffe"</x:v>
      </x:c>
      <x:c r="G111" s="26" t="str">
        <x:v>High</x:v>
      </x:c>
      <x:c r="H111" s="26" t="str">
        <x:v>Native taxonomy</x:v>
      </x:c>
      <x:c r="I111" s="26" t="str">
        <x:v>type:</x:v>
      </x:c>
      <x:c r="J111" s="26" t="str">
        <x:v>t:"Giraffe"</x:v>
      </x:c>
      <x:c r="K111" s="26" t="str"/>
      <x:c r="L111" s="26" t="str">
        <x:v>giraffe</x:v>
      </x:c>
      <x:c r="M111" s="26" t="str">
        <x:v>Translate directly</x:v>
      </x:c>
      <x:c r="N111" s="26" t="str">
        <x:v>Production-ready</x:v>
      </x:c>
      <x:c r="O111" s="43" t="n">
        <x:v>0.99</x:v>
      </x:c>
      <x:c r="P111" s="26" t="str">
        <x:v>Use for card type/supertype/subtype intent, not for art or rules-text mentions.</x:v>
      </x:c>
      <x:c r="Q111" s="26" t="str">
        <x:v>https://scryfall.com/docs/syntax</x:v>
      </x:c>
      <x:c r="R111" s="26" t="str">
        <x:v>2026-08-21</x:v>
      </x:c>
    </x:row>
    <x:row r="112">
      <x:c r="A112" s="26" t="str">
        <x:v>CreatureTypes!A108</x:v>
      </x:c>
      <x:c r="B112" s="26" t="str">
        <x:v>Creature Type</x:v>
      </x:c>
      <x:c r="C112" s="26" t="str">
        <x:v>Gith</x:v>
      </x:c>
      <x:c r="D112" s="26" t="str">
        <x:v>Type/subtype</x:v>
      </x:c>
      <x:c r="E112" s="26"/>
      <x:c r="F112" s="26" t="str">
        <x:v>t:"Gith"</x:v>
      </x:c>
      <x:c r="G112" s="26" t="str">
        <x:v>High</x:v>
      </x:c>
      <x:c r="H112" s="26" t="str">
        <x:v>Native taxonomy</x:v>
      </x:c>
      <x:c r="I112" s="26" t="str">
        <x:v>type:</x:v>
      </x:c>
      <x:c r="J112" s="26" t="str">
        <x:v>t:"Gith"</x:v>
      </x:c>
      <x:c r="K112" s="26" t="str"/>
      <x:c r="L112" s="26" t="str">
        <x:v>gith</x:v>
      </x:c>
      <x:c r="M112" s="26" t="str">
        <x:v>Translate directly</x:v>
      </x:c>
      <x:c r="N112" s="26" t="str">
        <x:v>Production-ready</x:v>
      </x:c>
      <x:c r="O112" s="43" t="n">
        <x:v>0.99</x:v>
      </x:c>
      <x:c r="P112" s="26" t="str">
        <x:v>Use for card type/supertype/subtype intent, not for art or rules-text mentions.</x:v>
      </x:c>
      <x:c r="Q112" s="26" t="str">
        <x:v>https://scryfall.com/docs/syntax</x:v>
      </x:c>
      <x:c r="R112" s="26" t="str">
        <x:v>2026-08-21</x:v>
      </x:c>
    </x:row>
    <x:row r="113">
      <x:c r="A113" s="26" t="str">
        <x:v>CreatureTypes!A109</x:v>
      </x:c>
      <x:c r="B113" s="26" t="str">
        <x:v>Creature Type</x:v>
      </x:c>
      <x:c r="C113" s="26" t="str">
        <x:v>Glimmer</x:v>
      </x:c>
      <x:c r="D113" s="26" t="str">
        <x:v>Type/subtype</x:v>
      </x:c>
      <x:c r="E113" s="26"/>
      <x:c r="F113" s="26" t="str">
        <x:v>t:"Glimmer"</x:v>
      </x:c>
      <x:c r="G113" s="26" t="str">
        <x:v>High</x:v>
      </x:c>
      <x:c r="H113" s="26" t="str">
        <x:v>Native taxonomy</x:v>
      </x:c>
      <x:c r="I113" s="26" t="str">
        <x:v>type:</x:v>
      </x:c>
      <x:c r="J113" s="26" t="str">
        <x:v>t:"Glimmer"</x:v>
      </x:c>
      <x:c r="K113" s="26" t="str"/>
      <x:c r="L113" s="26" t="str">
        <x:v>glimmer</x:v>
      </x:c>
      <x:c r="M113" s="26" t="str">
        <x:v>Translate directly</x:v>
      </x:c>
      <x:c r="N113" s="26" t="str">
        <x:v>Production-ready</x:v>
      </x:c>
      <x:c r="O113" s="43" t="n">
        <x:v>0.99</x:v>
      </x:c>
      <x:c r="P113" s="26" t="str">
        <x:v>Use for card type/supertype/subtype intent, not for art or rules-text mentions.</x:v>
      </x:c>
      <x:c r="Q113" s="26" t="str">
        <x:v>https://scryfall.com/docs/syntax</x:v>
      </x:c>
      <x:c r="R113" s="26" t="str">
        <x:v>2026-08-21</x:v>
      </x:c>
    </x:row>
    <x:row r="114">
      <x:c r="A114" s="26" t="str">
        <x:v>CreatureTypes!A110</x:v>
      </x:c>
      <x:c r="B114" s="26" t="str">
        <x:v>Creature Type</x:v>
      </x:c>
      <x:c r="C114" s="26" t="str">
        <x:v>Gnoll</x:v>
      </x:c>
      <x:c r="D114" s="26" t="str">
        <x:v>Type/subtype</x:v>
      </x:c>
      <x:c r="E114" s="26"/>
      <x:c r="F114" s="26" t="str">
        <x:v>t:"Gnoll"</x:v>
      </x:c>
      <x:c r="G114" s="26" t="str">
        <x:v>High</x:v>
      </x:c>
      <x:c r="H114" s="26" t="str">
        <x:v>Native taxonomy</x:v>
      </x:c>
      <x:c r="I114" s="26" t="str">
        <x:v>type:</x:v>
      </x:c>
      <x:c r="J114" s="26" t="str">
        <x:v>t:"Gnoll"</x:v>
      </x:c>
      <x:c r="K114" s="26" t="str"/>
      <x:c r="L114" s="26" t="str">
        <x:v>gnoll</x:v>
      </x:c>
      <x:c r="M114" s="26" t="str">
        <x:v>Translate directly</x:v>
      </x:c>
      <x:c r="N114" s="26" t="str">
        <x:v>Production-ready</x:v>
      </x:c>
      <x:c r="O114" s="43" t="n">
        <x:v>0.99</x:v>
      </x:c>
      <x:c r="P114" s="26" t="str">
        <x:v>Use for card type/supertype/subtype intent, not for art or rules-text mentions.</x:v>
      </x:c>
      <x:c r="Q114" s="26" t="str">
        <x:v>https://scryfall.com/docs/syntax</x:v>
      </x:c>
      <x:c r="R114" s="26" t="str">
        <x:v>2026-08-21</x:v>
      </x:c>
    </x:row>
    <x:row r="115">
      <x:c r="A115" s="26" t="str">
        <x:v>CreatureTypes!A111</x:v>
      </x:c>
      <x:c r="B115" s="26" t="str">
        <x:v>Creature Type</x:v>
      </x:c>
      <x:c r="C115" s="26" t="str">
        <x:v>Gnome</x:v>
      </x:c>
      <x:c r="D115" s="26" t="str">
        <x:v>Type/subtype</x:v>
      </x:c>
      <x:c r="E115" s="26"/>
      <x:c r="F115" s="26" t="str">
        <x:v>t:"Gnome"</x:v>
      </x:c>
      <x:c r="G115" s="26" t="str">
        <x:v>High</x:v>
      </x:c>
      <x:c r="H115" s="26" t="str">
        <x:v>Native taxonomy</x:v>
      </x:c>
      <x:c r="I115" s="26" t="str">
        <x:v>type:</x:v>
      </x:c>
      <x:c r="J115" s="26" t="str">
        <x:v>t:"Gnome"</x:v>
      </x:c>
      <x:c r="K115" s="26" t="str"/>
      <x:c r="L115" s="26" t="str">
        <x:v>gnome</x:v>
      </x:c>
      <x:c r="M115" s="26" t="str">
        <x:v>Translate directly</x:v>
      </x:c>
      <x:c r="N115" s="26" t="str">
        <x:v>Production-ready</x:v>
      </x:c>
      <x:c r="O115" s="43" t="n">
        <x:v>0.99</x:v>
      </x:c>
      <x:c r="P115" s="26" t="str">
        <x:v>Use for card type/supertype/subtype intent, not for art or rules-text mentions.</x:v>
      </x:c>
      <x:c r="Q115" s="26" t="str">
        <x:v>https://scryfall.com/docs/syntax</x:v>
      </x:c>
      <x:c r="R115" s="26" t="str">
        <x:v>2026-08-21</x:v>
      </x:c>
    </x:row>
    <x:row r="116">
      <x:c r="A116" s="26" t="str">
        <x:v>CreatureTypes!A112</x:v>
      </x:c>
      <x:c r="B116" s="26" t="str">
        <x:v>Creature Type</x:v>
      </x:c>
      <x:c r="C116" s="26" t="str">
        <x:v>Goat</x:v>
      </x:c>
      <x:c r="D116" s="26" t="str">
        <x:v>Type/subtype</x:v>
      </x:c>
      <x:c r="E116" s="26"/>
      <x:c r="F116" s="26" t="str">
        <x:v>t:"Goat"</x:v>
      </x:c>
      <x:c r="G116" s="26" t="str">
        <x:v>High</x:v>
      </x:c>
      <x:c r="H116" s="26" t="str">
        <x:v>Native taxonomy</x:v>
      </x:c>
      <x:c r="I116" s="26" t="str">
        <x:v>type:</x:v>
      </x:c>
      <x:c r="J116" s="26" t="str">
        <x:v>t:"Goat"</x:v>
      </x:c>
      <x:c r="K116" s="26" t="str"/>
      <x:c r="L116" s="26" t="str">
        <x:v>goat</x:v>
      </x:c>
      <x:c r="M116" s="26" t="str">
        <x:v>Translate directly</x:v>
      </x:c>
      <x:c r="N116" s="26" t="str">
        <x:v>Production-ready</x:v>
      </x:c>
      <x:c r="O116" s="43" t="n">
        <x:v>0.99</x:v>
      </x:c>
      <x:c r="P116" s="26" t="str">
        <x:v>Use for card type/supertype/subtype intent, not for art or rules-text mentions.</x:v>
      </x:c>
      <x:c r="Q116" s="26" t="str">
        <x:v>https://scryfall.com/docs/syntax</x:v>
      </x:c>
      <x:c r="R116" s="26" t="str">
        <x:v>2026-08-21</x:v>
      </x:c>
    </x:row>
    <x:row r="117">
      <x:c r="A117" s="26" t="str">
        <x:v>CreatureTypes!A113</x:v>
      </x:c>
      <x:c r="B117" s="26" t="str">
        <x:v>Creature Type</x:v>
      </x:c>
      <x:c r="C117" s="26" t="str">
        <x:v>Goblin</x:v>
      </x:c>
      <x:c r="D117" s="26" t="str">
        <x:v>Type/subtype</x:v>
      </x:c>
      <x:c r="E117" s="26"/>
      <x:c r="F117" s="26" t="str">
        <x:v>t:"Goblin"</x:v>
      </x:c>
      <x:c r="G117" s="26" t="str">
        <x:v>High</x:v>
      </x:c>
      <x:c r="H117" s="26" t="str">
        <x:v>Native taxonomy</x:v>
      </x:c>
      <x:c r="I117" s="26" t="str">
        <x:v>type:</x:v>
      </x:c>
      <x:c r="J117" s="26" t="str">
        <x:v>t:"Goblin"</x:v>
      </x:c>
      <x:c r="K117" s="26" t="str"/>
      <x:c r="L117" s="26" t="str">
        <x:v>goblin</x:v>
      </x:c>
      <x:c r="M117" s="26" t="str">
        <x:v>Translate directly</x:v>
      </x:c>
      <x:c r="N117" s="26" t="str">
        <x:v>Production-ready</x:v>
      </x:c>
      <x:c r="O117" s="43" t="n">
        <x:v>0.99</x:v>
      </x:c>
      <x:c r="P117" s="26" t="str">
        <x:v>Use for card type/supertype/subtype intent, not for art or rules-text mentions.</x:v>
      </x:c>
      <x:c r="Q117" s="26" t="str">
        <x:v>https://scryfall.com/docs/syntax</x:v>
      </x:c>
      <x:c r="R117" s="26" t="str">
        <x:v>2026-08-21</x:v>
      </x:c>
    </x:row>
    <x:row r="118">
      <x:c r="A118" s="26" t="str">
        <x:v>CreatureTypes!A114</x:v>
      </x:c>
      <x:c r="B118" s="26" t="str">
        <x:v>Creature Type</x:v>
      </x:c>
      <x:c r="C118" s="26" t="str">
        <x:v>God</x:v>
      </x:c>
      <x:c r="D118" s="26" t="str">
        <x:v>Type/subtype</x:v>
      </x:c>
      <x:c r="E118" s="26"/>
      <x:c r="F118" s="26" t="str">
        <x:v>t:"God"</x:v>
      </x:c>
      <x:c r="G118" s="26" t="str">
        <x:v>High</x:v>
      </x:c>
      <x:c r="H118" s="26" t="str">
        <x:v>Native taxonomy</x:v>
      </x:c>
      <x:c r="I118" s="26" t="str">
        <x:v>type:</x:v>
      </x:c>
      <x:c r="J118" s="26" t="str">
        <x:v>t:"God"</x:v>
      </x:c>
      <x:c r="K118" s="26" t="str"/>
      <x:c r="L118" s="26" t="str">
        <x:v>god</x:v>
      </x:c>
      <x:c r="M118" s="26" t="str">
        <x:v>Translate directly</x:v>
      </x:c>
      <x:c r="N118" s="26" t="str">
        <x:v>Production-ready</x:v>
      </x:c>
      <x:c r="O118" s="43" t="n">
        <x:v>0.99</x:v>
      </x:c>
      <x:c r="P118" s="26" t="str">
        <x:v>Use for card type/supertype/subtype intent, not for art or rules-text mentions.</x:v>
      </x:c>
      <x:c r="Q118" s="26" t="str">
        <x:v>https://scryfall.com/docs/syntax</x:v>
      </x:c>
      <x:c r="R118" s="26" t="str">
        <x:v>2026-08-21</x:v>
      </x:c>
    </x:row>
    <x:row r="119">
      <x:c r="A119" s="26" t="str">
        <x:v>CreatureTypes!A115</x:v>
      </x:c>
      <x:c r="B119" s="26" t="str">
        <x:v>Creature Type</x:v>
      </x:c>
      <x:c r="C119" s="26" t="str">
        <x:v>Golem</x:v>
      </x:c>
      <x:c r="D119" s="26" t="str">
        <x:v>Type/subtype</x:v>
      </x:c>
      <x:c r="E119" s="26"/>
      <x:c r="F119" s="26" t="str">
        <x:v>t:"Golem"</x:v>
      </x:c>
      <x:c r="G119" s="26" t="str">
        <x:v>High</x:v>
      </x:c>
      <x:c r="H119" s="26" t="str">
        <x:v>Native taxonomy</x:v>
      </x:c>
      <x:c r="I119" s="26" t="str">
        <x:v>type:</x:v>
      </x:c>
      <x:c r="J119" s="26" t="str">
        <x:v>t:"Golem"</x:v>
      </x:c>
      <x:c r="K119" s="26" t="str"/>
      <x:c r="L119" s="26" t="str">
        <x:v>golem</x:v>
      </x:c>
      <x:c r="M119" s="26" t="str">
        <x:v>Translate directly</x:v>
      </x:c>
      <x:c r="N119" s="26" t="str">
        <x:v>Production-ready</x:v>
      </x:c>
      <x:c r="O119" s="43" t="n">
        <x:v>0.99</x:v>
      </x:c>
      <x:c r="P119" s="26" t="str">
        <x:v>Use for card type/supertype/subtype intent, not for art or rules-text mentions.</x:v>
      </x:c>
      <x:c r="Q119" s="26" t="str">
        <x:v>https://scryfall.com/docs/syntax</x:v>
      </x:c>
      <x:c r="R119" s="26" t="str">
        <x:v>2026-08-21</x:v>
      </x:c>
    </x:row>
    <x:row r="120">
      <x:c r="A120" s="26" t="str">
        <x:v>CreatureTypes!A116</x:v>
      </x:c>
      <x:c r="B120" s="26" t="str">
        <x:v>Creature Type</x:v>
      </x:c>
      <x:c r="C120" s="26" t="str">
        <x:v>Gorgon</x:v>
      </x:c>
      <x:c r="D120" s="26" t="str">
        <x:v>Type/subtype</x:v>
      </x:c>
      <x:c r="E120" s="26"/>
      <x:c r="F120" s="26" t="str">
        <x:v>t:"Gorgon"</x:v>
      </x:c>
      <x:c r="G120" s="26" t="str">
        <x:v>High</x:v>
      </x:c>
      <x:c r="H120" s="26" t="str">
        <x:v>Native taxonomy</x:v>
      </x:c>
      <x:c r="I120" s="26" t="str">
        <x:v>type:</x:v>
      </x:c>
      <x:c r="J120" s="26" t="str">
        <x:v>t:"Gorgon"</x:v>
      </x:c>
      <x:c r="K120" s="26" t="str"/>
      <x:c r="L120" s="26" t="str">
        <x:v>gorgon</x:v>
      </x:c>
      <x:c r="M120" s="26" t="str">
        <x:v>Translate directly</x:v>
      </x:c>
      <x:c r="N120" s="26" t="str">
        <x:v>Production-ready</x:v>
      </x:c>
      <x:c r="O120" s="43" t="n">
        <x:v>0.99</x:v>
      </x:c>
      <x:c r="P120" s="26" t="str">
        <x:v>Use for card type/supertype/subtype intent, not for art or rules-text mentions.</x:v>
      </x:c>
      <x:c r="Q120" s="26" t="str">
        <x:v>https://scryfall.com/docs/syntax</x:v>
      </x:c>
      <x:c r="R120" s="26" t="str">
        <x:v>2026-08-21</x:v>
      </x:c>
    </x:row>
    <x:row r="121">
      <x:c r="A121" s="26" t="str">
        <x:v>CreatureTypes!A117</x:v>
      </x:c>
      <x:c r="B121" s="26" t="str">
        <x:v>Creature Type</x:v>
      </x:c>
      <x:c r="C121" s="26" t="str">
        <x:v>Graveborn</x:v>
      </x:c>
      <x:c r="D121" s="26" t="str">
        <x:v>Type/subtype</x:v>
      </x:c>
      <x:c r="E121" s="26"/>
      <x:c r="F121" s="26" t="str">
        <x:v>t:"Graveborn"</x:v>
      </x:c>
      <x:c r="G121" s="26" t="str">
        <x:v>High</x:v>
      </x:c>
      <x:c r="H121" s="26" t="str">
        <x:v>Native taxonomy</x:v>
      </x:c>
      <x:c r="I121" s="26" t="str">
        <x:v>type:</x:v>
      </x:c>
      <x:c r="J121" s="26" t="str">
        <x:v>t:"Graveborn"</x:v>
      </x:c>
      <x:c r="K121" s="26" t="str"/>
      <x:c r="L121" s="26" t="str">
        <x:v>graveborn</x:v>
      </x:c>
      <x:c r="M121" s="26" t="str">
        <x:v>Translate directly</x:v>
      </x:c>
      <x:c r="N121" s="26" t="str">
        <x:v>Production-ready</x:v>
      </x:c>
      <x:c r="O121" s="43" t="n">
        <x:v>0.99</x:v>
      </x:c>
      <x:c r="P121" s="26" t="str">
        <x:v>Use for card type/supertype/subtype intent, not for art or rules-text mentions.</x:v>
      </x:c>
      <x:c r="Q121" s="26" t="str">
        <x:v>https://scryfall.com/docs/syntax</x:v>
      </x:c>
      <x:c r="R121" s="26" t="str">
        <x:v>2026-08-21</x:v>
      </x:c>
    </x:row>
    <x:row r="122">
      <x:c r="A122" s="26" t="str">
        <x:v>CreatureTypes!A118</x:v>
      </x:c>
      <x:c r="B122" s="26" t="str">
        <x:v>Creature Type</x:v>
      </x:c>
      <x:c r="C122" s="26" t="str">
        <x:v>Gremlin</x:v>
      </x:c>
      <x:c r="D122" s="26" t="str">
        <x:v>Type/subtype</x:v>
      </x:c>
      <x:c r="E122" s="26"/>
      <x:c r="F122" s="26" t="str">
        <x:v>t:"Gremlin"</x:v>
      </x:c>
      <x:c r="G122" s="26" t="str">
        <x:v>High</x:v>
      </x:c>
      <x:c r="H122" s="26" t="str">
        <x:v>Native taxonomy</x:v>
      </x:c>
      <x:c r="I122" s="26" t="str">
        <x:v>type:</x:v>
      </x:c>
      <x:c r="J122" s="26" t="str">
        <x:v>t:"Gremlin"</x:v>
      </x:c>
      <x:c r="K122" s="26" t="str"/>
      <x:c r="L122" s="26" t="str">
        <x:v>gremlin</x:v>
      </x:c>
      <x:c r="M122" s="26" t="str">
        <x:v>Translate directly</x:v>
      </x:c>
      <x:c r="N122" s="26" t="str">
        <x:v>Production-ready</x:v>
      </x:c>
      <x:c r="O122" s="43" t="n">
        <x:v>0.99</x:v>
      </x:c>
      <x:c r="P122" s="26" t="str">
        <x:v>Use for card type/supertype/subtype intent, not for art or rules-text mentions.</x:v>
      </x:c>
      <x:c r="Q122" s="26" t="str">
        <x:v>https://scryfall.com/docs/syntax</x:v>
      </x:c>
      <x:c r="R122" s="26" t="str">
        <x:v>2026-08-21</x:v>
      </x:c>
    </x:row>
    <x:row r="123">
      <x:c r="A123" s="26" t="str">
        <x:v>CreatureTypes!A119</x:v>
      </x:c>
      <x:c r="B123" s="26" t="str">
        <x:v>Creature Type</x:v>
      </x:c>
      <x:c r="C123" s="26" t="str">
        <x:v>Griffin</x:v>
      </x:c>
      <x:c r="D123" s="26" t="str">
        <x:v>Type/subtype</x:v>
      </x:c>
      <x:c r="E123" s="26"/>
      <x:c r="F123" s="26" t="str">
        <x:v>t:"Griffin"</x:v>
      </x:c>
      <x:c r="G123" s="26" t="str">
        <x:v>High</x:v>
      </x:c>
      <x:c r="H123" s="26" t="str">
        <x:v>Native taxonomy</x:v>
      </x:c>
      <x:c r="I123" s="26" t="str">
        <x:v>type:</x:v>
      </x:c>
      <x:c r="J123" s="26" t="str">
        <x:v>t:"Griffin"</x:v>
      </x:c>
      <x:c r="K123" s="26" t="str"/>
      <x:c r="L123" s="26" t="str">
        <x:v>griffin</x:v>
      </x:c>
      <x:c r="M123" s="26" t="str">
        <x:v>Translate directly</x:v>
      </x:c>
      <x:c r="N123" s="26" t="str">
        <x:v>Production-ready</x:v>
      </x:c>
      <x:c r="O123" s="43" t="n">
        <x:v>0.99</x:v>
      </x:c>
      <x:c r="P123" s="26" t="str">
        <x:v>Use for card type/supertype/subtype intent, not for art or rules-text mentions.</x:v>
      </x:c>
      <x:c r="Q123" s="26" t="str">
        <x:v>https://scryfall.com/docs/syntax</x:v>
      </x:c>
      <x:c r="R123" s="26" t="str">
        <x:v>2026-08-21</x:v>
      </x:c>
    </x:row>
    <x:row r="124">
      <x:c r="A124" s="26" t="str">
        <x:v>CreatureTypes!A120</x:v>
      </x:c>
      <x:c r="B124" s="26" t="str">
        <x:v>Creature Type</x:v>
      </x:c>
      <x:c r="C124" s="26" t="str">
        <x:v>Guest</x:v>
      </x:c>
      <x:c r="D124" s="26" t="str">
        <x:v>Type/subtype</x:v>
      </x:c>
      <x:c r="E124" s="26"/>
      <x:c r="F124" s="26" t="str">
        <x:v>t:"Guest"</x:v>
      </x:c>
      <x:c r="G124" s="26" t="str">
        <x:v>High</x:v>
      </x:c>
      <x:c r="H124" s="26" t="str">
        <x:v>Native taxonomy</x:v>
      </x:c>
      <x:c r="I124" s="26" t="str">
        <x:v>type:</x:v>
      </x:c>
      <x:c r="J124" s="26" t="str">
        <x:v>t:"Guest"</x:v>
      </x:c>
      <x:c r="K124" s="26" t="str"/>
      <x:c r="L124" s="26" t="str">
        <x:v>guest</x:v>
      </x:c>
      <x:c r="M124" s="26" t="str">
        <x:v>Translate directly</x:v>
      </x:c>
      <x:c r="N124" s="26" t="str">
        <x:v>Production-ready</x:v>
      </x:c>
      <x:c r="O124" s="43" t="n">
        <x:v>0.99</x:v>
      </x:c>
      <x:c r="P124" s="26" t="str">
        <x:v>Use for card type/supertype/subtype intent, not for art or rules-text mentions.</x:v>
      </x:c>
      <x:c r="Q124" s="26" t="str">
        <x:v>https://scryfall.com/docs/syntax</x:v>
      </x:c>
      <x:c r="R124" s="26" t="str">
        <x:v>2026-08-21</x:v>
      </x:c>
    </x:row>
    <x:row r="125">
      <x:c r="A125" s="26" t="str">
        <x:v>CreatureTypes!A121</x:v>
      </x:c>
      <x:c r="B125" s="26" t="str">
        <x:v>Creature Type</x:v>
      </x:c>
      <x:c r="C125" s="26" t="str">
        <x:v>Hag</x:v>
      </x:c>
      <x:c r="D125" s="26" t="str">
        <x:v>Type/subtype</x:v>
      </x:c>
      <x:c r="E125" s="26"/>
      <x:c r="F125" s="26" t="str">
        <x:v>t:"Hag"</x:v>
      </x:c>
      <x:c r="G125" s="26" t="str">
        <x:v>High</x:v>
      </x:c>
      <x:c r="H125" s="26" t="str">
        <x:v>Native taxonomy</x:v>
      </x:c>
      <x:c r="I125" s="26" t="str">
        <x:v>type:</x:v>
      </x:c>
      <x:c r="J125" s="26" t="str">
        <x:v>t:"Hag"</x:v>
      </x:c>
      <x:c r="K125" s="26" t="str"/>
      <x:c r="L125" s="26" t="str">
        <x:v>hag</x:v>
      </x:c>
      <x:c r="M125" s="26" t="str">
        <x:v>Translate directly</x:v>
      </x:c>
      <x:c r="N125" s="26" t="str">
        <x:v>Production-ready</x:v>
      </x:c>
      <x:c r="O125" s="43" t="n">
        <x:v>0.99</x:v>
      </x:c>
      <x:c r="P125" s="26" t="str">
        <x:v>Use for card type/supertype/subtype intent, not for art or rules-text mentions.</x:v>
      </x:c>
      <x:c r="Q125" s="26" t="str">
        <x:v>https://scryfall.com/docs/syntax</x:v>
      </x:c>
      <x:c r="R125" s="26" t="str">
        <x:v>2026-08-21</x:v>
      </x:c>
    </x:row>
    <x:row r="126">
      <x:c r="A126" s="26" t="str">
        <x:v>CreatureTypes!A122</x:v>
      </x:c>
      <x:c r="B126" s="26" t="str">
        <x:v>Creature Type</x:v>
      </x:c>
      <x:c r="C126" s="26" t="str">
        <x:v>Halfling</x:v>
      </x:c>
      <x:c r="D126" s="26" t="str">
        <x:v>Type/subtype</x:v>
      </x:c>
      <x:c r="E126" s="26"/>
      <x:c r="F126" s="26" t="str">
        <x:v>t:"Halfling"</x:v>
      </x:c>
      <x:c r="G126" s="26" t="str">
        <x:v>High</x:v>
      </x:c>
      <x:c r="H126" s="26" t="str">
        <x:v>Native taxonomy</x:v>
      </x:c>
      <x:c r="I126" s="26" t="str">
        <x:v>type:</x:v>
      </x:c>
      <x:c r="J126" s="26" t="str">
        <x:v>t:"Halfling"</x:v>
      </x:c>
      <x:c r="K126" s="26" t="str"/>
      <x:c r="L126" s="26" t="str">
        <x:v>halfling</x:v>
      </x:c>
      <x:c r="M126" s="26" t="str">
        <x:v>Translate directly</x:v>
      </x:c>
      <x:c r="N126" s="26" t="str">
        <x:v>Production-ready</x:v>
      </x:c>
      <x:c r="O126" s="43" t="n">
        <x:v>0.99</x:v>
      </x:c>
      <x:c r="P126" s="26" t="str">
        <x:v>Use for card type/supertype/subtype intent, not for art or rules-text mentions.</x:v>
      </x:c>
      <x:c r="Q126" s="26" t="str">
        <x:v>https://scryfall.com/docs/syntax</x:v>
      </x:c>
      <x:c r="R126" s="26" t="str">
        <x:v>2026-08-21</x:v>
      </x:c>
    </x:row>
    <x:row r="127">
      <x:c r="A127" s="26" t="str">
        <x:v>CreatureTypes!A123</x:v>
      </x:c>
      <x:c r="B127" s="26" t="str">
        <x:v>Creature Type</x:v>
      </x:c>
      <x:c r="C127" s="26" t="str">
        <x:v>Hamster</x:v>
      </x:c>
      <x:c r="D127" s="26" t="str">
        <x:v>Type/subtype</x:v>
      </x:c>
      <x:c r="E127" s="26"/>
      <x:c r="F127" s="26" t="str">
        <x:v>t:"Hamster"</x:v>
      </x:c>
      <x:c r="G127" s="26" t="str">
        <x:v>High</x:v>
      </x:c>
      <x:c r="H127" s="26" t="str">
        <x:v>Native taxonomy</x:v>
      </x:c>
      <x:c r="I127" s="26" t="str">
        <x:v>type:</x:v>
      </x:c>
      <x:c r="J127" s="26" t="str">
        <x:v>t:"Hamster"</x:v>
      </x:c>
      <x:c r="K127" s="26" t="str"/>
      <x:c r="L127" s="26" t="str">
        <x:v>hamster</x:v>
      </x:c>
      <x:c r="M127" s="26" t="str">
        <x:v>Translate directly</x:v>
      </x:c>
      <x:c r="N127" s="26" t="str">
        <x:v>Production-ready</x:v>
      </x:c>
      <x:c r="O127" s="43" t="n">
        <x:v>0.99</x:v>
      </x:c>
      <x:c r="P127" s="26" t="str">
        <x:v>Use for card type/supertype/subtype intent, not for art or rules-text mentions.</x:v>
      </x:c>
      <x:c r="Q127" s="26" t="str">
        <x:v>https://scryfall.com/docs/syntax</x:v>
      </x:c>
      <x:c r="R127" s="26" t="str">
        <x:v>2026-08-21</x:v>
      </x:c>
    </x:row>
    <x:row r="128">
      <x:c r="A128" s="26" t="str">
        <x:v>CreatureTypes!A124</x:v>
      </x:c>
      <x:c r="B128" s="26" t="str">
        <x:v>Creature Type</x:v>
      </x:c>
      <x:c r="C128" s="26" t="str">
        <x:v>Harpy</x:v>
      </x:c>
      <x:c r="D128" s="26" t="str">
        <x:v>Type/subtype</x:v>
      </x:c>
      <x:c r="E128" s="26"/>
      <x:c r="F128" s="26" t="str">
        <x:v>t:"Harpy"</x:v>
      </x:c>
      <x:c r="G128" s="26" t="str">
        <x:v>High</x:v>
      </x:c>
      <x:c r="H128" s="26" t="str">
        <x:v>Native taxonomy</x:v>
      </x:c>
      <x:c r="I128" s="26" t="str">
        <x:v>type:</x:v>
      </x:c>
      <x:c r="J128" s="26" t="str">
        <x:v>t:"Harpy"</x:v>
      </x:c>
      <x:c r="K128" s="26" t="str"/>
      <x:c r="L128" s="26" t="str">
        <x:v>harpy</x:v>
      </x:c>
      <x:c r="M128" s="26" t="str">
        <x:v>Translate directly</x:v>
      </x:c>
      <x:c r="N128" s="26" t="str">
        <x:v>Production-ready</x:v>
      </x:c>
      <x:c r="O128" s="43" t="n">
        <x:v>0.99</x:v>
      </x:c>
      <x:c r="P128" s="26" t="str">
        <x:v>Use for card type/supertype/subtype intent, not for art or rules-text mentions.</x:v>
      </x:c>
      <x:c r="Q128" s="26" t="str">
        <x:v>https://scryfall.com/docs/syntax</x:v>
      </x:c>
      <x:c r="R128" s="26" t="str">
        <x:v>2026-08-21</x:v>
      </x:c>
    </x:row>
    <x:row r="129">
      <x:c r="A129" s="26" t="str">
        <x:v>CreatureTypes!A125</x:v>
      </x:c>
      <x:c r="B129" s="26" t="str">
        <x:v>Creature Type</x:v>
      </x:c>
      <x:c r="C129" s="26" t="str">
        <x:v>Head</x:v>
      </x:c>
      <x:c r="D129" s="26" t="str">
        <x:v>Type/subtype</x:v>
      </x:c>
      <x:c r="E129" s="26"/>
      <x:c r="F129" s="26" t="str">
        <x:v>t:"Head"</x:v>
      </x:c>
      <x:c r="G129" s="26" t="str">
        <x:v>High</x:v>
      </x:c>
      <x:c r="H129" s="26" t="str">
        <x:v>Native taxonomy</x:v>
      </x:c>
      <x:c r="I129" s="26" t="str">
        <x:v>type:</x:v>
      </x:c>
      <x:c r="J129" s="26" t="str">
        <x:v>t:"Head"</x:v>
      </x:c>
      <x:c r="K129" s="26" t="str"/>
      <x:c r="L129" s="26" t="str">
        <x:v>head</x:v>
      </x:c>
      <x:c r="M129" s="26" t="str">
        <x:v>Translate directly</x:v>
      </x:c>
      <x:c r="N129" s="26" t="str">
        <x:v>Production-ready</x:v>
      </x:c>
      <x:c r="O129" s="43" t="n">
        <x:v>0.99</x:v>
      </x:c>
      <x:c r="P129" s="26" t="str">
        <x:v>Use for card type/supertype/subtype intent, not for art or rules-text mentions.</x:v>
      </x:c>
      <x:c r="Q129" s="26" t="str">
        <x:v>https://scryfall.com/docs/syntax</x:v>
      </x:c>
      <x:c r="R129" s="26" t="str">
        <x:v>2026-08-21</x:v>
      </x:c>
    </x:row>
    <x:row r="130">
      <x:c r="A130" s="26" t="str">
        <x:v>CreatureTypes!A126</x:v>
      </x:c>
      <x:c r="B130" s="26" t="str">
        <x:v>Creature Type</x:v>
      </x:c>
      <x:c r="C130" s="26" t="str">
        <x:v>Hedgehog</x:v>
      </x:c>
      <x:c r="D130" s="26" t="str">
        <x:v>Type/subtype</x:v>
      </x:c>
      <x:c r="E130" s="26"/>
      <x:c r="F130" s="26" t="str">
        <x:v>t:"Hedgehog"</x:v>
      </x:c>
      <x:c r="G130" s="26" t="str">
        <x:v>High</x:v>
      </x:c>
      <x:c r="H130" s="26" t="str">
        <x:v>Native taxonomy</x:v>
      </x:c>
      <x:c r="I130" s="26" t="str">
        <x:v>type:</x:v>
      </x:c>
      <x:c r="J130" s="26" t="str">
        <x:v>t:"Hedgehog"</x:v>
      </x:c>
      <x:c r="K130" s="26" t="str"/>
      <x:c r="L130" s="26" t="str">
        <x:v>hedgehog</x:v>
      </x:c>
      <x:c r="M130" s="26" t="str">
        <x:v>Translate directly</x:v>
      </x:c>
      <x:c r="N130" s="26" t="str">
        <x:v>Production-ready</x:v>
      </x:c>
      <x:c r="O130" s="43" t="n">
        <x:v>0.99</x:v>
      </x:c>
      <x:c r="P130" s="26" t="str">
        <x:v>Use for card type/supertype/subtype intent, not for art or rules-text mentions.</x:v>
      </x:c>
      <x:c r="Q130" s="26" t="str">
        <x:v>https://scryfall.com/docs/syntax</x:v>
      </x:c>
      <x:c r="R130" s="26" t="str">
        <x:v>2026-08-21</x:v>
      </x:c>
    </x:row>
    <x:row r="131">
      <x:c r="A131" s="26" t="str">
        <x:v>CreatureTypes!A127</x:v>
      </x:c>
      <x:c r="B131" s="26" t="str">
        <x:v>Creature Type</x:v>
      </x:c>
      <x:c r="C131" s="26" t="str">
        <x:v>Hellion</x:v>
      </x:c>
      <x:c r="D131" s="26" t="str">
        <x:v>Type/subtype</x:v>
      </x:c>
      <x:c r="E131" s="26"/>
      <x:c r="F131" s="26" t="str">
        <x:v>t:"Hellion"</x:v>
      </x:c>
      <x:c r="G131" s="26" t="str">
        <x:v>High</x:v>
      </x:c>
      <x:c r="H131" s="26" t="str">
        <x:v>Native taxonomy</x:v>
      </x:c>
      <x:c r="I131" s="26" t="str">
        <x:v>type:</x:v>
      </x:c>
      <x:c r="J131" s="26" t="str">
        <x:v>t:"Hellion"</x:v>
      </x:c>
      <x:c r="K131" s="26" t="str"/>
      <x:c r="L131" s="26" t="str">
        <x:v>hellion</x:v>
      </x:c>
      <x:c r="M131" s="26" t="str">
        <x:v>Translate directly</x:v>
      </x:c>
      <x:c r="N131" s="26" t="str">
        <x:v>Production-ready</x:v>
      </x:c>
      <x:c r="O131" s="43" t="n">
        <x:v>0.99</x:v>
      </x:c>
      <x:c r="P131" s="26" t="str">
        <x:v>Use for card type/supertype/subtype intent, not for art or rules-text mentions.</x:v>
      </x:c>
      <x:c r="Q131" s="26" t="str">
        <x:v>https://scryfall.com/docs/syntax</x:v>
      </x:c>
      <x:c r="R131" s="26" t="str">
        <x:v>2026-08-21</x:v>
      </x:c>
    </x:row>
    <x:row r="132">
      <x:c r="A132" s="26" t="str">
        <x:v>CreatureTypes!A128</x:v>
      </x:c>
      <x:c r="B132" s="26" t="str">
        <x:v>Creature Type</x:v>
      </x:c>
      <x:c r="C132" s="26" t="str">
        <x:v>Hero</x:v>
      </x:c>
      <x:c r="D132" s="26" t="str">
        <x:v>Type/subtype</x:v>
      </x:c>
      <x:c r="E132" s="26"/>
      <x:c r="F132" s="26" t="str">
        <x:v>t:"Hero"</x:v>
      </x:c>
      <x:c r="G132" s="26" t="str">
        <x:v>High</x:v>
      </x:c>
      <x:c r="H132" s="26" t="str">
        <x:v>Native taxonomy</x:v>
      </x:c>
      <x:c r="I132" s="26" t="str">
        <x:v>type:</x:v>
      </x:c>
      <x:c r="J132" s="26" t="str">
        <x:v>t:"Hero"</x:v>
      </x:c>
      <x:c r="K132" s="26" t="str"/>
      <x:c r="L132" s="26" t="str">
        <x:v>hero</x:v>
      </x:c>
      <x:c r="M132" s="26" t="str">
        <x:v>Translate directly</x:v>
      </x:c>
      <x:c r="N132" s="26" t="str">
        <x:v>Production-ready</x:v>
      </x:c>
      <x:c r="O132" s="43" t="n">
        <x:v>0.99</x:v>
      </x:c>
      <x:c r="P132" s="26" t="str">
        <x:v>Use for card type/supertype/subtype intent, not for art or rules-text mentions.</x:v>
      </x:c>
      <x:c r="Q132" s="26" t="str">
        <x:v>https://scryfall.com/docs/syntax</x:v>
      </x:c>
      <x:c r="R132" s="26" t="str">
        <x:v>2026-08-21</x:v>
      </x:c>
    </x:row>
    <x:row r="133">
      <x:c r="A133" s="26" t="str">
        <x:v>CreatureTypes!A129</x:v>
      </x:c>
      <x:c r="B133" s="26" t="str">
        <x:v>Creature Type</x:v>
      </x:c>
      <x:c r="C133" s="26" t="str">
        <x:v>Hippo</x:v>
      </x:c>
      <x:c r="D133" s="26" t="str">
        <x:v>Type/subtype</x:v>
      </x:c>
      <x:c r="E133" s="26"/>
      <x:c r="F133" s="26" t="str">
        <x:v>t:"Hippo"</x:v>
      </x:c>
      <x:c r="G133" s="26" t="str">
        <x:v>High</x:v>
      </x:c>
      <x:c r="H133" s="26" t="str">
        <x:v>Native taxonomy</x:v>
      </x:c>
      <x:c r="I133" s="26" t="str">
        <x:v>type:</x:v>
      </x:c>
      <x:c r="J133" s="26" t="str">
        <x:v>t:"Hippo"</x:v>
      </x:c>
      <x:c r="K133" s="26" t="str"/>
      <x:c r="L133" s="26" t="str">
        <x:v>hippo</x:v>
      </x:c>
      <x:c r="M133" s="26" t="str">
        <x:v>Translate directly</x:v>
      </x:c>
      <x:c r="N133" s="26" t="str">
        <x:v>Production-ready</x:v>
      </x:c>
      <x:c r="O133" s="43" t="n">
        <x:v>0.99</x:v>
      </x:c>
      <x:c r="P133" s="26" t="str">
        <x:v>Use for card type/supertype/subtype intent, not for art or rules-text mentions.</x:v>
      </x:c>
      <x:c r="Q133" s="26" t="str">
        <x:v>https://scryfall.com/docs/syntax</x:v>
      </x:c>
      <x:c r="R133" s="26" t="str">
        <x:v>2026-08-21</x:v>
      </x:c>
    </x:row>
    <x:row r="134">
      <x:c r="A134" s="26" t="str">
        <x:v>CreatureTypes!A130</x:v>
      </x:c>
      <x:c r="B134" s="26" t="str">
        <x:v>Creature Type</x:v>
      </x:c>
      <x:c r="C134" s="26" t="str">
        <x:v>Hippogriff</x:v>
      </x:c>
      <x:c r="D134" s="26" t="str">
        <x:v>Type/subtype</x:v>
      </x:c>
      <x:c r="E134" s="26"/>
      <x:c r="F134" s="26" t="str">
        <x:v>t:"Hippogriff"</x:v>
      </x:c>
      <x:c r="G134" s="26" t="str">
        <x:v>High</x:v>
      </x:c>
      <x:c r="H134" s="26" t="str">
        <x:v>Native taxonomy</x:v>
      </x:c>
      <x:c r="I134" s="26" t="str">
        <x:v>type:</x:v>
      </x:c>
      <x:c r="J134" s="26" t="str">
        <x:v>t:"Hippogriff"</x:v>
      </x:c>
      <x:c r="K134" s="26" t="str"/>
      <x:c r="L134" s="26" t="str">
        <x:v>hippogriff</x:v>
      </x:c>
      <x:c r="M134" s="26" t="str">
        <x:v>Translate directly</x:v>
      </x:c>
      <x:c r="N134" s="26" t="str">
        <x:v>Production-ready</x:v>
      </x:c>
      <x:c r="O134" s="43" t="n">
        <x:v>0.99</x:v>
      </x:c>
      <x:c r="P134" s="26" t="str">
        <x:v>Use for card type/supertype/subtype intent, not for art or rules-text mentions.</x:v>
      </x:c>
      <x:c r="Q134" s="26" t="str">
        <x:v>https://scryfall.com/docs/syntax</x:v>
      </x:c>
      <x:c r="R134" s="26" t="str">
        <x:v>2026-08-21</x:v>
      </x:c>
    </x:row>
    <x:row r="135">
      <x:c r="A135" s="26" t="str">
        <x:v>CreatureTypes!A131</x:v>
      </x:c>
      <x:c r="B135" s="26" t="str">
        <x:v>Creature Type</x:v>
      </x:c>
      <x:c r="C135" s="26" t="str">
        <x:v>Homarid</x:v>
      </x:c>
      <x:c r="D135" s="26" t="str">
        <x:v>Type/subtype</x:v>
      </x:c>
      <x:c r="E135" s="26"/>
      <x:c r="F135" s="26" t="str">
        <x:v>t:"Homarid"</x:v>
      </x:c>
      <x:c r="G135" s="26" t="str">
        <x:v>High</x:v>
      </x:c>
      <x:c r="H135" s="26" t="str">
        <x:v>Native taxonomy</x:v>
      </x:c>
      <x:c r="I135" s="26" t="str">
        <x:v>type:</x:v>
      </x:c>
      <x:c r="J135" s="26" t="str">
        <x:v>t:"Homarid"</x:v>
      </x:c>
      <x:c r="K135" s="26" t="str"/>
      <x:c r="L135" s="26" t="str">
        <x:v>homarid</x:v>
      </x:c>
      <x:c r="M135" s="26" t="str">
        <x:v>Translate directly</x:v>
      </x:c>
      <x:c r="N135" s="26" t="str">
        <x:v>Production-ready</x:v>
      </x:c>
      <x:c r="O135" s="43" t="n">
        <x:v>0.99</x:v>
      </x:c>
      <x:c r="P135" s="26" t="str">
        <x:v>Use for card type/supertype/subtype intent, not for art or rules-text mentions.</x:v>
      </x:c>
      <x:c r="Q135" s="26" t="str">
        <x:v>https://scryfall.com/docs/syntax</x:v>
      </x:c>
      <x:c r="R135" s="26" t="str">
        <x:v>2026-08-21</x:v>
      </x:c>
    </x:row>
    <x:row r="136">
      <x:c r="A136" s="26" t="str">
        <x:v>CreatureTypes!A132</x:v>
      </x:c>
      <x:c r="B136" s="26" t="str">
        <x:v>Creature Type</x:v>
      </x:c>
      <x:c r="C136" s="26" t="str">
        <x:v>Homunculus</x:v>
      </x:c>
      <x:c r="D136" s="26" t="str">
        <x:v>Type/subtype</x:v>
      </x:c>
      <x:c r="E136" s="26"/>
      <x:c r="F136" s="26" t="str">
        <x:v>t:"Homunculus"</x:v>
      </x:c>
      <x:c r="G136" s="26" t="str">
        <x:v>High</x:v>
      </x:c>
      <x:c r="H136" s="26" t="str">
        <x:v>Native taxonomy</x:v>
      </x:c>
      <x:c r="I136" s="26" t="str">
        <x:v>type:</x:v>
      </x:c>
      <x:c r="J136" s="26" t="str">
        <x:v>t:"Homunculus"</x:v>
      </x:c>
      <x:c r="K136" s="26" t="str"/>
      <x:c r="L136" s="26" t="str">
        <x:v>homunculus</x:v>
      </x:c>
      <x:c r="M136" s="26" t="str">
        <x:v>Translate directly</x:v>
      </x:c>
      <x:c r="N136" s="26" t="str">
        <x:v>Production-ready</x:v>
      </x:c>
      <x:c r="O136" s="43" t="n">
        <x:v>0.99</x:v>
      </x:c>
      <x:c r="P136" s="26" t="str">
        <x:v>Use for card type/supertype/subtype intent, not for art or rules-text mentions.</x:v>
      </x:c>
      <x:c r="Q136" s="26" t="str">
        <x:v>https://scryfall.com/docs/syntax</x:v>
      </x:c>
      <x:c r="R136" s="26" t="str">
        <x:v>2026-08-21</x:v>
      </x:c>
    </x:row>
    <x:row r="137">
      <x:c r="A137" s="26" t="str">
        <x:v>CreatureTypes!A133</x:v>
      </x:c>
      <x:c r="B137" s="26" t="str">
        <x:v>Creature Type</x:v>
      </x:c>
      <x:c r="C137" s="26" t="str">
        <x:v>Horror</x:v>
      </x:c>
      <x:c r="D137" s="26" t="str">
        <x:v>Type/subtype</x:v>
      </x:c>
      <x:c r="E137" s="26"/>
      <x:c r="F137" s="26" t="str">
        <x:v>t:"Horror"</x:v>
      </x:c>
      <x:c r="G137" s="26" t="str">
        <x:v>High</x:v>
      </x:c>
      <x:c r="H137" s="26" t="str">
        <x:v>Native taxonomy</x:v>
      </x:c>
      <x:c r="I137" s="26" t="str">
        <x:v>type:</x:v>
      </x:c>
      <x:c r="J137" s="26" t="str">
        <x:v>t:"Horror"</x:v>
      </x:c>
      <x:c r="K137" s="26" t="str"/>
      <x:c r="L137" s="26" t="str">
        <x:v>horror</x:v>
      </x:c>
      <x:c r="M137" s="26" t="str">
        <x:v>Translate directly</x:v>
      </x:c>
      <x:c r="N137" s="26" t="str">
        <x:v>Production-ready</x:v>
      </x:c>
      <x:c r="O137" s="43" t="n">
        <x:v>0.99</x:v>
      </x:c>
      <x:c r="P137" s="26" t="str">
        <x:v>Use for card type/supertype/subtype intent, not for art or rules-text mentions.</x:v>
      </x:c>
      <x:c r="Q137" s="26" t="str">
        <x:v>https://scryfall.com/docs/syntax</x:v>
      </x:c>
      <x:c r="R137" s="26" t="str">
        <x:v>2026-08-21</x:v>
      </x:c>
    </x:row>
    <x:row r="138">
      <x:c r="A138" s="26" t="str">
        <x:v>CreatureTypes!A134</x:v>
      </x:c>
      <x:c r="B138" s="26" t="str">
        <x:v>Creature Type</x:v>
      </x:c>
      <x:c r="C138" s="26" t="str">
        <x:v>Horse</x:v>
      </x:c>
      <x:c r="D138" s="26" t="str">
        <x:v>Type/subtype</x:v>
      </x:c>
      <x:c r="E138" s="26"/>
      <x:c r="F138" s="26" t="str">
        <x:v>t:"Horse"</x:v>
      </x:c>
      <x:c r="G138" s="26" t="str">
        <x:v>High</x:v>
      </x:c>
      <x:c r="H138" s="26" t="str">
        <x:v>Native taxonomy</x:v>
      </x:c>
      <x:c r="I138" s="26" t="str">
        <x:v>type:</x:v>
      </x:c>
      <x:c r="J138" s="26" t="str">
        <x:v>t:"Horse"</x:v>
      </x:c>
      <x:c r="K138" s="26" t="str"/>
      <x:c r="L138" s="26" t="str">
        <x:v>horse</x:v>
      </x:c>
      <x:c r="M138" s="26" t="str">
        <x:v>Translate directly</x:v>
      </x:c>
      <x:c r="N138" s="26" t="str">
        <x:v>Production-ready</x:v>
      </x:c>
      <x:c r="O138" s="43" t="n">
        <x:v>0.99</x:v>
      </x:c>
      <x:c r="P138" s="26" t="str">
        <x:v>Use for card type/supertype/subtype intent, not for art or rules-text mentions.</x:v>
      </x:c>
      <x:c r="Q138" s="26" t="str">
        <x:v>https://scryfall.com/docs/syntax</x:v>
      </x:c>
      <x:c r="R138" s="26" t="str">
        <x:v>2026-08-21</x:v>
      </x:c>
    </x:row>
    <x:row r="139">
      <x:c r="A139" s="26" t="str">
        <x:v>CreatureTypes!A135</x:v>
      </x:c>
      <x:c r="B139" s="26" t="str">
        <x:v>Creature Type</x:v>
      </x:c>
      <x:c r="C139" s="26" t="str">
        <x:v>Human</x:v>
      </x:c>
      <x:c r="D139" s="26" t="str">
        <x:v>Type/subtype</x:v>
      </x:c>
      <x:c r="E139" s="26"/>
      <x:c r="F139" s="26" t="str">
        <x:v>t:"Human"</x:v>
      </x:c>
      <x:c r="G139" s="26" t="str">
        <x:v>High</x:v>
      </x:c>
      <x:c r="H139" s="26" t="str">
        <x:v>Native taxonomy</x:v>
      </x:c>
      <x:c r="I139" s="26" t="str">
        <x:v>type:</x:v>
      </x:c>
      <x:c r="J139" s="26" t="str">
        <x:v>t:"Human"</x:v>
      </x:c>
      <x:c r="K139" s="26" t="str"/>
      <x:c r="L139" s="26" t="str">
        <x:v>human</x:v>
      </x:c>
      <x:c r="M139" s="26" t="str">
        <x:v>Translate directly</x:v>
      </x:c>
      <x:c r="N139" s="26" t="str">
        <x:v>Production-ready</x:v>
      </x:c>
      <x:c r="O139" s="43" t="n">
        <x:v>0.99</x:v>
      </x:c>
      <x:c r="P139" s="26" t="str">
        <x:v>Use for card type/supertype/subtype intent, not for art or rules-text mentions.</x:v>
      </x:c>
      <x:c r="Q139" s="26" t="str">
        <x:v>https://scryfall.com/docs/syntax</x:v>
      </x:c>
      <x:c r="R139" s="26" t="str">
        <x:v>2026-08-21</x:v>
      </x:c>
    </x:row>
    <x:row r="140">
      <x:c r="A140" s="26" t="str">
        <x:v>CreatureTypes!A136</x:v>
      </x:c>
      <x:c r="B140" s="26" t="str">
        <x:v>Creature Type</x:v>
      </x:c>
      <x:c r="C140" s="26" t="str">
        <x:v>Hydra</x:v>
      </x:c>
      <x:c r="D140" s="26" t="str">
        <x:v>Type/subtype</x:v>
      </x:c>
      <x:c r="E140" s="26"/>
      <x:c r="F140" s="26" t="str">
        <x:v>t:"Hydra"</x:v>
      </x:c>
      <x:c r="G140" s="26" t="str">
        <x:v>High</x:v>
      </x:c>
      <x:c r="H140" s="26" t="str">
        <x:v>Native taxonomy</x:v>
      </x:c>
      <x:c r="I140" s="26" t="str">
        <x:v>type:</x:v>
      </x:c>
      <x:c r="J140" s="26" t="str">
        <x:v>t:"Hydra"</x:v>
      </x:c>
      <x:c r="K140" s="26" t="str"/>
      <x:c r="L140" s="26" t="str">
        <x:v>hydra</x:v>
      </x:c>
      <x:c r="M140" s="26" t="str">
        <x:v>Translate directly</x:v>
      </x:c>
      <x:c r="N140" s="26" t="str">
        <x:v>Production-ready</x:v>
      </x:c>
      <x:c r="O140" s="43" t="n">
        <x:v>0.99</x:v>
      </x:c>
      <x:c r="P140" s="26" t="str">
        <x:v>Use for card type/supertype/subtype intent, not for art or rules-text mentions.</x:v>
      </x:c>
      <x:c r="Q140" s="26" t="str">
        <x:v>https://scryfall.com/docs/syntax</x:v>
      </x:c>
      <x:c r="R140" s="26" t="str">
        <x:v>2026-08-21</x:v>
      </x:c>
    </x:row>
    <x:row r="141">
      <x:c r="A141" s="26" t="str">
        <x:v>CreatureTypes!A137</x:v>
      </x:c>
      <x:c r="B141" s="26" t="str">
        <x:v>Creature Type</x:v>
      </x:c>
      <x:c r="C141" s="26" t="str">
        <x:v>Hyena</x:v>
      </x:c>
      <x:c r="D141" s="26" t="str">
        <x:v>Type/subtype</x:v>
      </x:c>
      <x:c r="E141" s="26"/>
      <x:c r="F141" s="26" t="str">
        <x:v>t:"Hyena"</x:v>
      </x:c>
      <x:c r="G141" s="26" t="str">
        <x:v>High</x:v>
      </x:c>
      <x:c r="H141" s="26" t="str">
        <x:v>Native taxonomy</x:v>
      </x:c>
      <x:c r="I141" s="26" t="str">
        <x:v>type:</x:v>
      </x:c>
      <x:c r="J141" s="26" t="str">
        <x:v>t:"Hyena"</x:v>
      </x:c>
      <x:c r="K141" s="26" t="str"/>
      <x:c r="L141" s="26" t="str">
        <x:v>hyena</x:v>
      </x:c>
      <x:c r="M141" s="26" t="str">
        <x:v>Translate directly</x:v>
      </x:c>
      <x:c r="N141" s="26" t="str">
        <x:v>Production-ready</x:v>
      </x:c>
      <x:c r="O141" s="43" t="n">
        <x:v>0.99</x:v>
      </x:c>
      <x:c r="P141" s="26" t="str">
        <x:v>Use for card type/supertype/subtype intent, not for art or rules-text mentions.</x:v>
      </x:c>
      <x:c r="Q141" s="26" t="str">
        <x:v>https://scryfall.com/docs/syntax</x:v>
      </x:c>
      <x:c r="R141" s="26" t="str">
        <x:v>2026-08-21</x:v>
      </x:c>
    </x:row>
    <x:row r="142">
      <x:c r="A142" s="26" t="str">
        <x:v>CreatureTypes!A138</x:v>
      </x:c>
      <x:c r="B142" s="26" t="str">
        <x:v>Creature Type</x:v>
      </x:c>
      <x:c r="C142" s="26" t="str">
        <x:v>Illusion</x:v>
      </x:c>
      <x:c r="D142" s="26" t="str">
        <x:v>Type/subtype</x:v>
      </x:c>
      <x:c r="E142" s="26"/>
      <x:c r="F142" s="26" t="str">
        <x:v>t:"Illusion"</x:v>
      </x:c>
      <x:c r="G142" s="26" t="str">
        <x:v>High</x:v>
      </x:c>
      <x:c r="H142" s="26" t="str">
        <x:v>Native taxonomy</x:v>
      </x:c>
      <x:c r="I142" s="26" t="str">
        <x:v>type:</x:v>
      </x:c>
      <x:c r="J142" s="26" t="str">
        <x:v>t:"Illusion"</x:v>
      </x:c>
      <x:c r="K142" s="26" t="str"/>
      <x:c r="L142" s="26" t="str">
        <x:v>illusion</x:v>
      </x:c>
      <x:c r="M142" s="26" t="str">
        <x:v>Translate directly</x:v>
      </x:c>
      <x:c r="N142" s="26" t="str">
        <x:v>Production-ready</x:v>
      </x:c>
      <x:c r="O142" s="43" t="n">
        <x:v>0.99</x:v>
      </x:c>
      <x:c r="P142" s="26" t="str">
        <x:v>Use for card type/supertype/subtype intent, not for art or rules-text mentions.</x:v>
      </x:c>
      <x:c r="Q142" s="26" t="str">
        <x:v>https://scryfall.com/docs/syntax</x:v>
      </x:c>
      <x:c r="R142" s="26" t="str">
        <x:v>2026-08-21</x:v>
      </x:c>
    </x:row>
    <x:row r="143">
      <x:c r="A143" s="26" t="str">
        <x:v>CreatureTypes!A139</x:v>
      </x:c>
      <x:c r="B143" s="26" t="str">
        <x:v>Creature Type</x:v>
      </x:c>
      <x:c r="C143" s="26" t="str">
        <x:v>Imp</x:v>
      </x:c>
      <x:c r="D143" s="26" t="str">
        <x:v>Type/subtype</x:v>
      </x:c>
      <x:c r="E143" s="26"/>
      <x:c r="F143" s="26" t="str">
        <x:v>t:"Imp"</x:v>
      </x:c>
      <x:c r="G143" s="26" t="str">
        <x:v>High</x:v>
      </x:c>
      <x:c r="H143" s="26" t="str">
        <x:v>Native taxonomy</x:v>
      </x:c>
      <x:c r="I143" s="26" t="str">
        <x:v>type:</x:v>
      </x:c>
      <x:c r="J143" s="26" t="str">
        <x:v>t:"Imp"</x:v>
      </x:c>
      <x:c r="K143" s="26" t="str"/>
      <x:c r="L143" s="26" t="str">
        <x:v>imp</x:v>
      </x:c>
      <x:c r="M143" s="26" t="str">
        <x:v>Translate directly</x:v>
      </x:c>
      <x:c r="N143" s="26" t="str">
        <x:v>Production-ready</x:v>
      </x:c>
      <x:c r="O143" s="43" t="n">
        <x:v>0.99</x:v>
      </x:c>
      <x:c r="P143" s="26" t="str">
        <x:v>Use for card type/supertype/subtype intent, not for art or rules-text mentions.</x:v>
      </x:c>
      <x:c r="Q143" s="26" t="str">
        <x:v>https://scryfall.com/docs/syntax</x:v>
      </x:c>
      <x:c r="R143" s="26" t="str">
        <x:v>2026-08-21</x:v>
      </x:c>
    </x:row>
    <x:row r="144">
      <x:c r="A144" s="26" t="str">
        <x:v>CreatureTypes!A140</x:v>
      </x:c>
      <x:c r="B144" s="26" t="str">
        <x:v>Creature Type</x:v>
      </x:c>
      <x:c r="C144" s="26" t="str">
        <x:v>Incarnation</x:v>
      </x:c>
      <x:c r="D144" s="26" t="str">
        <x:v>Type/subtype</x:v>
      </x:c>
      <x:c r="E144" s="26"/>
      <x:c r="F144" s="26" t="str">
        <x:v>t:"Incarnation"</x:v>
      </x:c>
      <x:c r="G144" s="26" t="str">
        <x:v>High</x:v>
      </x:c>
      <x:c r="H144" s="26" t="str">
        <x:v>Native taxonomy</x:v>
      </x:c>
      <x:c r="I144" s="26" t="str">
        <x:v>type:</x:v>
      </x:c>
      <x:c r="J144" s="26" t="str">
        <x:v>t:"Incarnation"</x:v>
      </x:c>
      <x:c r="K144" s="26" t="str"/>
      <x:c r="L144" s="26" t="str">
        <x:v>incarnation</x:v>
      </x:c>
      <x:c r="M144" s="26" t="str">
        <x:v>Translate directly</x:v>
      </x:c>
      <x:c r="N144" s="26" t="str">
        <x:v>Production-ready</x:v>
      </x:c>
      <x:c r="O144" s="43" t="n">
        <x:v>0.99</x:v>
      </x:c>
      <x:c r="P144" s="26" t="str">
        <x:v>Use for card type/supertype/subtype intent, not for art or rules-text mentions.</x:v>
      </x:c>
      <x:c r="Q144" s="26" t="str">
        <x:v>https://scryfall.com/docs/syntax</x:v>
      </x:c>
      <x:c r="R144" s="26" t="str">
        <x:v>2026-08-21</x:v>
      </x:c>
    </x:row>
    <x:row r="145">
      <x:c r="A145" s="26" t="str">
        <x:v>CreatureTypes!A141</x:v>
      </x:c>
      <x:c r="B145" s="26" t="str">
        <x:v>Creature Type</x:v>
      </x:c>
      <x:c r="C145" s="26" t="str">
        <x:v>Inhuman</x:v>
      </x:c>
      <x:c r="D145" s="26" t="str">
        <x:v>Type/subtype</x:v>
      </x:c>
      <x:c r="E145" s="26"/>
      <x:c r="F145" s="26" t="str">
        <x:v>t:"Inhuman"</x:v>
      </x:c>
      <x:c r="G145" s="26" t="str">
        <x:v>High</x:v>
      </x:c>
      <x:c r="H145" s="26" t="str">
        <x:v>Native taxonomy</x:v>
      </x:c>
      <x:c r="I145" s="26" t="str">
        <x:v>type:</x:v>
      </x:c>
      <x:c r="J145" s="26" t="str">
        <x:v>t:"Inhuman"</x:v>
      </x:c>
      <x:c r="K145" s="26" t="str"/>
      <x:c r="L145" s="26" t="str">
        <x:v>inhuman</x:v>
      </x:c>
      <x:c r="M145" s="26" t="str">
        <x:v>Translate directly</x:v>
      </x:c>
      <x:c r="N145" s="26" t="str">
        <x:v>Production-ready</x:v>
      </x:c>
      <x:c r="O145" s="43" t="n">
        <x:v>0.99</x:v>
      </x:c>
      <x:c r="P145" s="26" t="str">
        <x:v>Use for card type/supertype/subtype intent, not for art or rules-text mentions.</x:v>
      </x:c>
      <x:c r="Q145" s="26" t="str">
        <x:v>https://scryfall.com/docs/syntax</x:v>
      </x:c>
      <x:c r="R145" s="26" t="str">
        <x:v>2026-08-21</x:v>
      </x:c>
    </x:row>
    <x:row r="146">
      <x:c r="A146" s="26" t="str">
        <x:v>CreatureTypes!A142</x:v>
      </x:c>
      <x:c r="B146" s="26" t="str">
        <x:v>Creature Type</x:v>
      </x:c>
      <x:c r="C146" s="26" t="str">
        <x:v>Inkling</x:v>
      </x:c>
      <x:c r="D146" s="26" t="str">
        <x:v>Type/subtype</x:v>
      </x:c>
      <x:c r="E146" s="26"/>
      <x:c r="F146" s="26" t="str">
        <x:v>t:"Inkling"</x:v>
      </x:c>
      <x:c r="G146" s="26" t="str">
        <x:v>High</x:v>
      </x:c>
      <x:c r="H146" s="26" t="str">
        <x:v>Native taxonomy</x:v>
      </x:c>
      <x:c r="I146" s="26" t="str">
        <x:v>type:</x:v>
      </x:c>
      <x:c r="J146" s="26" t="str">
        <x:v>t:"Inkling"</x:v>
      </x:c>
      <x:c r="K146" s="26" t="str"/>
      <x:c r="L146" s="26" t="str">
        <x:v>inkling</x:v>
      </x:c>
      <x:c r="M146" s="26" t="str">
        <x:v>Translate directly</x:v>
      </x:c>
      <x:c r="N146" s="26" t="str">
        <x:v>Production-ready</x:v>
      </x:c>
      <x:c r="O146" s="43" t="n">
        <x:v>0.99</x:v>
      </x:c>
      <x:c r="P146" s="26" t="str">
        <x:v>Use for card type/supertype/subtype intent, not for art or rules-text mentions.</x:v>
      </x:c>
      <x:c r="Q146" s="26" t="str">
        <x:v>https://scryfall.com/docs/syntax</x:v>
      </x:c>
      <x:c r="R146" s="26" t="str">
        <x:v>2026-08-21</x:v>
      </x:c>
    </x:row>
    <x:row r="147">
      <x:c r="A147" s="26" t="str">
        <x:v>CreatureTypes!A143</x:v>
      </x:c>
      <x:c r="B147" s="26" t="str">
        <x:v>Creature Type</x:v>
      </x:c>
      <x:c r="C147" s="26" t="str">
        <x:v>Inquisitor</x:v>
      </x:c>
      <x:c r="D147" s="26" t="str">
        <x:v>Type/subtype</x:v>
      </x:c>
      <x:c r="E147" s="26"/>
      <x:c r="F147" s="26" t="str">
        <x:v>t:"Inquisitor"</x:v>
      </x:c>
      <x:c r="G147" s="26" t="str">
        <x:v>High</x:v>
      </x:c>
      <x:c r="H147" s="26" t="str">
        <x:v>Native taxonomy</x:v>
      </x:c>
      <x:c r="I147" s="26" t="str">
        <x:v>type:</x:v>
      </x:c>
      <x:c r="J147" s="26" t="str">
        <x:v>t:"Inquisitor"</x:v>
      </x:c>
      <x:c r="K147" s="26" t="str"/>
      <x:c r="L147" s="26" t="str">
        <x:v>inquisitor</x:v>
      </x:c>
      <x:c r="M147" s="26" t="str">
        <x:v>Translate directly</x:v>
      </x:c>
      <x:c r="N147" s="26" t="str">
        <x:v>Production-ready</x:v>
      </x:c>
      <x:c r="O147" s="43" t="n">
        <x:v>0.99</x:v>
      </x:c>
      <x:c r="P147" s="26" t="str">
        <x:v>Use for card type/supertype/subtype intent, not for art or rules-text mentions.</x:v>
      </x:c>
      <x:c r="Q147" s="26" t="str">
        <x:v>https://scryfall.com/docs/syntax</x:v>
      </x:c>
      <x:c r="R147" s="26" t="str">
        <x:v>2026-08-21</x:v>
      </x:c>
    </x:row>
    <x:row r="148">
      <x:c r="A148" s="26" t="str">
        <x:v>CreatureTypes!A144</x:v>
      </x:c>
      <x:c r="B148" s="26" t="str">
        <x:v>Creature Type</x:v>
      </x:c>
      <x:c r="C148" s="26" t="str">
        <x:v>Insect</x:v>
      </x:c>
      <x:c r="D148" s="26" t="str">
        <x:v>Type/subtype</x:v>
      </x:c>
      <x:c r="E148" s="26"/>
      <x:c r="F148" s="26" t="str">
        <x:v>t:"Insect"</x:v>
      </x:c>
      <x:c r="G148" s="26" t="str">
        <x:v>High</x:v>
      </x:c>
      <x:c r="H148" s="26" t="str">
        <x:v>Native taxonomy</x:v>
      </x:c>
      <x:c r="I148" s="26" t="str">
        <x:v>type:</x:v>
      </x:c>
      <x:c r="J148" s="26" t="str">
        <x:v>t:"Insect"</x:v>
      </x:c>
      <x:c r="K148" s="26" t="str"/>
      <x:c r="L148" s="26" t="str">
        <x:v>insect</x:v>
      </x:c>
      <x:c r="M148" s="26" t="str">
        <x:v>Translate directly</x:v>
      </x:c>
      <x:c r="N148" s="26" t="str">
        <x:v>Production-ready</x:v>
      </x:c>
      <x:c r="O148" s="43" t="n">
        <x:v>0.99</x:v>
      </x:c>
      <x:c r="P148" s="26" t="str">
        <x:v>Use for card type/supertype/subtype intent, not for art or rules-text mentions.</x:v>
      </x:c>
      <x:c r="Q148" s="26" t="str">
        <x:v>https://scryfall.com/docs/syntax</x:v>
      </x:c>
      <x:c r="R148" s="26" t="str">
        <x:v>2026-08-21</x:v>
      </x:c>
    </x:row>
    <x:row r="149">
      <x:c r="A149" s="26" t="str">
        <x:v>CreatureTypes!A145</x:v>
      </x:c>
      <x:c r="B149" s="26" t="str">
        <x:v>Creature Type</x:v>
      </x:c>
      <x:c r="C149" s="26" t="str">
        <x:v>Jackal</x:v>
      </x:c>
      <x:c r="D149" s="26" t="str">
        <x:v>Type/subtype</x:v>
      </x:c>
      <x:c r="E149" s="26"/>
      <x:c r="F149" s="26" t="str">
        <x:v>t:"Jackal"</x:v>
      </x:c>
      <x:c r="G149" s="26" t="str">
        <x:v>High</x:v>
      </x:c>
      <x:c r="H149" s="26" t="str">
        <x:v>Native taxonomy</x:v>
      </x:c>
      <x:c r="I149" s="26" t="str">
        <x:v>type:</x:v>
      </x:c>
      <x:c r="J149" s="26" t="str">
        <x:v>t:"Jackal"</x:v>
      </x:c>
      <x:c r="K149" s="26" t="str"/>
      <x:c r="L149" s="26" t="str">
        <x:v>jackal</x:v>
      </x:c>
      <x:c r="M149" s="26" t="str">
        <x:v>Translate directly</x:v>
      </x:c>
      <x:c r="N149" s="26" t="str">
        <x:v>Production-ready</x:v>
      </x:c>
      <x:c r="O149" s="43" t="n">
        <x:v>0.99</x:v>
      </x:c>
      <x:c r="P149" s="26" t="str">
        <x:v>Use for card type/supertype/subtype intent, not for art or rules-text mentions.</x:v>
      </x:c>
      <x:c r="Q149" s="26" t="str">
        <x:v>https://scryfall.com/docs/syntax</x:v>
      </x:c>
      <x:c r="R149" s="26" t="str">
        <x:v>2026-08-21</x:v>
      </x:c>
    </x:row>
    <x:row r="150">
      <x:c r="A150" s="26" t="str">
        <x:v>CreatureTypes!A146</x:v>
      </x:c>
      <x:c r="B150" s="26" t="str">
        <x:v>Creature Type</x:v>
      </x:c>
      <x:c r="C150" s="26" t="str">
        <x:v>Jellyfish</x:v>
      </x:c>
      <x:c r="D150" s="26" t="str">
        <x:v>Type/subtype</x:v>
      </x:c>
      <x:c r="E150" s="26"/>
      <x:c r="F150" s="26" t="str">
        <x:v>t:"Jellyfish"</x:v>
      </x:c>
      <x:c r="G150" s="26" t="str">
        <x:v>High</x:v>
      </x:c>
      <x:c r="H150" s="26" t="str">
        <x:v>Native taxonomy</x:v>
      </x:c>
      <x:c r="I150" s="26" t="str">
        <x:v>type:</x:v>
      </x:c>
      <x:c r="J150" s="26" t="str">
        <x:v>t:"Jellyfish"</x:v>
      </x:c>
      <x:c r="K150" s="26" t="str"/>
      <x:c r="L150" s="26" t="str">
        <x:v>jellyfish</x:v>
      </x:c>
      <x:c r="M150" s="26" t="str">
        <x:v>Translate directly</x:v>
      </x:c>
      <x:c r="N150" s="26" t="str">
        <x:v>Production-ready</x:v>
      </x:c>
      <x:c r="O150" s="43" t="n">
        <x:v>0.99</x:v>
      </x:c>
      <x:c r="P150" s="26" t="str">
        <x:v>Use for card type/supertype/subtype intent, not for art or rules-text mentions.</x:v>
      </x:c>
      <x:c r="Q150" s="26" t="str">
        <x:v>https://scryfall.com/docs/syntax</x:v>
      </x:c>
      <x:c r="R150" s="26" t="str">
        <x:v>2026-08-21</x:v>
      </x:c>
    </x:row>
    <x:row r="151">
      <x:c r="A151" s="26" t="str">
        <x:v>CreatureTypes!A147</x:v>
      </x:c>
      <x:c r="B151" s="26" t="str">
        <x:v>Creature Type</x:v>
      </x:c>
      <x:c r="C151" s="26" t="str">
        <x:v>Juggernaut</x:v>
      </x:c>
      <x:c r="D151" s="26" t="str">
        <x:v>Type/subtype</x:v>
      </x:c>
      <x:c r="E151" s="26"/>
      <x:c r="F151" s="26" t="str">
        <x:v>t:"Juggernaut"</x:v>
      </x:c>
      <x:c r="G151" s="26" t="str">
        <x:v>High</x:v>
      </x:c>
      <x:c r="H151" s="26" t="str">
        <x:v>Native taxonomy</x:v>
      </x:c>
      <x:c r="I151" s="26" t="str">
        <x:v>type:</x:v>
      </x:c>
      <x:c r="J151" s="26" t="str">
        <x:v>t:"Juggernaut"</x:v>
      </x:c>
      <x:c r="K151" s="26" t="str"/>
      <x:c r="L151" s="26" t="str">
        <x:v>juggernaut</x:v>
      </x:c>
      <x:c r="M151" s="26" t="str">
        <x:v>Translate directly</x:v>
      </x:c>
      <x:c r="N151" s="26" t="str">
        <x:v>Production-ready</x:v>
      </x:c>
      <x:c r="O151" s="43" t="n">
        <x:v>0.99</x:v>
      </x:c>
      <x:c r="P151" s="26" t="str">
        <x:v>Use for card type/supertype/subtype intent, not for art or rules-text mentions.</x:v>
      </x:c>
      <x:c r="Q151" s="26" t="str">
        <x:v>https://scryfall.com/docs/syntax</x:v>
      </x:c>
      <x:c r="R151" s="26" t="str">
        <x:v>2026-08-21</x:v>
      </x:c>
    </x:row>
    <x:row r="152">
      <x:c r="A152" s="26" t="str">
        <x:v>CreatureTypes!A148</x:v>
      </x:c>
      <x:c r="B152" s="26" t="str">
        <x:v>Creature Type</x:v>
      </x:c>
      <x:c r="C152" s="26" t="str">
        <x:v>Kangaroo</x:v>
      </x:c>
      <x:c r="D152" s="26" t="str">
        <x:v>Type/subtype</x:v>
      </x:c>
      <x:c r="E152" s="26"/>
      <x:c r="F152" s="26" t="str">
        <x:v>t:"Kangaroo"</x:v>
      </x:c>
      <x:c r="G152" s="26" t="str">
        <x:v>High</x:v>
      </x:c>
      <x:c r="H152" s="26" t="str">
        <x:v>Native taxonomy</x:v>
      </x:c>
      <x:c r="I152" s="26" t="str">
        <x:v>type:</x:v>
      </x:c>
      <x:c r="J152" s="26" t="str">
        <x:v>t:"Kangaroo"</x:v>
      </x:c>
      <x:c r="K152" s="26" t="str"/>
      <x:c r="L152" s="26" t="str">
        <x:v>kangaroo</x:v>
      </x:c>
      <x:c r="M152" s="26" t="str">
        <x:v>Translate directly</x:v>
      </x:c>
      <x:c r="N152" s="26" t="str">
        <x:v>Production-ready</x:v>
      </x:c>
      <x:c r="O152" s="43" t="n">
        <x:v>0.99</x:v>
      </x:c>
      <x:c r="P152" s="26" t="str">
        <x:v>Use for card type/supertype/subtype intent, not for art or rules-text mentions.</x:v>
      </x:c>
      <x:c r="Q152" s="26" t="str">
        <x:v>https://scryfall.com/docs/syntax</x:v>
      </x:c>
      <x:c r="R152" s="26" t="str">
        <x:v>2026-08-21</x:v>
      </x:c>
    </x:row>
    <x:row r="153">
      <x:c r="A153" s="26" t="str">
        <x:v>CreatureTypes!A149</x:v>
      </x:c>
      <x:c r="B153" s="26" t="str">
        <x:v>Creature Type</x:v>
      </x:c>
      <x:c r="C153" s="26" t="str">
        <x:v>Kavu</x:v>
      </x:c>
      <x:c r="D153" s="26" t="str">
        <x:v>Type/subtype</x:v>
      </x:c>
      <x:c r="E153" s="26"/>
      <x:c r="F153" s="26" t="str">
        <x:v>t:"Kavu"</x:v>
      </x:c>
      <x:c r="G153" s="26" t="str">
        <x:v>High</x:v>
      </x:c>
      <x:c r="H153" s="26" t="str">
        <x:v>Native taxonomy</x:v>
      </x:c>
      <x:c r="I153" s="26" t="str">
        <x:v>type:</x:v>
      </x:c>
      <x:c r="J153" s="26" t="str">
        <x:v>t:"Kavu"</x:v>
      </x:c>
      <x:c r="K153" s="26" t="str"/>
      <x:c r="L153" s="26" t="str">
        <x:v>kavu</x:v>
      </x:c>
      <x:c r="M153" s="26" t="str">
        <x:v>Translate directly</x:v>
      </x:c>
      <x:c r="N153" s="26" t="str">
        <x:v>Production-ready</x:v>
      </x:c>
      <x:c r="O153" s="43" t="n">
        <x:v>0.99</x:v>
      </x:c>
      <x:c r="P153" s="26" t="str">
        <x:v>Use for card type/supertype/subtype intent, not for art or rules-text mentions.</x:v>
      </x:c>
      <x:c r="Q153" s="26" t="str">
        <x:v>https://scryfall.com/docs/syntax</x:v>
      </x:c>
      <x:c r="R153" s="26" t="str">
        <x:v>2026-08-21</x:v>
      </x:c>
    </x:row>
    <x:row r="154">
      <x:c r="A154" s="26" t="str">
        <x:v>CreatureTypes!A150</x:v>
      </x:c>
      <x:c r="B154" s="26" t="str">
        <x:v>Creature Type</x:v>
      </x:c>
      <x:c r="C154" s="26" t="str">
        <x:v>Kirin</x:v>
      </x:c>
      <x:c r="D154" s="26" t="str">
        <x:v>Type/subtype</x:v>
      </x:c>
      <x:c r="E154" s="26"/>
      <x:c r="F154" s="26" t="str">
        <x:v>t:"Kirin"</x:v>
      </x:c>
      <x:c r="G154" s="26" t="str">
        <x:v>High</x:v>
      </x:c>
      <x:c r="H154" s="26" t="str">
        <x:v>Native taxonomy</x:v>
      </x:c>
      <x:c r="I154" s="26" t="str">
        <x:v>type:</x:v>
      </x:c>
      <x:c r="J154" s="26" t="str">
        <x:v>t:"Kirin"</x:v>
      </x:c>
      <x:c r="K154" s="26" t="str"/>
      <x:c r="L154" s="26" t="str">
        <x:v>kirin</x:v>
      </x:c>
      <x:c r="M154" s="26" t="str">
        <x:v>Translate directly</x:v>
      </x:c>
      <x:c r="N154" s="26" t="str">
        <x:v>Production-ready</x:v>
      </x:c>
      <x:c r="O154" s="43" t="n">
        <x:v>0.99</x:v>
      </x:c>
      <x:c r="P154" s="26" t="str">
        <x:v>Use for card type/supertype/subtype intent, not for art or rules-text mentions.</x:v>
      </x:c>
      <x:c r="Q154" s="26" t="str">
        <x:v>https://scryfall.com/docs/syntax</x:v>
      </x:c>
      <x:c r="R154" s="26" t="str">
        <x:v>2026-08-21</x:v>
      </x:c>
    </x:row>
    <x:row r="155">
      <x:c r="A155" s="26" t="str">
        <x:v>CreatureTypes!A151</x:v>
      </x:c>
      <x:c r="B155" s="26" t="str">
        <x:v>Creature Type</x:v>
      </x:c>
      <x:c r="C155" s="26" t="str">
        <x:v>Kithkin</x:v>
      </x:c>
      <x:c r="D155" s="26" t="str">
        <x:v>Type/subtype</x:v>
      </x:c>
      <x:c r="E155" s="26"/>
      <x:c r="F155" s="26" t="str">
        <x:v>t:"Kithkin"</x:v>
      </x:c>
      <x:c r="G155" s="26" t="str">
        <x:v>High</x:v>
      </x:c>
      <x:c r="H155" s="26" t="str">
        <x:v>Native taxonomy</x:v>
      </x:c>
      <x:c r="I155" s="26" t="str">
        <x:v>type:</x:v>
      </x:c>
      <x:c r="J155" s="26" t="str">
        <x:v>t:"Kithkin"</x:v>
      </x:c>
      <x:c r="K155" s="26" t="str"/>
      <x:c r="L155" s="26" t="str">
        <x:v>kithkin</x:v>
      </x:c>
      <x:c r="M155" s="26" t="str">
        <x:v>Translate directly</x:v>
      </x:c>
      <x:c r="N155" s="26" t="str">
        <x:v>Production-ready</x:v>
      </x:c>
      <x:c r="O155" s="43" t="n">
        <x:v>0.99</x:v>
      </x:c>
      <x:c r="P155" s="26" t="str">
        <x:v>Use for card type/supertype/subtype intent, not for art or rules-text mentions.</x:v>
      </x:c>
      <x:c r="Q155" s="26" t="str">
        <x:v>https://scryfall.com/docs/syntax</x:v>
      </x:c>
      <x:c r="R155" s="26" t="str">
        <x:v>2026-08-21</x:v>
      </x:c>
    </x:row>
    <x:row r="156">
      <x:c r="A156" s="26" t="str">
        <x:v>CreatureTypes!A152</x:v>
      </x:c>
      <x:c r="B156" s="26" t="str">
        <x:v>Creature Type</x:v>
      </x:c>
      <x:c r="C156" s="26" t="str">
        <x:v>Knight</x:v>
      </x:c>
      <x:c r="D156" s="26" t="str">
        <x:v>Type/subtype</x:v>
      </x:c>
      <x:c r="E156" s="26"/>
      <x:c r="F156" s="26" t="str">
        <x:v>t:"Knight"</x:v>
      </x:c>
      <x:c r="G156" s="26" t="str">
        <x:v>High</x:v>
      </x:c>
      <x:c r="H156" s="26" t="str">
        <x:v>Native taxonomy</x:v>
      </x:c>
      <x:c r="I156" s="26" t="str">
        <x:v>type:</x:v>
      </x:c>
      <x:c r="J156" s="26" t="str">
        <x:v>t:"Knight"</x:v>
      </x:c>
      <x:c r="K156" s="26" t="str"/>
      <x:c r="L156" s="26" t="str">
        <x:v>knight</x:v>
      </x:c>
      <x:c r="M156" s="26" t="str">
        <x:v>Translate directly</x:v>
      </x:c>
      <x:c r="N156" s="26" t="str">
        <x:v>Production-ready</x:v>
      </x:c>
      <x:c r="O156" s="43" t="n">
        <x:v>0.99</x:v>
      </x:c>
      <x:c r="P156" s="26" t="str">
        <x:v>Use for card type/supertype/subtype intent, not for art or rules-text mentions.</x:v>
      </x:c>
      <x:c r="Q156" s="26" t="str">
        <x:v>https://scryfall.com/docs/syntax</x:v>
      </x:c>
      <x:c r="R156" s="26" t="str">
        <x:v>2026-08-21</x:v>
      </x:c>
    </x:row>
    <x:row r="157">
      <x:c r="A157" s="26" t="str">
        <x:v>CreatureTypes!A153</x:v>
      </x:c>
      <x:c r="B157" s="26" t="str">
        <x:v>Creature Type</x:v>
      </x:c>
      <x:c r="C157" s="26" t="str">
        <x:v>Kobold</x:v>
      </x:c>
      <x:c r="D157" s="26" t="str">
        <x:v>Type/subtype</x:v>
      </x:c>
      <x:c r="E157" s="26"/>
      <x:c r="F157" s="26" t="str">
        <x:v>t:"Kobold"</x:v>
      </x:c>
      <x:c r="G157" s="26" t="str">
        <x:v>High</x:v>
      </x:c>
      <x:c r="H157" s="26" t="str">
        <x:v>Native taxonomy</x:v>
      </x:c>
      <x:c r="I157" s="26" t="str">
        <x:v>type:</x:v>
      </x:c>
      <x:c r="J157" s="26" t="str">
        <x:v>t:"Kobold"</x:v>
      </x:c>
      <x:c r="K157" s="26" t="str"/>
      <x:c r="L157" s="26" t="str">
        <x:v>kobold</x:v>
      </x:c>
      <x:c r="M157" s="26" t="str">
        <x:v>Translate directly</x:v>
      </x:c>
      <x:c r="N157" s="26" t="str">
        <x:v>Production-ready</x:v>
      </x:c>
      <x:c r="O157" s="43" t="n">
        <x:v>0.99</x:v>
      </x:c>
      <x:c r="P157" s="26" t="str">
        <x:v>Use for card type/supertype/subtype intent, not for art or rules-text mentions.</x:v>
      </x:c>
      <x:c r="Q157" s="26" t="str">
        <x:v>https://scryfall.com/docs/syntax</x:v>
      </x:c>
      <x:c r="R157" s="26" t="str">
        <x:v>2026-08-21</x:v>
      </x:c>
    </x:row>
    <x:row r="158">
      <x:c r="A158" s="26" t="str">
        <x:v>CreatureTypes!A154</x:v>
      </x:c>
      <x:c r="B158" s="26" t="str">
        <x:v>Creature Type</x:v>
      </x:c>
      <x:c r="C158" s="26" t="str">
        <x:v>Kor</x:v>
      </x:c>
      <x:c r="D158" s="26" t="str">
        <x:v>Type/subtype</x:v>
      </x:c>
      <x:c r="E158" s="26"/>
      <x:c r="F158" s="26" t="str">
        <x:v>t:"Kor"</x:v>
      </x:c>
      <x:c r="G158" s="26" t="str">
        <x:v>High</x:v>
      </x:c>
      <x:c r="H158" s="26" t="str">
        <x:v>Native taxonomy</x:v>
      </x:c>
      <x:c r="I158" s="26" t="str">
        <x:v>type:</x:v>
      </x:c>
      <x:c r="J158" s="26" t="str">
        <x:v>t:"Kor"</x:v>
      </x:c>
      <x:c r="K158" s="26" t="str"/>
      <x:c r="L158" s="26" t="str">
        <x:v>kor</x:v>
      </x:c>
      <x:c r="M158" s="26" t="str">
        <x:v>Translate directly</x:v>
      </x:c>
      <x:c r="N158" s="26" t="str">
        <x:v>Production-ready</x:v>
      </x:c>
      <x:c r="O158" s="43" t="n">
        <x:v>0.99</x:v>
      </x:c>
      <x:c r="P158" s="26" t="str">
        <x:v>Use for card type/supertype/subtype intent, not for art or rules-text mentions.</x:v>
      </x:c>
      <x:c r="Q158" s="26" t="str">
        <x:v>https://scryfall.com/docs/syntax</x:v>
      </x:c>
      <x:c r="R158" s="26" t="str">
        <x:v>2026-08-21</x:v>
      </x:c>
    </x:row>
    <x:row r="159">
      <x:c r="A159" s="26" t="str">
        <x:v>CreatureTypes!A155</x:v>
      </x:c>
      <x:c r="B159" s="26" t="str">
        <x:v>Creature Type</x:v>
      </x:c>
      <x:c r="C159" s="26" t="str">
        <x:v>Kraken</x:v>
      </x:c>
      <x:c r="D159" s="26" t="str">
        <x:v>Type/subtype</x:v>
      </x:c>
      <x:c r="E159" s="26"/>
      <x:c r="F159" s="26" t="str">
        <x:v>t:"Kraken"</x:v>
      </x:c>
      <x:c r="G159" s="26" t="str">
        <x:v>High</x:v>
      </x:c>
      <x:c r="H159" s="26" t="str">
        <x:v>Native taxonomy</x:v>
      </x:c>
      <x:c r="I159" s="26" t="str">
        <x:v>type:</x:v>
      </x:c>
      <x:c r="J159" s="26" t="str">
        <x:v>t:"Kraken"</x:v>
      </x:c>
      <x:c r="K159" s="26" t="str"/>
      <x:c r="L159" s="26" t="str">
        <x:v>kraken</x:v>
      </x:c>
      <x:c r="M159" s="26" t="str">
        <x:v>Translate directly</x:v>
      </x:c>
      <x:c r="N159" s="26" t="str">
        <x:v>Production-ready</x:v>
      </x:c>
      <x:c r="O159" s="43" t="n">
        <x:v>0.99</x:v>
      </x:c>
      <x:c r="P159" s="26" t="str">
        <x:v>Use for card type/supertype/subtype intent, not for art or rules-text mentions.</x:v>
      </x:c>
      <x:c r="Q159" s="26" t="str">
        <x:v>https://scryfall.com/docs/syntax</x:v>
      </x:c>
      <x:c r="R159" s="26" t="str">
        <x:v>2026-08-21</x:v>
      </x:c>
    </x:row>
    <x:row r="160">
      <x:c r="A160" s="26" t="str">
        <x:v>CreatureTypes!A156</x:v>
      </x:c>
      <x:c r="B160" s="26" t="str">
        <x:v>Creature Type</x:v>
      </x:c>
      <x:c r="C160" s="26" t="str">
        <x:v>Kree</x:v>
      </x:c>
      <x:c r="D160" s="26" t="str">
        <x:v>Type/subtype</x:v>
      </x:c>
      <x:c r="E160" s="26"/>
      <x:c r="F160" s="26" t="str">
        <x:v>t:"Kree"</x:v>
      </x:c>
      <x:c r="G160" s="26" t="str">
        <x:v>High</x:v>
      </x:c>
      <x:c r="H160" s="26" t="str">
        <x:v>Native taxonomy</x:v>
      </x:c>
      <x:c r="I160" s="26" t="str">
        <x:v>type:</x:v>
      </x:c>
      <x:c r="J160" s="26" t="str">
        <x:v>t:"Kree"</x:v>
      </x:c>
      <x:c r="K160" s="26" t="str"/>
      <x:c r="L160" s="26" t="str">
        <x:v>kree</x:v>
      </x:c>
      <x:c r="M160" s="26" t="str">
        <x:v>Translate directly</x:v>
      </x:c>
      <x:c r="N160" s="26" t="str">
        <x:v>Production-ready</x:v>
      </x:c>
      <x:c r="O160" s="43" t="n">
        <x:v>0.99</x:v>
      </x:c>
      <x:c r="P160" s="26" t="str">
        <x:v>Use for card type/supertype/subtype intent, not for art or rules-text mentions.</x:v>
      </x:c>
      <x:c r="Q160" s="26" t="str">
        <x:v>https://scryfall.com/docs/syntax</x:v>
      </x:c>
      <x:c r="R160" s="26" t="str">
        <x:v>2026-08-21</x:v>
      </x:c>
    </x:row>
    <x:row r="161">
      <x:c r="A161" s="26" t="str">
        <x:v>CreatureTypes!A157</x:v>
      </x:c>
      <x:c r="B161" s="26" t="str">
        <x:v>Creature Type</x:v>
      </x:c>
      <x:c r="C161" s="26" t="str">
        <x:v>Lamia</x:v>
      </x:c>
      <x:c r="D161" s="26" t="str">
        <x:v>Type/subtype</x:v>
      </x:c>
      <x:c r="E161" s="26"/>
      <x:c r="F161" s="26" t="str">
        <x:v>t:"Lamia"</x:v>
      </x:c>
      <x:c r="G161" s="26" t="str">
        <x:v>High</x:v>
      </x:c>
      <x:c r="H161" s="26" t="str">
        <x:v>Native taxonomy</x:v>
      </x:c>
      <x:c r="I161" s="26" t="str">
        <x:v>type:</x:v>
      </x:c>
      <x:c r="J161" s="26" t="str">
        <x:v>t:"Lamia"</x:v>
      </x:c>
      <x:c r="K161" s="26" t="str"/>
      <x:c r="L161" s="26" t="str">
        <x:v>lamia</x:v>
      </x:c>
      <x:c r="M161" s="26" t="str">
        <x:v>Translate directly</x:v>
      </x:c>
      <x:c r="N161" s="26" t="str">
        <x:v>Production-ready</x:v>
      </x:c>
      <x:c r="O161" s="43" t="n">
        <x:v>0.99</x:v>
      </x:c>
      <x:c r="P161" s="26" t="str">
        <x:v>Use for card type/supertype/subtype intent, not for art or rules-text mentions.</x:v>
      </x:c>
      <x:c r="Q161" s="26" t="str">
        <x:v>https://scryfall.com/docs/syntax</x:v>
      </x:c>
      <x:c r="R161" s="26" t="str">
        <x:v>2026-08-21</x:v>
      </x:c>
    </x:row>
    <x:row r="162">
      <x:c r="A162" s="26" t="str">
        <x:v>CreatureTypes!A158</x:v>
      </x:c>
      <x:c r="B162" s="26" t="str">
        <x:v>Creature Type</x:v>
      </x:c>
      <x:c r="C162" s="26" t="str">
        <x:v>Lammasu</x:v>
      </x:c>
      <x:c r="D162" s="26" t="str">
        <x:v>Type/subtype</x:v>
      </x:c>
      <x:c r="E162" s="26"/>
      <x:c r="F162" s="26" t="str">
        <x:v>t:"Lammasu"</x:v>
      </x:c>
      <x:c r="G162" s="26" t="str">
        <x:v>High</x:v>
      </x:c>
      <x:c r="H162" s="26" t="str">
        <x:v>Native taxonomy</x:v>
      </x:c>
      <x:c r="I162" s="26" t="str">
        <x:v>type:</x:v>
      </x:c>
      <x:c r="J162" s="26" t="str">
        <x:v>t:"Lammasu"</x:v>
      </x:c>
      <x:c r="K162" s="26" t="str"/>
      <x:c r="L162" s="26" t="str">
        <x:v>lammasu</x:v>
      </x:c>
      <x:c r="M162" s="26" t="str">
        <x:v>Translate directly</x:v>
      </x:c>
      <x:c r="N162" s="26" t="str">
        <x:v>Production-ready</x:v>
      </x:c>
      <x:c r="O162" s="43" t="n">
        <x:v>0.99</x:v>
      </x:c>
      <x:c r="P162" s="26" t="str">
        <x:v>Use for card type/supertype/subtype intent, not for art or rules-text mentions.</x:v>
      </x:c>
      <x:c r="Q162" s="26" t="str">
        <x:v>https://scryfall.com/docs/syntax</x:v>
      </x:c>
      <x:c r="R162" s="26" t="str">
        <x:v>2026-08-21</x:v>
      </x:c>
    </x:row>
    <x:row r="163">
      <x:c r="A163" s="26" t="str">
        <x:v>CreatureTypes!A159</x:v>
      </x:c>
      <x:c r="B163" s="26" t="str">
        <x:v>Creature Type</x:v>
      </x:c>
      <x:c r="C163" s="26" t="str">
        <x:v>Leech</x:v>
      </x:c>
      <x:c r="D163" s="26" t="str">
        <x:v>Type/subtype</x:v>
      </x:c>
      <x:c r="E163" s="26"/>
      <x:c r="F163" s="26" t="str">
        <x:v>t:"Leech"</x:v>
      </x:c>
      <x:c r="G163" s="26" t="str">
        <x:v>High</x:v>
      </x:c>
      <x:c r="H163" s="26" t="str">
        <x:v>Native taxonomy</x:v>
      </x:c>
      <x:c r="I163" s="26" t="str">
        <x:v>type:</x:v>
      </x:c>
      <x:c r="J163" s="26" t="str">
        <x:v>t:"Leech"</x:v>
      </x:c>
      <x:c r="K163" s="26" t="str"/>
      <x:c r="L163" s="26" t="str">
        <x:v>leech</x:v>
      </x:c>
      <x:c r="M163" s="26" t="str">
        <x:v>Translate directly</x:v>
      </x:c>
      <x:c r="N163" s="26" t="str">
        <x:v>Production-ready</x:v>
      </x:c>
      <x:c r="O163" s="43" t="n">
        <x:v>0.99</x:v>
      </x:c>
      <x:c r="P163" s="26" t="str">
        <x:v>Use for card type/supertype/subtype intent, not for art or rules-text mentions.</x:v>
      </x:c>
      <x:c r="Q163" s="26" t="str">
        <x:v>https://scryfall.com/docs/syntax</x:v>
      </x:c>
      <x:c r="R163" s="26" t="str">
        <x:v>2026-08-21</x:v>
      </x:c>
    </x:row>
    <x:row r="164">
      <x:c r="A164" s="26" t="str">
        <x:v>CreatureTypes!A160</x:v>
      </x:c>
      <x:c r="B164" s="26" t="str">
        <x:v>Creature Type</x:v>
      </x:c>
      <x:c r="C164" s="26" t="str">
        <x:v>Lemur</x:v>
      </x:c>
      <x:c r="D164" s="26" t="str">
        <x:v>Type/subtype</x:v>
      </x:c>
      <x:c r="E164" s="26"/>
      <x:c r="F164" s="26" t="str">
        <x:v>t:"Lemur"</x:v>
      </x:c>
      <x:c r="G164" s="26" t="str">
        <x:v>High</x:v>
      </x:c>
      <x:c r="H164" s="26" t="str">
        <x:v>Native taxonomy</x:v>
      </x:c>
      <x:c r="I164" s="26" t="str">
        <x:v>type:</x:v>
      </x:c>
      <x:c r="J164" s="26" t="str">
        <x:v>t:"Lemur"</x:v>
      </x:c>
      <x:c r="K164" s="26" t="str"/>
      <x:c r="L164" s="26" t="str">
        <x:v>lemur</x:v>
      </x:c>
      <x:c r="M164" s="26" t="str">
        <x:v>Translate directly</x:v>
      </x:c>
      <x:c r="N164" s="26" t="str">
        <x:v>Production-ready</x:v>
      </x:c>
      <x:c r="O164" s="43" t="n">
        <x:v>0.99</x:v>
      </x:c>
      <x:c r="P164" s="26" t="str">
        <x:v>Use for card type/supertype/subtype intent, not for art or rules-text mentions.</x:v>
      </x:c>
      <x:c r="Q164" s="26" t="str">
        <x:v>https://scryfall.com/docs/syntax</x:v>
      </x:c>
      <x:c r="R164" s="26" t="str">
        <x:v>2026-08-21</x:v>
      </x:c>
    </x:row>
    <x:row r="165">
      <x:c r="A165" s="26" t="str">
        <x:v>CreatureTypes!A161</x:v>
      </x:c>
      <x:c r="B165" s="26" t="str">
        <x:v>Creature Type</x:v>
      </x:c>
      <x:c r="C165" s="26" t="str">
        <x:v>Leviathan</x:v>
      </x:c>
      <x:c r="D165" s="26" t="str">
        <x:v>Type/subtype</x:v>
      </x:c>
      <x:c r="E165" s="26"/>
      <x:c r="F165" s="26" t="str">
        <x:v>t:"Leviathan"</x:v>
      </x:c>
      <x:c r="G165" s="26" t="str">
        <x:v>High</x:v>
      </x:c>
      <x:c r="H165" s="26" t="str">
        <x:v>Native taxonomy</x:v>
      </x:c>
      <x:c r="I165" s="26" t="str">
        <x:v>type:</x:v>
      </x:c>
      <x:c r="J165" s="26" t="str">
        <x:v>t:"Leviathan"</x:v>
      </x:c>
      <x:c r="K165" s="26" t="str"/>
      <x:c r="L165" s="26" t="str">
        <x:v>leviathan</x:v>
      </x:c>
      <x:c r="M165" s="26" t="str">
        <x:v>Translate directly</x:v>
      </x:c>
      <x:c r="N165" s="26" t="str">
        <x:v>Production-ready</x:v>
      </x:c>
      <x:c r="O165" s="43" t="n">
        <x:v>0.99</x:v>
      </x:c>
      <x:c r="P165" s="26" t="str">
        <x:v>Use for card type/supertype/subtype intent, not for art or rules-text mentions.</x:v>
      </x:c>
      <x:c r="Q165" s="26" t="str">
        <x:v>https://scryfall.com/docs/syntax</x:v>
      </x:c>
      <x:c r="R165" s="26" t="str">
        <x:v>2026-08-21</x:v>
      </x:c>
    </x:row>
    <x:row r="166">
      <x:c r="A166" s="26" t="str">
        <x:v>CreatureTypes!A162</x:v>
      </x:c>
      <x:c r="B166" s="26" t="str">
        <x:v>Creature Type</x:v>
      </x:c>
      <x:c r="C166" s="26" t="str">
        <x:v>Lhurgoyf</x:v>
      </x:c>
      <x:c r="D166" s="26" t="str">
        <x:v>Type/subtype</x:v>
      </x:c>
      <x:c r="E166" s="26"/>
      <x:c r="F166" s="26" t="str">
        <x:v>t:"Lhurgoyf"</x:v>
      </x:c>
      <x:c r="G166" s="26" t="str">
        <x:v>High</x:v>
      </x:c>
      <x:c r="H166" s="26" t="str">
        <x:v>Native taxonomy</x:v>
      </x:c>
      <x:c r="I166" s="26" t="str">
        <x:v>type:</x:v>
      </x:c>
      <x:c r="J166" s="26" t="str">
        <x:v>t:"Lhurgoyf"</x:v>
      </x:c>
      <x:c r="K166" s="26" t="str"/>
      <x:c r="L166" s="26" t="str">
        <x:v>lhurgoyf</x:v>
      </x:c>
      <x:c r="M166" s="26" t="str">
        <x:v>Translate directly</x:v>
      </x:c>
      <x:c r="N166" s="26" t="str">
        <x:v>Production-ready</x:v>
      </x:c>
      <x:c r="O166" s="43" t="n">
        <x:v>0.99</x:v>
      </x:c>
      <x:c r="P166" s="26" t="str">
        <x:v>Use for card type/supertype/subtype intent, not for art or rules-text mentions.</x:v>
      </x:c>
      <x:c r="Q166" s="26" t="str">
        <x:v>https://scryfall.com/docs/syntax</x:v>
      </x:c>
      <x:c r="R166" s="26" t="str">
        <x:v>2026-08-21</x:v>
      </x:c>
    </x:row>
    <x:row r="167">
      <x:c r="A167" s="26" t="str">
        <x:v>CreatureTypes!A163</x:v>
      </x:c>
      <x:c r="B167" s="26" t="str">
        <x:v>Creature Type</x:v>
      </x:c>
      <x:c r="C167" s="26" t="str">
        <x:v>Licid</x:v>
      </x:c>
      <x:c r="D167" s="26" t="str">
        <x:v>Type/subtype</x:v>
      </x:c>
      <x:c r="E167" s="26"/>
      <x:c r="F167" s="26" t="str">
        <x:v>t:"Licid"</x:v>
      </x:c>
      <x:c r="G167" s="26" t="str">
        <x:v>High</x:v>
      </x:c>
      <x:c r="H167" s="26" t="str">
        <x:v>Native taxonomy</x:v>
      </x:c>
      <x:c r="I167" s="26" t="str">
        <x:v>type:</x:v>
      </x:c>
      <x:c r="J167" s="26" t="str">
        <x:v>t:"Licid"</x:v>
      </x:c>
      <x:c r="K167" s="26" t="str"/>
      <x:c r="L167" s="26" t="str">
        <x:v>licid</x:v>
      </x:c>
      <x:c r="M167" s="26" t="str">
        <x:v>Translate directly</x:v>
      </x:c>
      <x:c r="N167" s="26" t="str">
        <x:v>Production-ready</x:v>
      </x:c>
      <x:c r="O167" s="43" t="n">
        <x:v>0.99</x:v>
      </x:c>
      <x:c r="P167" s="26" t="str">
        <x:v>Use for card type/supertype/subtype intent, not for art or rules-text mentions.</x:v>
      </x:c>
      <x:c r="Q167" s="26" t="str">
        <x:v>https://scryfall.com/docs/syntax</x:v>
      </x:c>
      <x:c r="R167" s="26" t="str">
        <x:v>2026-08-21</x:v>
      </x:c>
    </x:row>
    <x:row r="168">
      <x:c r="A168" s="26" t="str">
        <x:v>CreatureTypes!A164</x:v>
      </x:c>
      <x:c r="B168" s="26" t="str">
        <x:v>Creature Type</x:v>
      </x:c>
      <x:c r="C168" s="26" t="str">
        <x:v>Lizard</x:v>
      </x:c>
      <x:c r="D168" s="26" t="str">
        <x:v>Type/subtype</x:v>
      </x:c>
      <x:c r="E168" s="26"/>
      <x:c r="F168" s="26" t="str">
        <x:v>t:"Lizard"</x:v>
      </x:c>
      <x:c r="G168" s="26" t="str">
        <x:v>High</x:v>
      </x:c>
      <x:c r="H168" s="26" t="str">
        <x:v>Native taxonomy</x:v>
      </x:c>
      <x:c r="I168" s="26" t="str">
        <x:v>type:</x:v>
      </x:c>
      <x:c r="J168" s="26" t="str">
        <x:v>t:"Lizard"</x:v>
      </x:c>
      <x:c r="K168" s="26" t="str"/>
      <x:c r="L168" s="26" t="str">
        <x:v>lizard</x:v>
      </x:c>
      <x:c r="M168" s="26" t="str">
        <x:v>Translate directly</x:v>
      </x:c>
      <x:c r="N168" s="26" t="str">
        <x:v>Production-ready</x:v>
      </x:c>
      <x:c r="O168" s="43" t="n">
        <x:v>0.99</x:v>
      </x:c>
      <x:c r="P168" s="26" t="str">
        <x:v>Use for card type/supertype/subtype intent, not for art or rules-text mentions.</x:v>
      </x:c>
      <x:c r="Q168" s="26" t="str">
        <x:v>https://scryfall.com/docs/syntax</x:v>
      </x:c>
      <x:c r="R168" s="26" t="str">
        <x:v>2026-08-21</x:v>
      </x:c>
    </x:row>
    <x:row r="169">
      <x:c r="A169" s="26" t="str">
        <x:v>CreatureTypes!A165</x:v>
      </x:c>
      <x:c r="B169" s="26" t="str">
        <x:v>Creature Type</x:v>
      </x:c>
      <x:c r="C169" s="26" t="str">
        <x:v>Llama</x:v>
      </x:c>
      <x:c r="D169" s="26" t="str">
        <x:v>Type/subtype</x:v>
      </x:c>
      <x:c r="E169" s="26"/>
      <x:c r="F169" s="26" t="str">
        <x:v>t:"Llama"</x:v>
      </x:c>
      <x:c r="G169" s="26" t="str">
        <x:v>High</x:v>
      </x:c>
      <x:c r="H169" s="26" t="str">
        <x:v>Native taxonomy</x:v>
      </x:c>
      <x:c r="I169" s="26" t="str">
        <x:v>type:</x:v>
      </x:c>
      <x:c r="J169" s="26" t="str">
        <x:v>t:"Llama"</x:v>
      </x:c>
      <x:c r="K169" s="26" t="str"/>
      <x:c r="L169" s="26" t="str">
        <x:v>llama</x:v>
      </x:c>
      <x:c r="M169" s="26" t="str">
        <x:v>Translate directly</x:v>
      </x:c>
      <x:c r="N169" s="26" t="str">
        <x:v>Production-ready</x:v>
      </x:c>
      <x:c r="O169" s="43" t="n">
        <x:v>0.99</x:v>
      </x:c>
      <x:c r="P169" s="26" t="str">
        <x:v>Use for card type/supertype/subtype intent, not for art or rules-text mentions.</x:v>
      </x:c>
      <x:c r="Q169" s="26" t="str">
        <x:v>https://scryfall.com/docs/syntax</x:v>
      </x:c>
      <x:c r="R169" s="26" t="str">
        <x:v>2026-08-21</x:v>
      </x:c>
    </x:row>
    <x:row r="170">
      <x:c r="A170" s="26" t="str">
        <x:v>CreatureTypes!A166</x:v>
      </x:c>
      <x:c r="B170" s="26" t="str">
        <x:v>Creature Type</x:v>
      </x:c>
      <x:c r="C170" s="26" t="str">
        <x:v>Lobster</x:v>
      </x:c>
      <x:c r="D170" s="26" t="str">
        <x:v>Type/subtype</x:v>
      </x:c>
      <x:c r="E170" s="26"/>
      <x:c r="F170" s="26" t="str">
        <x:v>t:"Lobster"</x:v>
      </x:c>
      <x:c r="G170" s="26" t="str">
        <x:v>High</x:v>
      </x:c>
      <x:c r="H170" s="26" t="str">
        <x:v>Native taxonomy</x:v>
      </x:c>
      <x:c r="I170" s="26" t="str">
        <x:v>type:</x:v>
      </x:c>
      <x:c r="J170" s="26" t="str">
        <x:v>t:"Lobster"</x:v>
      </x:c>
      <x:c r="K170" s="26" t="str"/>
      <x:c r="L170" s="26" t="str">
        <x:v>lobster</x:v>
      </x:c>
      <x:c r="M170" s="26" t="str">
        <x:v>Translate directly</x:v>
      </x:c>
      <x:c r="N170" s="26" t="str">
        <x:v>Production-ready</x:v>
      </x:c>
      <x:c r="O170" s="43" t="n">
        <x:v>0.99</x:v>
      </x:c>
      <x:c r="P170" s="26" t="str">
        <x:v>Use for card type/supertype/subtype intent, not for art or rules-text mentions.</x:v>
      </x:c>
      <x:c r="Q170" s="26" t="str">
        <x:v>https://scryfall.com/docs/syntax</x:v>
      </x:c>
      <x:c r="R170" s="26" t="str">
        <x:v>2026-08-21</x:v>
      </x:c>
    </x:row>
    <x:row r="171">
      <x:c r="A171" s="26" t="str">
        <x:v>CreatureTypes!A167</x:v>
      </x:c>
      <x:c r="B171" s="26" t="str">
        <x:v>Creature Type</x:v>
      </x:c>
      <x:c r="C171" s="26" t="str">
        <x:v>Manticore</x:v>
      </x:c>
      <x:c r="D171" s="26" t="str">
        <x:v>Type/subtype</x:v>
      </x:c>
      <x:c r="E171" s="26"/>
      <x:c r="F171" s="26" t="str">
        <x:v>t:"Manticore"</x:v>
      </x:c>
      <x:c r="G171" s="26" t="str">
        <x:v>High</x:v>
      </x:c>
      <x:c r="H171" s="26" t="str">
        <x:v>Native taxonomy</x:v>
      </x:c>
      <x:c r="I171" s="26" t="str">
        <x:v>type:</x:v>
      </x:c>
      <x:c r="J171" s="26" t="str">
        <x:v>t:"Manticore"</x:v>
      </x:c>
      <x:c r="K171" s="26" t="str"/>
      <x:c r="L171" s="26" t="str">
        <x:v>manticore</x:v>
      </x:c>
      <x:c r="M171" s="26" t="str">
        <x:v>Translate directly</x:v>
      </x:c>
      <x:c r="N171" s="26" t="str">
        <x:v>Production-ready</x:v>
      </x:c>
      <x:c r="O171" s="43" t="n">
        <x:v>0.99</x:v>
      </x:c>
      <x:c r="P171" s="26" t="str">
        <x:v>Use for card type/supertype/subtype intent, not for art or rules-text mentions.</x:v>
      </x:c>
      <x:c r="Q171" s="26" t="str">
        <x:v>https://scryfall.com/docs/syntax</x:v>
      </x:c>
      <x:c r="R171" s="26" t="str">
        <x:v>2026-08-21</x:v>
      </x:c>
    </x:row>
    <x:row r="172">
      <x:c r="A172" s="26" t="str">
        <x:v>CreatureTypes!A168</x:v>
      </x:c>
      <x:c r="B172" s="26" t="str">
        <x:v>Creature Type</x:v>
      </x:c>
      <x:c r="C172" s="26" t="str">
        <x:v>Masticore</x:v>
      </x:c>
      <x:c r="D172" s="26" t="str">
        <x:v>Type/subtype</x:v>
      </x:c>
      <x:c r="E172" s="26"/>
      <x:c r="F172" s="26" t="str">
        <x:v>t:"Masticore"</x:v>
      </x:c>
      <x:c r="G172" s="26" t="str">
        <x:v>High</x:v>
      </x:c>
      <x:c r="H172" s="26" t="str">
        <x:v>Native taxonomy</x:v>
      </x:c>
      <x:c r="I172" s="26" t="str">
        <x:v>type:</x:v>
      </x:c>
      <x:c r="J172" s="26" t="str">
        <x:v>t:"Masticore"</x:v>
      </x:c>
      <x:c r="K172" s="26" t="str"/>
      <x:c r="L172" s="26" t="str">
        <x:v>masticore</x:v>
      </x:c>
      <x:c r="M172" s="26" t="str">
        <x:v>Translate directly</x:v>
      </x:c>
      <x:c r="N172" s="26" t="str">
        <x:v>Production-ready</x:v>
      </x:c>
      <x:c r="O172" s="43" t="n">
        <x:v>0.99</x:v>
      </x:c>
      <x:c r="P172" s="26" t="str">
        <x:v>Use for card type/supertype/subtype intent, not for art or rules-text mentions.</x:v>
      </x:c>
      <x:c r="Q172" s="26" t="str">
        <x:v>https://scryfall.com/docs/syntax</x:v>
      </x:c>
      <x:c r="R172" s="26" t="str">
        <x:v>2026-08-21</x:v>
      </x:c>
    </x:row>
    <x:row r="173">
      <x:c r="A173" s="26" t="str">
        <x:v>CreatureTypes!A169</x:v>
      </x:c>
      <x:c r="B173" s="26" t="str">
        <x:v>Creature Type</x:v>
      </x:c>
      <x:c r="C173" s="26" t="str">
        <x:v>Mercenary</x:v>
      </x:c>
      <x:c r="D173" s="26" t="str">
        <x:v>Type/subtype</x:v>
      </x:c>
      <x:c r="E173" s="26"/>
      <x:c r="F173" s="26" t="str">
        <x:v>t:"Mercenary"</x:v>
      </x:c>
      <x:c r="G173" s="26" t="str">
        <x:v>High</x:v>
      </x:c>
      <x:c r="H173" s="26" t="str">
        <x:v>Native taxonomy</x:v>
      </x:c>
      <x:c r="I173" s="26" t="str">
        <x:v>type:</x:v>
      </x:c>
      <x:c r="J173" s="26" t="str">
        <x:v>t:"Mercenary"</x:v>
      </x:c>
      <x:c r="K173" s="26" t="str"/>
      <x:c r="L173" s="26" t="str">
        <x:v>mercenary</x:v>
      </x:c>
      <x:c r="M173" s="26" t="str">
        <x:v>Translate directly</x:v>
      </x:c>
      <x:c r="N173" s="26" t="str">
        <x:v>Production-ready</x:v>
      </x:c>
      <x:c r="O173" s="43" t="n">
        <x:v>0.99</x:v>
      </x:c>
      <x:c r="P173" s="26" t="str">
        <x:v>Use for card type/supertype/subtype intent, not for art or rules-text mentions.</x:v>
      </x:c>
      <x:c r="Q173" s="26" t="str">
        <x:v>https://scryfall.com/docs/syntax</x:v>
      </x:c>
      <x:c r="R173" s="26" t="str">
        <x:v>2026-08-21</x:v>
      </x:c>
    </x:row>
    <x:row r="174">
      <x:c r="A174" s="26" t="str">
        <x:v>CreatureTypes!A170</x:v>
      </x:c>
      <x:c r="B174" s="26" t="str">
        <x:v>Creature Type</x:v>
      </x:c>
      <x:c r="C174" s="26" t="str">
        <x:v>Merfolk</x:v>
      </x:c>
      <x:c r="D174" s="26" t="str">
        <x:v>Type/subtype</x:v>
      </x:c>
      <x:c r="E174" s="26"/>
      <x:c r="F174" s="26" t="str">
        <x:v>t:"Merfolk"</x:v>
      </x:c>
      <x:c r="G174" s="26" t="str">
        <x:v>High</x:v>
      </x:c>
      <x:c r="H174" s="26" t="str">
        <x:v>Native taxonomy</x:v>
      </x:c>
      <x:c r="I174" s="26" t="str">
        <x:v>type:</x:v>
      </x:c>
      <x:c r="J174" s="26" t="str">
        <x:v>t:"Merfolk"</x:v>
      </x:c>
      <x:c r="K174" s="26" t="str"/>
      <x:c r="L174" s="26" t="str">
        <x:v>merfolk</x:v>
      </x:c>
      <x:c r="M174" s="26" t="str">
        <x:v>Translate directly</x:v>
      </x:c>
      <x:c r="N174" s="26" t="str">
        <x:v>Production-ready</x:v>
      </x:c>
      <x:c r="O174" s="43" t="n">
        <x:v>0.99</x:v>
      </x:c>
      <x:c r="P174" s="26" t="str">
        <x:v>Use for card type/supertype/subtype intent, not for art or rules-text mentions.</x:v>
      </x:c>
      <x:c r="Q174" s="26" t="str">
        <x:v>https://scryfall.com/docs/syntax</x:v>
      </x:c>
      <x:c r="R174" s="26" t="str">
        <x:v>2026-08-21</x:v>
      </x:c>
    </x:row>
    <x:row r="175">
      <x:c r="A175" s="26" t="str">
        <x:v>CreatureTypes!A171</x:v>
      </x:c>
      <x:c r="B175" s="26" t="str">
        <x:v>Creature Type</x:v>
      </x:c>
      <x:c r="C175" s="26" t="str">
        <x:v>Metathran</x:v>
      </x:c>
      <x:c r="D175" s="26" t="str">
        <x:v>Type/subtype</x:v>
      </x:c>
      <x:c r="E175" s="26"/>
      <x:c r="F175" s="26" t="str">
        <x:v>t:"Metathran"</x:v>
      </x:c>
      <x:c r="G175" s="26" t="str">
        <x:v>High</x:v>
      </x:c>
      <x:c r="H175" s="26" t="str">
        <x:v>Native taxonomy</x:v>
      </x:c>
      <x:c r="I175" s="26" t="str">
        <x:v>type:</x:v>
      </x:c>
      <x:c r="J175" s="26" t="str">
        <x:v>t:"Metathran"</x:v>
      </x:c>
      <x:c r="K175" s="26" t="str"/>
      <x:c r="L175" s="26" t="str">
        <x:v>metathran</x:v>
      </x:c>
      <x:c r="M175" s="26" t="str">
        <x:v>Translate directly</x:v>
      </x:c>
      <x:c r="N175" s="26" t="str">
        <x:v>Production-ready</x:v>
      </x:c>
      <x:c r="O175" s="43" t="n">
        <x:v>0.99</x:v>
      </x:c>
      <x:c r="P175" s="26" t="str">
        <x:v>Use for card type/supertype/subtype intent, not for art or rules-text mentions.</x:v>
      </x:c>
      <x:c r="Q175" s="26" t="str">
        <x:v>https://scryfall.com/docs/syntax</x:v>
      </x:c>
      <x:c r="R175" s="26" t="str">
        <x:v>2026-08-21</x:v>
      </x:c>
    </x:row>
    <x:row r="176">
      <x:c r="A176" s="26" t="str">
        <x:v>CreatureTypes!A172</x:v>
      </x:c>
      <x:c r="B176" s="26" t="str">
        <x:v>Creature Type</x:v>
      </x:c>
      <x:c r="C176" s="26" t="str">
        <x:v>Minion</x:v>
      </x:c>
      <x:c r="D176" s="26" t="str">
        <x:v>Type/subtype</x:v>
      </x:c>
      <x:c r="E176" s="26"/>
      <x:c r="F176" s="26" t="str">
        <x:v>t:"Minion"</x:v>
      </x:c>
      <x:c r="G176" s="26" t="str">
        <x:v>High</x:v>
      </x:c>
      <x:c r="H176" s="26" t="str">
        <x:v>Native taxonomy</x:v>
      </x:c>
      <x:c r="I176" s="26" t="str">
        <x:v>type:</x:v>
      </x:c>
      <x:c r="J176" s="26" t="str">
        <x:v>t:"Minion"</x:v>
      </x:c>
      <x:c r="K176" s="26" t="str"/>
      <x:c r="L176" s="26" t="str">
        <x:v>minion</x:v>
      </x:c>
      <x:c r="M176" s="26" t="str">
        <x:v>Translate directly</x:v>
      </x:c>
      <x:c r="N176" s="26" t="str">
        <x:v>Production-ready</x:v>
      </x:c>
      <x:c r="O176" s="43" t="n">
        <x:v>0.99</x:v>
      </x:c>
      <x:c r="P176" s="26" t="str">
        <x:v>Use for card type/supertype/subtype intent, not for art or rules-text mentions.</x:v>
      </x:c>
      <x:c r="Q176" s="26" t="str">
        <x:v>https://scryfall.com/docs/syntax</x:v>
      </x:c>
      <x:c r="R176" s="26" t="str">
        <x:v>2026-08-21</x:v>
      </x:c>
    </x:row>
    <x:row r="177">
      <x:c r="A177" s="26" t="str">
        <x:v>CreatureTypes!A173</x:v>
      </x:c>
      <x:c r="B177" s="26" t="str">
        <x:v>Creature Type</x:v>
      </x:c>
      <x:c r="C177" s="26" t="str">
        <x:v>Minotaur</x:v>
      </x:c>
      <x:c r="D177" s="26" t="str">
        <x:v>Type/subtype</x:v>
      </x:c>
      <x:c r="E177" s="26"/>
      <x:c r="F177" s="26" t="str">
        <x:v>t:"Minotaur"</x:v>
      </x:c>
      <x:c r="G177" s="26" t="str">
        <x:v>High</x:v>
      </x:c>
      <x:c r="H177" s="26" t="str">
        <x:v>Native taxonomy</x:v>
      </x:c>
      <x:c r="I177" s="26" t="str">
        <x:v>type:</x:v>
      </x:c>
      <x:c r="J177" s="26" t="str">
        <x:v>t:"Minotaur"</x:v>
      </x:c>
      <x:c r="K177" s="26" t="str"/>
      <x:c r="L177" s="26" t="str">
        <x:v>minotaur</x:v>
      </x:c>
      <x:c r="M177" s="26" t="str">
        <x:v>Translate directly</x:v>
      </x:c>
      <x:c r="N177" s="26" t="str">
        <x:v>Production-ready</x:v>
      </x:c>
      <x:c r="O177" s="43" t="n">
        <x:v>0.99</x:v>
      </x:c>
      <x:c r="P177" s="26" t="str">
        <x:v>Use for card type/supertype/subtype intent, not for art or rules-text mentions.</x:v>
      </x:c>
      <x:c r="Q177" s="26" t="str">
        <x:v>https://scryfall.com/docs/syntax</x:v>
      </x:c>
      <x:c r="R177" s="26" t="str">
        <x:v>2026-08-21</x:v>
      </x:c>
    </x:row>
    <x:row r="178">
      <x:c r="A178" s="26" t="str">
        <x:v>CreatureTypes!A174</x:v>
      </x:c>
      <x:c r="B178" s="26" t="str">
        <x:v>Creature Type</x:v>
      </x:c>
      <x:c r="C178" s="26" t="str">
        <x:v>Mite</x:v>
      </x:c>
      <x:c r="D178" s="26" t="str">
        <x:v>Type/subtype</x:v>
      </x:c>
      <x:c r="E178" s="26"/>
      <x:c r="F178" s="26" t="str">
        <x:v>t:"Mite"</x:v>
      </x:c>
      <x:c r="G178" s="26" t="str">
        <x:v>High</x:v>
      </x:c>
      <x:c r="H178" s="26" t="str">
        <x:v>Native taxonomy</x:v>
      </x:c>
      <x:c r="I178" s="26" t="str">
        <x:v>type:</x:v>
      </x:c>
      <x:c r="J178" s="26" t="str">
        <x:v>t:"Mite"</x:v>
      </x:c>
      <x:c r="K178" s="26" t="str"/>
      <x:c r="L178" s="26" t="str">
        <x:v>mite</x:v>
      </x:c>
      <x:c r="M178" s="26" t="str">
        <x:v>Translate directly</x:v>
      </x:c>
      <x:c r="N178" s="26" t="str">
        <x:v>Production-ready</x:v>
      </x:c>
      <x:c r="O178" s="43" t="n">
        <x:v>0.99</x:v>
      </x:c>
      <x:c r="P178" s="26" t="str">
        <x:v>Use for card type/supertype/subtype intent, not for art or rules-text mentions.</x:v>
      </x:c>
      <x:c r="Q178" s="26" t="str">
        <x:v>https://scryfall.com/docs/syntax</x:v>
      </x:c>
      <x:c r="R178" s="26" t="str">
        <x:v>2026-08-21</x:v>
      </x:c>
    </x:row>
    <x:row r="179">
      <x:c r="A179" s="26" t="str">
        <x:v>CreatureTypes!A175</x:v>
      </x:c>
      <x:c r="B179" s="26" t="str">
        <x:v>Creature Type</x:v>
      </x:c>
      <x:c r="C179" s="26" t="str">
        <x:v>Mole</x:v>
      </x:c>
      <x:c r="D179" s="26" t="str">
        <x:v>Type/subtype</x:v>
      </x:c>
      <x:c r="E179" s="26"/>
      <x:c r="F179" s="26" t="str">
        <x:v>t:"Mole"</x:v>
      </x:c>
      <x:c r="G179" s="26" t="str">
        <x:v>High</x:v>
      </x:c>
      <x:c r="H179" s="26" t="str">
        <x:v>Native taxonomy</x:v>
      </x:c>
      <x:c r="I179" s="26" t="str">
        <x:v>type:</x:v>
      </x:c>
      <x:c r="J179" s="26" t="str">
        <x:v>t:"Mole"</x:v>
      </x:c>
      <x:c r="K179" s="26" t="str"/>
      <x:c r="L179" s="26" t="str">
        <x:v>mole</x:v>
      </x:c>
      <x:c r="M179" s="26" t="str">
        <x:v>Translate directly</x:v>
      </x:c>
      <x:c r="N179" s="26" t="str">
        <x:v>Production-ready</x:v>
      </x:c>
      <x:c r="O179" s="43" t="n">
        <x:v>0.99</x:v>
      </x:c>
      <x:c r="P179" s="26" t="str">
        <x:v>Use for card type/supertype/subtype intent, not for art or rules-text mentions.</x:v>
      </x:c>
      <x:c r="Q179" s="26" t="str">
        <x:v>https://scryfall.com/docs/syntax</x:v>
      </x:c>
      <x:c r="R179" s="26" t="str">
        <x:v>2026-08-21</x:v>
      </x:c>
    </x:row>
    <x:row r="180">
      <x:c r="A180" s="26" t="str">
        <x:v>CreatureTypes!A176</x:v>
      </x:c>
      <x:c r="B180" s="26" t="str">
        <x:v>Creature Type</x:v>
      </x:c>
      <x:c r="C180" s="26" t="str">
        <x:v>Monger</x:v>
      </x:c>
      <x:c r="D180" s="26" t="str">
        <x:v>Type/subtype</x:v>
      </x:c>
      <x:c r="E180" s="26"/>
      <x:c r="F180" s="26" t="str">
        <x:v>t:"Monger"</x:v>
      </x:c>
      <x:c r="G180" s="26" t="str">
        <x:v>High</x:v>
      </x:c>
      <x:c r="H180" s="26" t="str">
        <x:v>Native taxonomy</x:v>
      </x:c>
      <x:c r="I180" s="26" t="str">
        <x:v>type:</x:v>
      </x:c>
      <x:c r="J180" s="26" t="str">
        <x:v>t:"Monger"</x:v>
      </x:c>
      <x:c r="K180" s="26" t="str"/>
      <x:c r="L180" s="26" t="str">
        <x:v>monger</x:v>
      </x:c>
      <x:c r="M180" s="26" t="str">
        <x:v>Translate directly</x:v>
      </x:c>
      <x:c r="N180" s="26" t="str">
        <x:v>Production-ready</x:v>
      </x:c>
      <x:c r="O180" s="43" t="n">
        <x:v>0.99</x:v>
      </x:c>
      <x:c r="P180" s="26" t="str">
        <x:v>Use for card type/supertype/subtype intent, not for art or rules-text mentions.</x:v>
      </x:c>
      <x:c r="Q180" s="26" t="str">
        <x:v>https://scryfall.com/docs/syntax</x:v>
      </x:c>
      <x:c r="R180" s="26" t="str">
        <x:v>2026-08-21</x:v>
      </x:c>
    </x:row>
    <x:row r="181">
      <x:c r="A181" s="26" t="str">
        <x:v>CreatureTypes!A177</x:v>
      </x:c>
      <x:c r="B181" s="26" t="str">
        <x:v>Creature Type</x:v>
      </x:c>
      <x:c r="C181" s="26" t="str">
        <x:v>Mongoose</x:v>
      </x:c>
      <x:c r="D181" s="26" t="str">
        <x:v>Type/subtype</x:v>
      </x:c>
      <x:c r="E181" s="26"/>
      <x:c r="F181" s="26" t="str">
        <x:v>t:"Mongoose"</x:v>
      </x:c>
      <x:c r="G181" s="26" t="str">
        <x:v>High</x:v>
      </x:c>
      <x:c r="H181" s="26" t="str">
        <x:v>Native taxonomy</x:v>
      </x:c>
      <x:c r="I181" s="26" t="str">
        <x:v>type:</x:v>
      </x:c>
      <x:c r="J181" s="26" t="str">
        <x:v>t:"Mongoose"</x:v>
      </x:c>
      <x:c r="K181" s="26" t="str"/>
      <x:c r="L181" s="26" t="str">
        <x:v>mongoose</x:v>
      </x:c>
      <x:c r="M181" s="26" t="str">
        <x:v>Translate directly</x:v>
      </x:c>
      <x:c r="N181" s="26" t="str">
        <x:v>Production-ready</x:v>
      </x:c>
      <x:c r="O181" s="43" t="n">
        <x:v>0.99</x:v>
      </x:c>
      <x:c r="P181" s="26" t="str">
        <x:v>Use for card type/supertype/subtype intent, not for art or rules-text mentions.</x:v>
      </x:c>
      <x:c r="Q181" s="26" t="str">
        <x:v>https://scryfall.com/docs/syntax</x:v>
      </x:c>
      <x:c r="R181" s="26" t="str">
        <x:v>2026-08-21</x:v>
      </x:c>
    </x:row>
    <x:row r="182">
      <x:c r="A182" s="26" t="str">
        <x:v>CreatureTypes!A178</x:v>
      </x:c>
      <x:c r="B182" s="26" t="str">
        <x:v>Creature Type</x:v>
      </x:c>
      <x:c r="C182" s="26" t="str">
        <x:v>Monk</x:v>
      </x:c>
      <x:c r="D182" s="26" t="str">
        <x:v>Type/subtype</x:v>
      </x:c>
      <x:c r="E182" s="26"/>
      <x:c r="F182" s="26" t="str">
        <x:v>t:"Monk"</x:v>
      </x:c>
      <x:c r="G182" s="26" t="str">
        <x:v>High</x:v>
      </x:c>
      <x:c r="H182" s="26" t="str">
        <x:v>Native taxonomy</x:v>
      </x:c>
      <x:c r="I182" s="26" t="str">
        <x:v>type:</x:v>
      </x:c>
      <x:c r="J182" s="26" t="str">
        <x:v>t:"Monk"</x:v>
      </x:c>
      <x:c r="K182" s="26" t="str"/>
      <x:c r="L182" s="26" t="str">
        <x:v>monk</x:v>
      </x:c>
      <x:c r="M182" s="26" t="str">
        <x:v>Translate directly</x:v>
      </x:c>
      <x:c r="N182" s="26" t="str">
        <x:v>Production-ready</x:v>
      </x:c>
      <x:c r="O182" s="43" t="n">
        <x:v>0.99</x:v>
      </x:c>
      <x:c r="P182" s="26" t="str">
        <x:v>Use for card type/supertype/subtype intent, not for art or rules-text mentions.</x:v>
      </x:c>
      <x:c r="Q182" s="26" t="str">
        <x:v>https://scryfall.com/docs/syntax</x:v>
      </x:c>
      <x:c r="R182" s="26" t="str">
        <x:v>2026-08-21</x:v>
      </x:c>
    </x:row>
    <x:row r="183">
      <x:c r="A183" s="26" t="str">
        <x:v>CreatureTypes!A179</x:v>
      </x:c>
      <x:c r="B183" s="26" t="str">
        <x:v>Creature Type</x:v>
      </x:c>
      <x:c r="C183" s="26" t="str">
        <x:v>Monkey</x:v>
      </x:c>
      <x:c r="D183" s="26" t="str">
        <x:v>Type/subtype</x:v>
      </x:c>
      <x:c r="E183" s="26"/>
      <x:c r="F183" s="26" t="str">
        <x:v>t:"Monkey"</x:v>
      </x:c>
      <x:c r="G183" s="26" t="str">
        <x:v>High</x:v>
      </x:c>
      <x:c r="H183" s="26" t="str">
        <x:v>Native taxonomy</x:v>
      </x:c>
      <x:c r="I183" s="26" t="str">
        <x:v>type:</x:v>
      </x:c>
      <x:c r="J183" s="26" t="str">
        <x:v>t:"Monkey"</x:v>
      </x:c>
      <x:c r="K183" s="26" t="str"/>
      <x:c r="L183" s="26" t="str">
        <x:v>monkey</x:v>
      </x:c>
      <x:c r="M183" s="26" t="str">
        <x:v>Translate directly</x:v>
      </x:c>
      <x:c r="N183" s="26" t="str">
        <x:v>Production-ready</x:v>
      </x:c>
      <x:c r="O183" s="43" t="n">
        <x:v>0.99</x:v>
      </x:c>
      <x:c r="P183" s="26" t="str">
        <x:v>Use for card type/supertype/subtype intent, not for art or rules-text mentions.</x:v>
      </x:c>
      <x:c r="Q183" s="26" t="str">
        <x:v>https://scryfall.com/docs/syntax</x:v>
      </x:c>
      <x:c r="R183" s="26" t="str">
        <x:v>2026-08-21</x:v>
      </x:c>
    </x:row>
    <x:row r="184">
      <x:c r="A184" s="26" t="str">
        <x:v>CreatureTypes!A180</x:v>
      </x:c>
      <x:c r="B184" s="26" t="str">
        <x:v>Creature Type</x:v>
      </x:c>
      <x:c r="C184" s="26" t="str">
        <x:v>Moogle</x:v>
      </x:c>
      <x:c r="D184" s="26" t="str">
        <x:v>Type/subtype</x:v>
      </x:c>
      <x:c r="E184" s="26"/>
      <x:c r="F184" s="26" t="str">
        <x:v>t:"Moogle"</x:v>
      </x:c>
      <x:c r="G184" s="26" t="str">
        <x:v>High</x:v>
      </x:c>
      <x:c r="H184" s="26" t="str">
        <x:v>Native taxonomy</x:v>
      </x:c>
      <x:c r="I184" s="26" t="str">
        <x:v>type:</x:v>
      </x:c>
      <x:c r="J184" s="26" t="str">
        <x:v>t:"Moogle"</x:v>
      </x:c>
      <x:c r="K184" s="26" t="str"/>
      <x:c r="L184" s="26" t="str">
        <x:v>moogle</x:v>
      </x:c>
      <x:c r="M184" s="26" t="str">
        <x:v>Translate directly</x:v>
      </x:c>
      <x:c r="N184" s="26" t="str">
        <x:v>Production-ready</x:v>
      </x:c>
      <x:c r="O184" s="43" t="n">
        <x:v>0.99</x:v>
      </x:c>
      <x:c r="P184" s="26" t="str">
        <x:v>Use for card type/supertype/subtype intent, not for art or rules-text mentions.</x:v>
      </x:c>
      <x:c r="Q184" s="26" t="str">
        <x:v>https://scryfall.com/docs/syntax</x:v>
      </x:c>
      <x:c r="R184" s="26" t="str">
        <x:v>2026-08-21</x:v>
      </x:c>
    </x:row>
    <x:row r="185">
      <x:c r="A185" s="26" t="str">
        <x:v>CreatureTypes!A181</x:v>
      </x:c>
      <x:c r="B185" s="26" t="str">
        <x:v>Creature Type</x:v>
      </x:c>
      <x:c r="C185" s="26" t="str">
        <x:v>Moonfolk</x:v>
      </x:c>
      <x:c r="D185" s="26" t="str">
        <x:v>Type/subtype</x:v>
      </x:c>
      <x:c r="E185" s="26"/>
      <x:c r="F185" s="26" t="str">
        <x:v>t:"Moonfolk"</x:v>
      </x:c>
      <x:c r="G185" s="26" t="str">
        <x:v>High</x:v>
      </x:c>
      <x:c r="H185" s="26" t="str">
        <x:v>Native taxonomy</x:v>
      </x:c>
      <x:c r="I185" s="26" t="str">
        <x:v>type:</x:v>
      </x:c>
      <x:c r="J185" s="26" t="str">
        <x:v>t:"Moonfolk"</x:v>
      </x:c>
      <x:c r="K185" s="26" t="str"/>
      <x:c r="L185" s="26" t="str">
        <x:v>moonfolk</x:v>
      </x:c>
      <x:c r="M185" s="26" t="str">
        <x:v>Translate directly</x:v>
      </x:c>
      <x:c r="N185" s="26" t="str">
        <x:v>Production-ready</x:v>
      </x:c>
      <x:c r="O185" s="43" t="n">
        <x:v>0.99</x:v>
      </x:c>
      <x:c r="P185" s="26" t="str">
        <x:v>Use for card type/supertype/subtype intent, not for art or rules-text mentions.</x:v>
      </x:c>
      <x:c r="Q185" s="26" t="str">
        <x:v>https://scryfall.com/docs/syntax</x:v>
      </x:c>
      <x:c r="R185" s="26" t="str">
        <x:v>2026-08-21</x:v>
      </x:c>
    </x:row>
    <x:row r="186">
      <x:c r="A186" s="26" t="str">
        <x:v>CreatureTypes!A182</x:v>
      </x:c>
      <x:c r="B186" s="26" t="str">
        <x:v>Creature Type</x:v>
      </x:c>
      <x:c r="C186" s="26" t="str">
        <x:v>Mount</x:v>
      </x:c>
      <x:c r="D186" s="26" t="str">
        <x:v>Type/subtype</x:v>
      </x:c>
      <x:c r="E186" s="26"/>
      <x:c r="F186" s="26" t="str">
        <x:v>t:"Mount"</x:v>
      </x:c>
      <x:c r="G186" s="26" t="str">
        <x:v>High</x:v>
      </x:c>
      <x:c r="H186" s="26" t="str">
        <x:v>Native taxonomy</x:v>
      </x:c>
      <x:c r="I186" s="26" t="str">
        <x:v>type:</x:v>
      </x:c>
      <x:c r="J186" s="26" t="str">
        <x:v>t:"Mount"</x:v>
      </x:c>
      <x:c r="K186" s="26" t="str"/>
      <x:c r="L186" s="26" t="str">
        <x:v>mount</x:v>
      </x:c>
      <x:c r="M186" s="26" t="str">
        <x:v>Translate directly</x:v>
      </x:c>
      <x:c r="N186" s="26" t="str">
        <x:v>Production-ready</x:v>
      </x:c>
      <x:c r="O186" s="43" t="n">
        <x:v>0.99</x:v>
      </x:c>
      <x:c r="P186" s="26" t="str">
        <x:v>Use for card type/supertype/subtype intent, not for art or rules-text mentions.</x:v>
      </x:c>
      <x:c r="Q186" s="26" t="str">
        <x:v>https://scryfall.com/docs/syntax</x:v>
      </x:c>
      <x:c r="R186" s="26" t="str">
        <x:v>2026-08-21</x:v>
      </x:c>
    </x:row>
    <x:row r="187">
      <x:c r="A187" s="26" t="str">
        <x:v>CreatureTypes!A183</x:v>
      </x:c>
      <x:c r="B187" s="26" t="str">
        <x:v>Creature Type</x:v>
      </x:c>
      <x:c r="C187" s="26" t="str">
        <x:v>Mouse</x:v>
      </x:c>
      <x:c r="D187" s="26" t="str">
        <x:v>Type/subtype</x:v>
      </x:c>
      <x:c r="E187" s="26"/>
      <x:c r="F187" s="26" t="str">
        <x:v>t:"Mouse"</x:v>
      </x:c>
      <x:c r="G187" s="26" t="str">
        <x:v>High</x:v>
      </x:c>
      <x:c r="H187" s="26" t="str">
        <x:v>Native taxonomy</x:v>
      </x:c>
      <x:c r="I187" s="26" t="str">
        <x:v>type:</x:v>
      </x:c>
      <x:c r="J187" s="26" t="str">
        <x:v>t:"Mouse"</x:v>
      </x:c>
      <x:c r="K187" s="26" t="str"/>
      <x:c r="L187" s="26" t="str">
        <x:v>mouse</x:v>
      </x:c>
      <x:c r="M187" s="26" t="str">
        <x:v>Translate directly</x:v>
      </x:c>
      <x:c r="N187" s="26" t="str">
        <x:v>Production-ready</x:v>
      </x:c>
      <x:c r="O187" s="43" t="n">
        <x:v>0.99</x:v>
      </x:c>
      <x:c r="P187" s="26" t="str">
        <x:v>Use for card type/supertype/subtype intent, not for art or rules-text mentions.</x:v>
      </x:c>
      <x:c r="Q187" s="26" t="str">
        <x:v>https://scryfall.com/docs/syntax</x:v>
      </x:c>
      <x:c r="R187" s="26" t="str">
        <x:v>2026-08-21</x:v>
      </x:c>
    </x:row>
    <x:row r="188">
      <x:c r="A188" s="26" t="str">
        <x:v>CreatureTypes!A184</x:v>
      </x:c>
      <x:c r="B188" s="26" t="str">
        <x:v>Creature Type</x:v>
      </x:c>
      <x:c r="C188" s="26" t="str">
        <x:v>Mutant</x:v>
      </x:c>
      <x:c r="D188" s="26" t="str">
        <x:v>Type/subtype</x:v>
      </x:c>
      <x:c r="E188" s="26"/>
      <x:c r="F188" s="26" t="str">
        <x:v>t:"Mutant"</x:v>
      </x:c>
      <x:c r="G188" s="26" t="str">
        <x:v>High</x:v>
      </x:c>
      <x:c r="H188" s="26" t="str">
        <x:v>Native taxonomy</x:v>
      </x:c>
      <x:c r="I188" s="26" t="str">
        <x:v>type:</x:v>
      </x:c>
      <x:c r="J188" s="26" t="str">
        <x:v>t:"Mutant"</x:v>
      </x:c>
      <x:c r="K188" s="26" t="str"/>
      <x:c r="L188" s="26" t="str">
        <x:v>mutant</x:v>
      </x:c>
      <x:c r="M188" s="26" t="str">
        <x:v>Translate directly</x:v>
      </x:c>
      <x:c r="N188" s="26" t="str">
        <x:v>Production-ready</x:v>
      </x:c>
      <x:c r="O188" s="43" t="n">
        <x:v>0.99</x:v>
      </x:c>
      <x:c r="P188" s="26" t="str">
        <x:v>Use for card type/supertype/subtype intent, not for art or rules-text mentions.</x:v>
      </x:c>
      <x:c r="Q188" s="26" t="str">
        <x:v>https://scryfall.com/docs/syntax</x:v>
      </x:c>
      <x:c r="R188" s="26" t="str">
        <x:v>2026-08-21</x:v>
      </x:c>
    </x:row>
    <x:row r="189">
      <x:c r="A189" s="26" t="str">
        <x:v>CreatureTypes!A185</x:v>
      </x:c>
      <x:c r="B189" s="26" t="str">
        <x:v>Creature Type</x:v>
      </x:c>
      <x:c r="C189" s="26" t="str">
        <x:v>Myr</x:v>
      </x:c>
      <x:c r="D189" s="26" t="str">
        <x:v>Type/subtype</x:v>
      </x:c>
      <x:c r="E189" s="26"/>
      <x:c r="F189" s="26" t="str">
        <x:v>t:"Myr"</x:v>
      </x:c>
      <x:c r="G189" s="26" t="str">
        <x:v>High</x:v>
      </x:c>
      <x:c r="H189" s="26" t="str">
        <x:v>Native taxonomy</x:v>
      </x:c>
      <x:c r="I189" s="26" t="str">
        <x:v>type:</x:v>
      </x:c>
      <x:c r="J189" s="26" t="str">
        <x:v>t:"Myr"</x:v>
      </x:c>
      <x:c r="K189" s="26" t="str"/>
      <x:c r="L189" s="26" t="str">
        <x:v>myr</x:v>
      </x:c>
      <x:c r="M189" s="26" t="str">
        <x:v>Translate directly</x:v>
      </x:c>
      <x:c r="N189" s="26" t="str">
        <x:v>Production-ready</x:v>
      </x:c>
      <x:c r="O189" s="43" t="n">
        <x:v>0.99</x:v>
      </x:c>
      <x:c r="P189" s="26" t="str">
        <x:v>Use for card type/supertype/subtype intent, not for art or rules-text mentions.</x:v>
      </x:c>
      <x:c r="Q189" s="26" t="str">
        <x:v>https://scryfall.com/docs/syntax</x:v>
      </x:c>
      <x:c r="R189" s="26" t="str">
        <x:v>2026-08-21</x:v>
      </x:c>
    </x:row>
    <x:row r="190">
      <x:c r="A190" s="26" t="str">
        <x:v>CreatureTypes!A186</x:v>
      </x:c>
      <x:c r="B190" s="26" t="str">
        <x:v>Creature Type</x:v>
      </x:c>
      <x:c r="C190" s="26" t="str">
        <x:v>Mystic</x:v>
      </x:c>
      <x:c r="D190" s="26" t="str">
        <x:v>Type/subtype</x:v>
      </x:c>
      <x:c r="E190" s="26"/>
      <x:c r="F190" s="26" t="str">
        <x:v>t:"Mystic"</x:v>
      </x:c>
      <x:c r="G190" s="26" t="str">
        <x:v>High</x:v>
      </x:c>
      <x:c r="H190" s="26" t="str">
        <x:v>Native taxonomy</x:v>
      </x:c>
      <x:c r="I190" s="26" t="str">
        <x:v>type:</x:v>
      </x:c>
      <x:c r="J190" s="26" t="str">
        <x:v>t:"Mystic"</x:v>
      </x:c>
      <x:c r="K190" s="26" t="str"/>
      <x:c r="L190" s="26" t="str">
        <x:v>mystic</x:v>
      </x:c>
      <x:c r="M190" s="26" t="str">
        <x:v>Translate directly</x:v>
      </x:c>
      <x:c r="N190" s="26" t="str">
        <x:v>Production-ready</x:v>
      </x:c>
      <x:c r="O190" s="43" t="n">
        <x:v>0.99</x:v>
      </x:c>
      <x:c r="P190" s="26" t="str">
        <x:v>Use for card type/supertype/subtype intent, not for art or rules-text mentions.</x:v>
      </x:c>
      <x:c r="Q190" s="26" t="str">
        <x:v>https://scryfall.com/docs/syntax</x:v>
      </x:c>
      <x:c r="R190" s="26" t="str">
        <x:v>2026-08-21</x:v>
      </x:c>
    </x:row>
    <x:row r="191">
      <x:c r="A191" s="26" t="str">
        <x:v>CreatureTypes!A187</x:v>
      </x:c>
      <x:c r="B191" s="26" t="str">
        <x:v>Creature Type</x:v>
      </x:c>
      <x:c r="C191" s="26" t="str">
        <x:v>Naga</x:v>
      </x:c>
      <x:c r="D191" s="26" t="str">
        <x:v>Type/subtype</x:v>
      </x:c>
      <x:c r="E191" s="26"/>
      <x:c r="F191" s="26" t="str">
        <x:v>t:"Naga"</x:v>
      </x:c>
      <x:c r="G191" s="26" t="str">
        <x:v>High</x:v>
      </x:c>
      <x:c r="H191" s="26" t="str">
        <x:v>Native taxonomy</x:v>
      </x:c>
      <x:c r="I191" s="26" t="str">
        <x:v>type:</x:v>
      </x:c>
      <x:c r="J191" s="26" t="str">
        <x:v>t:"Naga"</x:v>
      </x:c>
      <x:c r="K191" s="26" t="str"/>
      <x:c r="L191" s="26" t="str">
        <x:v>naga</x:v>
      </x:c>
      <x:c r="M191" s="26" t="str">
        <x:v>Translate directly</x:v>
      </x:c>
      <x:c r="N191" s="26" t="str">
        <x:v>Production-ready</x:v>
      </x:c>
      <x:c r="O191" s="43" t="n">
        <x:v>0.99</x:v>
      </x:c>
      <x:c r="P191" s="26" t="str">
        <x:v>Use for card type/supertype/subtype intent, not for art or rules-text mentions.</x:v>
      </x:c>
      <x:c r="Q191" s="26" t="str">
        <x:v>https://scryfall.com/docs/syntax</x:v>
      </x:c>
      <x:c r="R191" s="26" t="str">
        <x:v>2026-08-21</x:v>
      </x:c>
    </x:row>
    <x:row r="192">
      <x:c r="A192" s="26" t="str">
        <x:v>CreatureTypes!A188</x:v>
      </x:c>
      <x:c r="B192" s="26" t="str">
        <x:v>Creature Type</x:v>
      </x:c>
      <x:c r="C192" s="26" t="str">
        <x:v>Nautilus</x:v>
      </x:c>
      <x:c r="D192" s="26" t="str">
        <x:v>Type/subtype</x:v>
      </x:c>
      <x:c r="E192" s="26"/>
      <x:c r="F192" s="26" t="str">
        <x:v>t:"Nautilus"</x:v>
      </x:c>
      <x:c r="G192" s="26" t="str">
        <x:v>High</x:v>
      </x:c>
      <x:c r="H192" s="26" t="str">
        <x:v>Native taxonomy</x:v>
      </x:c>
      <x:c r="I192" s="26" t="str">
        <x:v>type:</x:v>
      </x:c>
      <x:c r="J192" s="26" t="str">
        <x:v>t:"Nautilus"</x:v>
      </x:c>
      <x:c r="K192" s="26" t="str"/>
      <x:c r="L192" s="26" t="str">
        <x:v>nautilus</x:v>
      </x:c>
      <x:c r="M192" s="26" t="str">
        <x:v>Translate directly</x:v>
      </x:c>
      <x:c r="N192" s="26" t="str">
        <x:v>Production-ready</x:v>
      </x:c>
      <x:c r="O192" s="43" t="n">
        <x:v>0.99</x:v>
      </x:c>
      <x:c r="P192" s="26" t="str">
        <x:v>Use for card type/supertype/subtype intent, not for art or rules-text mentions.</x:v>
      </x:c>
      <x:c r="Q192" s="26" t="str">
        <x:v>https://scryfall.com/docs/syntax</x:v>
      </x:c>
      <x:c r="R192" s="26" t="str">
        <x:v>2026-08-21</x:v>
      </x:c>
    </x:row>
    <x:row r="193">
      <x:c r="A193" s="26" t="str">
        <x:v>CreatureTypes!A189</x:v>
      </x:c>
      <x:c r="B193" s="26" t="str">
        <x:v>Creature Type</x:v>
      </x:c>
      <x:c r="C193" s="26" t="str">
        <x:v>Necron</x:v>
      </x:c>
      <x:c r="D193" s="26" t="str">
        <x:v>Type/subtype</x:v>
      </x:c>
      <x:c r="E193" s="26"/>
      <x:c r="F193" s="26" t="str">
        <x:v>t:"Necron"</x:v>
      </x:c>
      <x:c r="G193" s="26" t="str">
        <x:v>High</x:v>
      </x:c>
      <x:c r="H193" s="26" t="str">
        <x:v>Native taxonomy</x:v>
      </x:c>
      <x:c r="I193" s="26" t="str">
        <x:v>type:</x:v>
      </x:c>
      <x:c r="J193" s="26" t="str">
        <x:v>t:"Necron"</x:v>
      </x:c>
      <x:c r="K193" s="26" t="str"/>
      <x:c r="L193" s="26" t="str">
        <x:v>necron</x:v>
      </x:c>
      <x:c r="M193" s="26" t="str">
        <x:v>Translate directly</x:v>
      </x:c>
      <x:c r="N193" s="26" t="str">
        <x:v>Production-ready</x:v>
      </x:c>
      <x:c r="O193" s="43" t="n">
        <x:v>0.99</x:v>
      </x:c>
      <x:c r="P193" s="26" t="str">
        <x:v>Use for card type/supertype/subtype intent, not for art or rules-text mentions.</x:v>
      </x:c>
      <x:c r="Q193" s="26" t="str">
        <x:v>https://scryfall.com/docs/syntax</x:v>
      </x:c>
      <x:c r="R193" s="26" t="str">
        <x:v>2026-08-21</x:v>
      </x:c>
    </x:row>
    <x:row r="194">
      <x:c r="A194" s="26" t="str">
        <x:v>CreatureTypes!A190</x:v>
      </x:c>
      <x:c r="B194" s="26" t="str">
        <x:v>Creature Type</x:v>
      </x:c>
      <x:c r="C194" s="26" t="str">
        <x:v>Nephilim</x:v>
      </x:c>
      <x:c r="D194" s="26" t="str">
        <x:v>Type/subtype</x:v>
      </x:c>
      <x:c r="E194" s="26"/>
      <x:c r="F194" s="26" t="str">
        <x:v>t:"Nephilim"</x:v>
      </x:c>
      <x:c r="G194" s="26" t="str">
        <x:v>High</x:v>
      </x:c>
      <x:c r="H194" s="26" t="str">
        <x:v>Native taxonomy</x:v>
      </x:c>
      <x:c r="I194" s="26" t="str">
        <x:v>type:</x:v>
      </x:c>
      <x:c r="J194" s="26" t="str">
        <x:v>t:"Nephilim"</x:v>
      </x:c>
      <x:c r="K194" s="26" t="str"/>
      <x:c r="L194" s="26" t="str">
        <x:v>nephilim</x:v>
      </x:c>
      <x:c r="M194" s="26" t="str">
        <x:v>Translate directly</x:v>
      </x:c>
      <x:c r="N194" s="26" t="str">
        <x:v>Production-ready</x:v>
      </x:c>
      <x:c r="O194" s="43" t="n">
        <x:v>0.99</x:v>
      </x:c>
      <x:c r="P194" s="26" t="str">
        <x:v>Use for card type/supertype/subtype intent, not for art or rules-text mentions.</x:v>
      </x:c>
      <x:c r="Q194" s="26" t="str">
        <x:v>https://scryfall.com/docs/syntax</x:v>
      </x:c>
      <x:c r="R194" s="26" t="str">
        <x:v>2026-08-21</x:v>
      </x:c>
    </x:row>
    <x:row r="195">
      <x:c r="A195" s="26" t="str">
        <x:v>CreatureTypes!A191</x:v>
      </x:c>
      <x:c r="B195" s="26" t="str">
        <x:v>Creature Type</x:v>
      </x:c>
      <x:c r="C195" s="26" t="str">
        <x:v>Nightmare</x:v>
      </x:c>
      <x:c r="D195" s="26" t="str">
        <x:v>Type/subtype</x:v>
      </x:c>
      <x:c r="E195" s="26"/>
      <x:c r="F195" s="26" t="str">
        <x:v>t:"Nightmare"</x:v>
      </x:c>
      <x:c r="G195" s="26" t="str">
        <x:v>High</x:v>
      </x:c>
      <x:c r="H195" s="26" t="str">
        <x:v>Native taxonomy</x:v>
      </x:c>
      <x:c r="I195" s="26" t="str">
        <x:v>type:</x:v>
      </x:c>
      <x:c r="J195" s="26" t="str">
        <x:v>t:"Nightmare"</x:v>
      </x:c>
      <x:c r="K195" s="26" t="str"/>
      <x:c r="L195" s="26" t="str">
        <x:v>nightmare</x:v>
      </x:c>
      <x:c r="M195" s="26" t="str">
        <x:v>Translate directly</x:v>
      </x:c>
      <x:c r="N195" s="26" t="str">
        <x:v>Production-ready</x:v>
      </x:c>
      <x:c r="O195" s="43" t="n">
        <x:v>0.99</x:v>
      </x:c>
      <x:c r="P195" s="26" t="str">
        <x:v>Use for card type/supertype/subtype intent, not for art or rules-text mentions.</x:v>
      </x:c>
      <x:c r="Q195" s="26" t="str">
        <x:v>https://scryfall.com/docs/syntax</x:v>
      </x:c>
      <x:c r="R195" s="26" t="str">
        <x:v>2026-08-21</x:v>
      </x:c>
    </x:row>
    <x:row r="196">
      <x:c r="A196" s="26" t="str">
        <x:v>CreatureTypes!A192</x:v>
      </x:c>
      <x:c r="B196" s="26" t="str">
        <x:v>Creature Type</x:v>
      </x:c>
      <x:c r="C196" s="26" t="str">
        <x:v>Nightstalker</x:v>
      </x:c>
      <x:c r="D196" s="26" t="str">
        <x:v>Type/subtype</x:v>
      </x:c>
      <x:c r="E196" s="26"/>
      <x:c r="F196" s="26" t="str">
        <x:v>t:"Nightstalker"</x:v>
      </x:c>
      <x:c r="G196" s="26" t="str">
        <x:v>High</x:v>
      </x:c>
      <x:c r="H196" s="26" t="str">
        <x:v>Native taxonomy</x:v>
      </x:c>
      <x:c r="I196" s="26" t="str">
        <x:v>type:</x:v>
      </x:c>
      <x:c r="J196" s="26" t="str">
        <x:v>t:"Nightstalker"</x:v>
      </x:c>
      <x:c r="K196" s="26" t="str"/>
      <x:c r="L196" s="26" t="str">
        <x:v>nightstalker</x:v>
      </x:c>
      <x:c r="M196" s="26" t="str">
        <x:v>Translate directly</x:v>
      </x:c>
      <x:c r="N196" s="26" t="str">
        <x:v>Production-ready</x:v>
      </x:c>
      <x:c r="O196" s="43" t="n">
        <x:v>0.99</x:v>
      </x:c>
      <x:c r="P196" s="26" t="str">
        <x:v>Use for card type/supertype/subtype intent, not for art or rules-text mentions.</x:v>
      </x:c>
      <x:c r="Q196" s="26" t="str">
        <x:v>https://scryfall.com/docs/syntax</x:v>
      </x:c>
      <x:c r="R196" s="26" t="str">
        <x:v>2026-08-21</x:v>
      </x:c>
    </x:row>
    <x:row r="197">
      <x:c r="A197" s="26" t="str">
        <x:v>CreatureTypes!A193</x:v>
      </x:c>
      <x:c r="B197" s="26" t="str">
        <x:v>Creature Type</x:v>
      </x:c>
      <x:c r="C197" s="26" t="str">
        <x:v>Ninja</x:v>
      </x:c>
      <x:c r="D197" s="26" t="str">
        <x:v>Type/subtype</x:v>
      </x:c>
      <x:c r="E197" s="26"/>
      <x:c r="F197" s="26" t="str">
        <x:v>t:"Ninja"</x:v>
      </x:c>
      <x:c r="G197" s="26" t="str">
        <x:v>High</x:v>
      </x:c>
      <x:c r="H197" s="26" t="str">
        <x:v>Native taxonomy</x:v>
      </x:c>
      <x:c r="I197" s="26" t="str">
        <x:v>type:</x:v>
      </x:c>
      <x:c r="J197" s="26" t="str">
        <x:v>t:"Ninja"</x:v>
      </x:c>
      <x:c r="K197" s="26" t="str"/>
      <x:c r="L197" s="26" t="str">
        <x:v>ninja</x:v>
      </x:c>
      <x:c r="M197" s="26" t="str">
        <x:v>Translate directly</x:v>
      </x:c>
      <x:c r="N197" s="26" t="str">
        <x:v>Production-ready</x:v>
      </x:c>
      <x:c r="O197" s="43" t="n">
        <x:v>0.99</x:v>
      </x:c>
      <x:c r="P197" s="26" t="str">
        <x:v>Use for card type/supertype/subtype intent, not for art or rules-text mentions.</x:v>
      </x:c>
      <x:c r="Q197" s="26" t="str">
        <x:v>https://scryfall.com/docs/syntax</x:v>
      </x:c>
      <x:c r="R197" s="26" t="str">
        <x:v>2026-08-21</x:v>
      </x:c>
    </x:row>
    <x:row r="198">
      <x:c r="A198" s="26" t="str">
        <x:v>CreatureTypes!A194</x:v>
      </x:c>
      <x:c r="B198" s="26" t="str">
        <x:v>Creature Type</x:v>
      </x:c>
      <x:c r="C198" s="26" t="str">
        <x:v>Noble</x:v>
      </x:c>
      <x:c r="D198" s="26" t="str">
        <x:v>Type/subtype</x:v>
      </x:c>
      <x:c r="E198" s="26"/>
      <x:c r="F198" s="26" t="str">
        <x:v>t:"Noble"</x:v>
      </x:c>
      <x:c r="G198" s="26" t="str">
        <x:v>High</x:v>
      </x:c>
      <x:c r="H198" s="26" t="str">
        <x:v>Native taxonomy</x:v>
      </x:c>
      <x:c r="I198" s="26" t="str">
        <x:v>type:</x:v>
      </x:c>
      <x:c r="J198" s="26" t="str">
        <x:v>t:"Noble"</x:v>
      </x:c>
      <x:c r="K198" s="26" t="str"/>
      <x:c r="L198" s="26" t="str">
        <x:v>noble</x:v>
      </x:c>
      <x:c r="M198" s="26" t="str">
        <x:v>Translate directly</x:v>
      </x:c>
      <x:c r="N198" s="26" t="str">
        <x:v>Production-ready</x:v>
      </x:c>
      <x:c r="O198" s="43" t="n">
        <x:v>0.99</x:v>
      </x:c>
      <x:c r="P198" s="26" t="str">
        <x:v>Use for card type/supertype/subtype intent, not for art or rules-text mentions.</x:v>
      </x:c>
      <x:c r="Q198" s="26" t="str">
        <x:v>https://scryfall.com/docs/syntax</x:v>
      </x:c>
      <x:c r="R198" s="26" t="str">
        <x:v>2026-08-21</x:v>
      </x:c>
    </x:row>
    <x:row r="199">
      <x:c r="A199" s="26" t="str">
        <x:v>CreatureTypes!A195</x:v>
      </x:c>
      <x:c r="B199" s="26" t="str">
        <x:v>Creature Type</x:v>
      </x:c>
      <x:c r="C199" s="26" t="str">
        <x:v>Noggle</x:v>
      </x:c>
      <x:c r="D199" s="26" t="str">
        <x:v>Type/subtype</x:v>
      </x:c>
      <x:c r="E199" s="26"/>
      <x:c r="F199" s="26" t="str">
        <x:v>t:"Noggle"</x:v>
      </x:c>
      <x:c r="G199" s="26" t="str">
        <x:v>High</x:v>
      </x:c>
      <x:c r="H199" s="26" t="str">
        <x:v>Native taxonomy</x:v>
      </x:c>
      <x:c r="I199" s="26" t="str">
        <x:v>type:</x:v>
      </x:c>
      <x:c r="J199" s="26" t="str">
        <x:v>t:"Noggle"</x:v>
      </x:c>
      <x:c r="K199" s="26" t="str"/>
      <x:c r="L199" s="26" t="str">
        <x:v>noggle</x:v>
      </x:c>
      <x:c r="M199" s="26" t="str">
        <x:v>Translate directly</x:v>
      </x:c>
      <x:c r="N199" s="26" t="str">
        <x:v>Production-ready</x:v>
      </x:c>
      <x:c r="O199" s="43" t="n">
        <x:v>0.99</x:v>
      </x:c>
      <x:c r="P199" s="26" t="str">
        <x:v>Use for card type/supertype/subtype intent, not for art or rules-text mentions.</x:v>
      </x:c>
      <x:c r="Q199" s="26" t="str">
        <x:v>https://scryfall.com/docs/syntax</x:v>
      </x:c>
      <x:c r="R199" s="26" t="str">
        <x:v>2026-08-21</x:v>
      </x:c>
    </x:row>
    <x:row r="200">
      <x:c r="A200" s="26" t="str">
        <x:v>CreatureTypes!A196</x:v>
      </x:c>
      <x:c r="B200" s="26" t="str">
        <x:v>Creature Type</x:v>
      </x:c>
      <x:c r="C200" s="26" t="str">
        <x:v>Nomad</x:v>
      </x:c>
      <x:c r="D200" s="26" t="str">
        <x:v>Type/subtype</x:v>
      </x:c>
      <x:c r="E200" s="26"/>
      <x:c r="F200" s="26" t="str">
        <x:v>t:"Nomad"</x:v>
      </x:c>
      <x:c r="G200" s="26" t="str">
        <x:v>High</x:v>
      </x:c>
      <x:c r="H200" s="26" t="str">
        <x:v>Native taxonomy</x:v>
      </x:c>
      <x:c r="I200" s="26" t="str">
        <x:v>type:</x:v>
      </x:c>
      <x:c r="J200" s="26" t="str">
        <x:v>t:"Nomad"</x:v>
      </x:c>
      <x:c r="K200" s="26" t="str"/>
      <x:c r="L200" s="26" t="str">
        <x:v>nomad</x:v>
      </x:c>
      <x:c r="M200" s="26" t="str">
        <x:v>Translate directly</x:v>
      </x:c>
      <x:c r="N200" s="26" t="str">
        <x:v>Production-ready</x:v>
      </x:c>
      <x:c r="O200" s="43" t="n">
        <x:v>0.99</x:v>
      </x:c>
      <x:c r="P200" s="26" t="str">
        <x:v>Use for card type/supertype/subtype intent, not for art or rules-text mentions.</x:v>
      </x:c>
      <x:c r="Q200" s="26" t="str">
        <x:v>https://scryfall.com/docs/syntax</x:v>
      </x:c>
      <x:c r="R200" s="26" t="str">
        <x:v>2026-08-21</x:v>
      </x:c>
    </x:row>
    <x:row r="201">
      <x:c r="A201" s="26" t="str">
        <x:v>CreatureTypes!A197</x:v>
      </x:c>
      <x:c r="B201" s="26" t="str">
        <x:v>Creature Type</x:v>
      </x:c>
      <x:c r="C201" s="26" t="str">
        <x:v>Nymph</x:v>
      </x:c>
      <x:c r="D201" s="26" t="str">
        <x:v>Type/subtype</x:v>
      </x:c>
      <x:c r="E201" s="26"/>
      <x:c r="F201" s="26" t="str">
        <x:v>t:"Nymph"</x:v>
      </x:c>
      <x:c r="G201" s="26" t="str">
        <x:v>High</x:v>
      </x:c>
      <x:c r="H201" s="26" t="str">
        <x:v>Native taxonomy</x:v>
      </x:c>
      <x:c r="I201" s="26" t="str">
        <x:v>type:</x:v>
      </x:c>
      <x:c r="J201" s="26" t="str">
        <x:v>t:"Nymph"</x:v>
      </x:c>
      <x:c r="K201" s="26" t="str"/>
      <x:c r="L201" s="26" t="str">
        <x:v>nymph</x:v>
      </x:c>
      <x:c r="M201" s="26" t="str">
        <x:v>Translate directly</x:v>
      </x:c>
      <x:c r="N201" s="26" t="str">
        <x:v>Production-ready</x:v>
      </x:c>
      <x:c r="O201" s="43" t="n">
        <x:v>0.99</x:v>
      </x:c>
      <x:c r="P201" s="26" t="str">
        <x:v>Use for card type/supertype/subtype intent, not for art or rules-text mentions.</x:v>
      </x:c>
      <x:c r="Q201" s="26" t="str">
        <x:v>https://scryfall.com/docs/syntax</x:v>
      </x:c>
      <x:c r="R201" s="26" t="str">
        <x:v>2026-08-21</x:v>
      </x:c>
    </x:row>
    <x:row r="202">
      <x:c r="A202" s="26" t="str">
        <x:v>CreatureTypes!A198</x:v>
      </x:c>
      <x:c r="B202" s="26" t="str">
        <x:v>Creature Type</x:v>
      </x:c>
      <x:c r="C202" s="26" t="str">
        <x:v>Octopus</x:v>
      </x:c>
      <x:c r="D202" s="26" t="str">
        <x:v>Type/subtype</x:v>
      </x:c>
      <x:c r="E202" s="26"/>
      <x:c r="F202" s="26" t="str">
        <x:v>t:"Octopus"</x:v>
      </x:c>
      <x:c r="G202" s="26" t="str">
        <x:v>High</x:v>
      </x:c>
      <x:c r="H202" s="26" t="str">
        <x:v>Native taxonomy</x:v>
      </x:c>
      <x:c r="I202" s="26" t="str">
        <x:v>type:</x:v>
      </x:c>
      <x:c r="J202" s="26" t="str">
        <x:v>t:"Octopus"</x:v>
      </x:c>
      <x:c r="K202" s="26" t="str"/>
      <x:c r="L202" s="26" t="str">
        <x:v>octopus</x:v>
      </x:c>
      <x:c r="M202" s="26" t="str">
        <x:v>Translate directly</x:v>
      </x:c>
      <x:c r="N202" s="26" t="str">
        <x:v>Production-ready</x:v>
      </x:c>
      <x:c r="O202" s="43" t="n">
        <x:v>0.99</x:v>
      </x:c>
      <x:c r="P202" s="26" t="str">
        <x:v>Use for card type/supertype/subtype intent, not for art or rules-text mentions.</x:v>
      </x:c>
      <x:c r="Q202" s="26" t="str">
        <x:v>https://scryfall.com/docs/syntax</x:v>
      </x:c>
      <x:c r="R202" s="26" t="str">
        <x:v>2026-08-21</x:v>
      </x:c>
    </x:row>
    <x:row r="203">
      <x:c r="A203" s="26" t="str">
        <x:v>CreatureTypes!A199</x:v>
      </x:c>
      <x:c r="B203" s="26" t="str">
        <x:v>Creature Type</x:v>
      </x:c>
      <x:c r="C203" s="26" t="str">
        <x:v>Officer</x:v>
      </x:c>
      <x:c r="D203" s="26" t="str">
        <x:v>Type/subtype</x:v>
      </x:c>
      <x:c r="E203" s="26"/>
      <x:c r="F203" s="26" t="str">
        <x:v>t:"Officer"</x:v>
      </x:c>
      <x:c r="G203" s="26" t="str">
        <x:v>High</x:v>
      </x:c>
      <x:c r="H203" s="26" t="str">
        <x:v>Native taxonomy</x:v>
      </x:c>
      <x:c r="I203" s="26" t="str">
        <x:v>type:</x:v>
      </x:c>
      <x:c r="J203" s="26" t="str">
        <x:v>t:"Officer"</x:v>
      </x:c>
      <x:c r="K203" s="26" t="str"/>
      <x:c r="L203" s="26" t="str">
        <x:v>officer</x:v>
      </x:c>
      <x:c r="M203" s="26" t="str">
        <x:v>Translate directly</x:v>
      </x:c>
      <x:c r="N203" s="26" t="str">
        <x:v>Production-ready</x:v>
      </x:c>
      <x:c r="O203" s="43" t="n">
        <x:v>0.99</x:v>
      </x:c>
      <x:c r="P203" s="26" t="str">
        <x:v>Use for card type/supertype/subtype intent, not for art or rules-text mentions.</x:v>
      </x:c>
      <x:c r="Q203" s="26" t="str">
        <x:v>https://scryfall.com/docs/syntax</x:v>
      </x:c>
      <x:c r="R203" s="26" t="str">
        <x:v>2026-08-21</x:v>
      </x:c>
    </x:row>
    <x:row r="204">
      <x:c r="A204" s="26" t="str">
        <x:v>CreatureTypes!A200</x:v>
      </x:c>
      <x:c r="B204" s="26" t="str">
        <x:v>Creature Type</x:v>
      </x:c>
      <x:c r="C204" s="26" t="str">
        <x:v>Ogre</x:v>
      </x:c>
      <x:c r="D204" s="26" t="str">
        <x:v>Type/subtype</x:v>
      </x:c>
      <x:c r="E204" s="26"/>
      <x:c r="F204" s="26" t="str">
        <x:v>t:"Ogre"</x:v>
      </x:c>
      <x:c r="G204" s="26" t="str">
        <x:v>High</x:v>
      </x:c>
      <x:c r="H204" s="26" t="str">
        <x:v>Native taxonomy</x:v>
      </x:c>
      <x:c r="I204" s="26" t="str">
        <x:v>type:</x:v>
      </x:c>
      <x:c r="J204" s="26" t="str">
        <x:v>t:"Ogre"</x:v>
      </x:c>
      <x:c r="K204" s="26" t="str"/>
      <x:c r="L204" s="26" t="str">
        <x:v>ogre</x:v>
      </x:c>
      <x:c r="M204" s="26" t="str">
        <x:v>Translate directly</x:v>
      </x:c>
      <x:c r="N204" s="26" t="str">
        <x:v>Production-ready</x:v>
      </x:c>
      <x:c r="O204" s="43" t="n">
        <x:v>0.99</x:v>
      </x:c>
      <x:c r="P204" s="26" t="str">
        <x:v>Use for card type/supertype/subtype intent, not for art or rules-text mentions.</x:v>
      </x:c>
      <x:c r="Q204" s="26" t="str">
        <x:v>https://scryfall.com/docs/syntax</x:v>
      </x:c>
      <x:c r="R204" s="26" t="str">
        <x:v>2026-08-21</x:v>
      </x:c>
    </x:row>
    <x:row r="205">
      <x:c r="A205" s="26" t="str">
        <x:v>CreatureTypes!A201</x:v>
      </x:c>
      <x:c r="B205" s="26" t="str">
        <x:v>Creature Type</x:v>
      </x:c>
      <x:c r="C205" s="26" t="str">
        <x:v>Ooze</x:v>
      </x:c>
      <x:c r="D205" s="26" t="str">
        <x:v>Type/subtype</x:v>
      </x:c>
      <x:c r="E205" s="26"/>
      <x:c r="F205" s="26" t="str">
        <x:v>t:"Ooze"</x:v>
      </x:c>
      <x:c r="G205" s="26" t="str">
        <x:v>High</x:v>
      </x:c>
      <x:c r="H205" s="26" t="str">
        <x:v>Native taxonomy</x:v>
      </x:c>
      <x:c r="I205" s="26" t="str">
        <x:v>type:</x:v>
      </x:c>
      <x:c r="J205" s="26" t="str">
        <x:v>t:"Ooze"</x:v>
      </x:c>
      <x:c r="K205" s="26" t="str"/>
      <x:c r="L205" s="26" t="str">
        <x:v>ooze</x:v>
      </x:c>
      <x:c r="M205" s="26" t="str">
        <x:v>Translate directly</x:v>
      </x:c>
      <x:c r="N205" s="26" t="str">
        <x:v>Production-ready</x:v>
      </x:c>
      <x:c r="O205" s="43" t="n">
        <x:v>0.99</x:v>
      </x:c>
      <x:c r="P205" s="26" t="str">
        <x:v>Use for card type/supertype/subtype intent, not for art or rules-text mentions.</x:v>
      </x:c>
      <x:c r="Q205" s="26" t="str">
        <x:v>https://scryfall.com/docs/syntax</x:v>
      </x:c>
      <x:c r="R205" s="26" t="str">
        <x:v>2026-08-21</x:v>
      </x:c>
    </x:row>
    <x:row r="206">
      <x:c r="A206" s="26" t="str">
        <x:v>CreatureTypes!A202</x:v>
      </x:c>
      <x:c r="B206" s="26" t="str">
        <x:v>Creature Type</x:v>
      </x:c>
      <x:c r="C206" s="26" t="str">
        <x:v>Orb</x:v>
      </x:c>
      <x:c r="D206" s="26" t="str">
        <x:v>Type/subtype</x:v>
      </x:c>
      <x:c r="E206" s="26"/>
      <x:c r="F206" s="26" t="str">
        <x:v>t:"Orb"</x:v>
      </x:c>
      <x:c r="G206" s="26" t="str">
        <x:v>High</x:v>
      </x:c>
      <x:c r="H206" s="26" t="str">
        <x:v>Native taxonomy</x:v>
      </x:c>
      <x:c r="I206" s="26" t="str">
        <x:v>type:</x:v>
      </x:c>
      <x:c r="J206" s="26" t="str">
        <x:v>t:"Orb"</x:v>
      </x:c>
      <x:c r="K206" s="26" t="str"/>
      <x:c r="L206" s="26" t="str">
        <x:v>orb</x:v>
      </x:c>
      <x:c r="M206" s="26" t="str">
        <x:v>Translate directly</x:v>
      </x:c>
      <x:c r="N206" s="26" t="str">
        <x:v>Production-ready</x:v>
      </x:c>
      <x:c r="O206" s="43" t="n">
        <x:v>0.99</x:v>
      </x:c>
      <x:c r="P206" s="26" t="str">
        <x:v>Use for card type/supertype/subtype intent, not for art or rules-text mentions.</x:v>
      </x:c>
      <x:c r="Q206" s="26" t="str">
        <x:v>https://scryfall.com/docs/syntax</x:v>
      </x:c>
      <x:c r="R206" s="26" t="str">
        <x:v>2026-08-21</x:v>
      </x:c>
    </x:row>
    <x:row r="207">
      <x:c r="A207" s="26" t="str">
        <x:v>CreatureTypes!A203</x:v>
      </x:c>
      <x:c r="B207" s="26" t="str">
        <x:v>Creature Type</x:v>
      </x:c>
      <x:c r="C207" s="26" t="str">
        <x:v>Orc</x:v>
      </x:c>
      <x:c r="D207" s="26" t="str">
        <x:v>Type/subtype</x:v>
      </x:c>
      <x:c r="E207" s="26"/>
      <x:c r="F207" s="26" t="str">
        <x:v>t:"Orc"</x:v>
      </x:c>
      <x:c r="G207" s="26" t="str">
        <x:v>High</x:v>
      </x:c>
      <x:c r="H207" s="26" t="str">
        <x:v>Native taxonomy</x:v>
      </x:c>
      <x:c r="I207" s="26" t="str">
        <x:v>type:</x:v>
      </x:c>
      <x:c r="J207" s="26" t="str">
        <x:v>t:"Orc"</x:v>
      </x:c>
      <x:c r="K207" s="26" t="str"/>
      <x:c r="L207" s="26" t="str">
        <x:v>orc</x:v>
      </x:c>
      <x:c r="M207" s="26" t="str">
        <x:v>Translate directly</x:v>
      </x:c>
      <x:c r="N207" s="26" t="str">
        <x:v>Production-ready</x:v>
      </x:c>
      <x:c r="O207" s="43" t="n">
        <x:v>0.99</x:v>
      </x:c>
      <x:c r="P207" s="26" t="str">
        <x:v>Use for card type/supertype/subtype intent, not for art or rules-text mentions.</x:v>
      </x:c>
      <x:c r="Q207" s="26" t="str">
        <x:v>https://scryfall.com/docs/syntax</x:v>
      </x:c>
      <x:c r="R207" s="26" t="str">
        <x:v>2026-08-21</x:v>
      </x:c>
    </x:row>
    <x:row r="208">
      <x:c r="A208" s="26" t="str">
        <x:v>CreatureTypes!A204</x:v>
      </x:c>
      <x:c r="B208" s="26" t="str">
        <x:v>Creature Type</x:v>
      </x:c>
      <x:c r="C208" s="26" t="str">
        <x:v>Orgg</x:v>
      </x:c>
      <x:c r="D208" s="26" t="str">
        <x:v>Type/subtype</x:v>
      </x:c>
      <x:c r="E208" s="26"/>
      <x:c r="F208" s="26" t="str">
        <x:v>t:"Orgg"</x:v>
      </x:c>
      <x:c r="G208" s="26" t="str">
        <x:v>High</x:v>
      </x:c>
      <x:c r="H208" s="26" t="str">
        <x:v>Native taxonomy</x:v>
      </x:c>
      <x:c r="I208" s="26" t="str">
        <x:v>type:</x:v>
      </x:c>
      <x:c r="J208" s="26" t="str">
        <x:v>t:"Orgg"</x:v>
      </x:c>
      <x:c r="K208" s="26" t="str"/>
      <x:c r="L208" s="26" t="str">
        <x:v>orgg</x:v>
      </x:c>
      <x:c r="M208" s="26" t="str">
        <x:v>Translate directly</x:v>
      </x:c>
      <x:c r="N208" s="26" t="str">
        <x:v>Production-ready</x:v>
      </x:c>
      <x:c r="O208" s="43" t="n">
        <x:v>0.99</x:v>
      </x:c>
      <x:c r="P208" s="26" t="str">
        <x:v>Use for card type/supertype/subtype intent, not for art or rules-text mentions.</x:v>
      </x:c>
      <x:c r="Q208" s="26" t="str">
        <x:v>https://scryfall.com/docs/syntax</x:v>
      </x:c>
      <x:c r="R208" s="26" t="str">
        <x:v>2026-08-21</x:v>
      </x:c>
    </x:row>
    <x:row r="209">
      <x:c r="A209" s="26" t="str">
        <x:v>CreatureTypes!A205</x:v>
      </x:c>
      <x:c r="B209" s="26" t="str">
        <x:v>Creature Type</x:v>
      </x:c>
      <x:c r="C209" s="26" t="str">
        <x:v>Otter</x:v>
      </x:c>
      <x:c r="D209" s="26" t="str">
        <x:v>Type/subtype</x:v>
      </x:c>
      <x:c r="E209" s="26"/>
      <x:c r="F209" s="26" t="str">
        <x:v>t:"Otter"</x:v>
      </x:c>
      <x:c r="G209" s="26" t="str">
        <x:v>High</x:v>
      </x:c>
      <x:c r="H209" s="26" t="str">
        <x:v>Native taxonomy</x:v>
      </x:c>
      <x:c r="I209" s="26" t="str">
        <x:v>type:</x:v>
      </x:c>
      <x:c r="J209" s="26" t="str">
        <x:v>t:"Otter"</x:v>
      </x:c>
      <x:c r="K209" s="26" t="str"/>
      <x:c r="L209" s="26" t="str">
        <x:v>otter</x:v>
      </x:c>
      <x:c r="M209" s="26" t="str">
        <x:v>Translate directly</x:v>
      </x:c>
      <x:c r="N209" s="26" t="str">
        <x:v>Production-ready</x:v>
      </x:c>
      <x:c r="O209" s="43" t="n">
        <x:v>0.99</x:v>
      </x:c>
      <x:c r="P209" s="26" t="str">
        <x:v>Use for card type/supertype/subtype intent, not for art or rules-text mentions.</x:v>
      </x:c>
      <x:c r="Q209" s="26" t="str">
        <x:v>https://scryfall.com/docs/syntax</x:v>
      </x:c>
      <x:c r="R209" s="26" t="str">
        <x:v>2026-08-21</x:v>
      </x:c>
    </x:row>
    <x:row r="210">
      <x:c r="A210" s="26" t="str">
        <x:v>CreatureTypes!A206</x:v>
      </x:c>
      <x:c r="B210" s="26" t="str">
        <x:v>Creature Type</x:v>
      </x:c>
      <x:c r="C210" s="26" t="str">
        <x:v>Ouphe</x:v>
      </x:c>
      <x:c r="D210" s="26" t="str">
        <x:v>Type/subtype</x:v>
      </x:c>
      <x:c r="E210" s="26"/>
      <x:c r="F210" s="26" t="str">
        <x:v>t:"Ouphe"</x:v>
      </x:c>
      <x:c r="G210" s="26" t="str">
        <x:v>High</x:v>
      </x:c>
      <x:c r="H210" s="26" t="str">
        <x:v>Native taxonomy</x:v>
      </x:c>
      <x:c r="I210" s="26" t="str">
        <x:v>type:</x:v>
      </x:c>
      <x:c r="J210" s="26" t="str">
        <x:v>t:"Ouphe"</x:v>
      </x:c>
      <x:c r="K210" s="26" t="str"/>
      <x:c r="L210" s="26" t="str">
        <x:v>ouphe</x:v>
      </x:c>
      <x:c r="M210" s="26" t="str">
        <x:v>Translate directly</x:v>
      </x:c>
      <x:c r="N210" s="26" t="str">
        <x:v>Production-ready</x:v>
      </x:c>
      <x:c r="O210" s="43" t="n">
        <x:v>0.99</x:v>
      </x:c>
      <x:c r="P210" s="26" t="str">
        <x:v>Use for card type/supertype/subtype intent, not for art or rules-text mentions.</x:v>
      </x:c>
      <x:c r="Q210" s="26" t="str">
        <x:v>https://scryfall.com/docs/syntax</x:v>
      </x:c>
      <x:c r="R210" s="26" t="str">
        <x:v>2026-08-21</x:v>
      </x:c>
    </x:row>
    <x:row r="211">
      <x:c r="A211" s="26" t="str">
        <x:v>CreatureTypes!A207</x:v>
      </x:c>
      <x:c r="B211" s="26" t="str">
        <x:v>Creature Type</x:v>
      </x:c>
      <x:c r="C211" s="26" t="str">
        <x:v>Ox</x:v>
      </x:c>
      <x:c r="D211" s="26" t="str">
        <x:v>Type/subtype</x:v>
      </x:c>
      <x:c r="E211" s="26"/>
      <x:c r="F211" s="26" t="str">
        <x:v>t:"Ox"</x:v>
      </x:c>
      <x:c r="G211" s="26" t="str">
        <x:v>High</x:v>
      </x:c>
      <x:c r="H211" s="26" t="str">
        <x:v>Native taxonomy</x:v>
      </x:c>
      <x:c r="I211" s="26" t="str">
        <x:v>type:</x:v>
      </x:c>
      <x:c r="J211" s="26" t="str">
        <x:v>t:"Ox"</x:v>
      </x:c>
      <x:c r="K211" s="26" t="str"/>
      <x:c r="L211" s="26" t="str">
        <x:v>ox</x:v>
      </x:c>
      <x:c r="M211" s="26" t="str">
        <x:v>Translate directly</x:v>
      </x:c>
      <x:c r="N211" s="26" t="str">
        <x:v>Production-ready</x:v>
      </x:c>
      <x:c r="O211" s="43" t="n">
        <x:v>0.99</x:v>
      </x:c>
      <x:c r="P211" s="26" t="str">
        <x:v>Use for card type/supertype/subtype intent, not for art or rules-text mentions.</x:v>
      </x:c>
      <x:c r="Q211" s="26" t="str">
        <x:v>https://scryfall.com/docs/syntax</x:v>
      </x:c>
      <x:c r="R211" s="26" t="str">
        <x:v>2026-08-21</x:v>
      </x:c>
    </x:row>
    <x:row r="212">
      <x:c r="A212" s="26" t="str">
        <x:v>CreatureTypes!A208</x:v>
      </x:c>
      <x:c r="B212" s="26" t="str">
        <x:v>Creature Type</x:v>
      </x:c>
      <x:c r="C212" s="26" t="str">
        <x:v>Oyster</x:v>
      </x:c>
      <x:c r="D212" s="26" t="str">
        <x:v>Type/subtype</x:v>
      </x:c>
      <x:c r="E212" s="26"/>
      <x:c r="F212" s="26" t="str">
        <x:v>t:"Oyster"</x:v>
      </x:c>
      <x:c r="G212" s="26" t="str">
        <x:v>High</x:v>
      </x:c>
      <x:c r="H212" s="26" t="str">
        <x:v>Native taxonomy</x:v>
      </x:c>
      <x:c r="I212" s="26" t="str">
        <x:v>type:</x:v>
      </x:c>
      <x:c r="J212" s="26" t="str">
        <x:v>t:"Oyster"</x:v>
      </x:c>
      <x:c r="K212" s="26" t="str"/>
      <x:c r="L212" s="26" t="str">
        <x:v>oyster</x:v>
      </x:c>
      <x:c r="M212" s="26" t="str">
        <x:v>Translate directly</x:v>
      </x:c>
      <x:c r="N212" s="26" t="str">
        <x:v>Production-ready</x:v>
      </x:c>
      <x:c r="O212" s="43" t="n">
        <x:v>0.99</x:v>
      </x:c>
      <x:c r="P212" s="26" t="str">
        <x:v>Use for card type/supertype/subtype intent, not for art or rules-text mentions.</x:v>
      </x:c>
      <x:c r="Q212" s="26" t="str">
        <x:v>https://scryfall.com/docs/syntax</x:v>
      </x:c>
      <x:c r="R212" s="26" t="str">
        <x:v>2026-08-21</x:v>
      </x:c>
    </x:row>
    <x:row r="213">
      <x:c r="A213" s="26" t="str">
        <x:v>CreatureTypes!A209</x:v>
      </x:c>
      <x:c r="B213" s="26" t="str">
        <x:v>Creature Type</x:v>
      </x:c>
      <x:c r="C213" s="26" t="str">
        <x:v>Pangolin</x:v>
      </x:c>
      <x:c r="D213" s="26" t="str">
        <x:v>Type/subtype</x:v>
      </x:c>
      <x:c r="E213" s="26"/>
      <x:c r="F213" s="26" t="str">
        <x:v>t:"Pangolin"</x:v>
      </x:c>
      <x:c r="G213" s="26" t="str">
        <x:v>High</x:v>
      </x:c>
      <x:c r="H213" s="26" t="str">
        <x:v>Native taxonomy</x:v>
      </x:c>
      <x:c r="I213" s="26" t="str">
        <x:v>type:</x:v>
      </x:c>
      <x:c r="J213" s="26" t="str">
        <x:v>t:"Pangolin"</x:v>
      </x:c>
      <x:c r="K213" s="26" t="str"/>
      <x:c r="L213" s="26" t="str">
        <x:v>pangolin</x:v>
      </x:c>
      <x:c r="M213" s="26" t="str">
        <x:v>Translate directly</x:v>
      </x:c>
      <x:c r="N213" s="26" t="str">
        <x:v>Production-ready</x:v>
      </x:c>
      <x:c r="O213" s="43" t="n">
        <x:v>0.99</x:v>
      </x:c>
      <x:c r="P213" s="26" t="str">
        <x:v>Use for card type/supertype/subtype intent, not for art or rules-text mentions.</x:v>
      </x:c>
      <x:c r="Q213" s="26" t="str">
        <x:v>https://scryfall.com/docs/syntax</x:v>
      </x:c>
      <x:c r="R213" s="26" t="str">
        <x:v>2026-08-21</x:v>
      </x:c>
    </x:row>
    <x:row r="214">
      <x:c r="A214" s="26" t="str">
        <x:v>CreatureTypes!A210</x:v>
      </x:c>
      <x:c r="B214" s="26" t="str">
        <x:v>Creature Type</x:v>
      </x:c>
      <x:c r="C214" s="26" t="str">
        <x:v>Peasant</x:v>
      </x:c>
      <x:c r="D214" s="26" t="str">
        <x:v>Type/subtype</x:v>
      </x:c>
      <x:c r="E214" s="26"/>
      <x:c r="F214" s="26" t="str">
        <x:v>t:"Peasant"</x:v>
      </x:c>
      <x:c r="G214" s="26" t="str">
        <x:v>High</x:v>
      </x:c>
      <x:c r="H214" s="26" t="str">
        <x:v>Native taxonomy</x:v>
      </x:c>
      <x:c r="I214" s="26" t="str">
        <x:v>type:</x:v>
      </x:c>
      <x:c r="J214" s="26" t="str">
        <x:v>t:"Peasant"</x:v>
      </x:c>
      <x:c r="K214" s="26" t="str"/>
      <x:c r="L214" s="26" t="str">
        <x:v>peasant</x:v>
      </x:c>
      <x:c r="M214" s="26" t="str">
        <x:v>Translate directly</x:v>
      </x:c>
      <x:c r="N214" s="26" t="str">
        <x:v>Production-ready</x:v>
      </x:c>
      <x:c r="O214" s="43" t="n">
        <x:v>0.99</x:v>
      </x:c>
      <x:c r="P214" s="26" t="str">
        <x:v>Use for card type/supertype/subtype intent, not for art or rules-text mentions.</x:v>
      </x:c>
      <x:c r="Q214" s="26" t="str">
        <x:v>https://scryfall.com/docs/syntax</x:v>
      </x:c>
      <x:c r="R214" s="26" t="str">
        <x:v>2026-08-21</x:v>
      </x:c>
    </x:row>
    <x:row r="215">
      <x:c r="A215" s="26" t="str">
        <x:v>CreatureTypes!A211</x:v>
      </x:c>
      <x:c r="B215" s="26" t="str">
        <x:v>Creature Type</x:v>
      </x:c>
      <x:c r="C215" s="26" t="str">
        <x:v>Pegasus</x:v>
      </x:c>
      <x:c r="D215" s="26" t="str">
        <x:v>Type/subtype</x:v>
      </x:c>
      <x:c r="E215" s="26"/>
      <x:c r="F215" s="26" t="str">
        <x:v>t:"Pegasus"</x:v>
      </x:c>
      <x:c r="G215" s="26" t="str">
        <x:v>High</x:v>
      </x:c>
      <x:c r="H215" s="26" t="str">
        <x:v>Native taxonomy</x:v>
      </x:c>
      <x:c r="I215" s="26" t="str">
        <x:v>type:</x:v>
      </x:c>
      <x:c r="J215" s="26" t="str">
        <x:v>t:"Pegasus"</x:v>
      </x:c>
      <x:c r="K215" s="26" t="str"/>
      <x:c r="L215" s="26" t="str">
        <x:v>pegasus</x:v>
      </x:c>
      <x:c r="M215" s="26" t="str">
        <x:v>Translate directly</x:v>
      </x:c>
      <x:c r="N215" s="26" t="str">
        <x:v>Production-ready</x:v>
      </x:c>
      <x:c r="O215" s="43" t="n">
        <x:v>0.99</x:v>
      </x:c>
      <x:c r="P215" s="26" t="str">
        <x:v>Use for card type/supertype/subtype intent, not for art or rules-text mentions.</x:v>
      </x:c>
      <x:c r="Q215" s="26" t="str">
        <x:v>https://scryfall.com/docs/syntax</x:v>
      </x:c>
      <x:c r="R215" s="26" t="str">
        <x:v>2026-08-21</x:v>
      </x:c>
    </x:row>
    <x:row r="216">
      <x:c r="A216" s="26" t="str">
        <x:v>CreatureTypes!A212</x:v>
      </x:c>
      <x:c r="B216" s="26" t="str">
        <x:v>Creature Type</x:v>
      </x:c>
      <x:c r="C216" s="26" t="str">
        <x:v>Pentavite</x:v>
      </x:c>
      <x:c r="D216" s="26" t="str">
        <x:v>Type/subtype</x:v>
      </x:c>
      <x:c r="E216" s="26"/>
      <x:c r="F216" s="26" t="str">
        <x:v>t:"Pentavite"</x:v>
      </x:c>
      <x:c r="G216" s="26" t="str">
        <x:v>High</x:v>
      </x:c>
      <x:c r="H216" s="26" t="str">
        <x:v>Native taxonomy</x:v>
      </x:c>
      <x:c r="I216" s="26" t="str">
        <x:v>type:</x:v>
      </x:c>
      <x:c r="J216" s="26" t="str">
        <x:v>t:"Pentavite"</x:v>
      </x:c>
      <x:c r="K216" s="26" t="str"/>
      <x:c r="L216" s="26" t="str">
        <x:v>pentavite</x:v>
      </x:c>
      <x:c r="M216" s="26" t="str">
        <x:v>Translate directly</x:v>
      </x:c>
      <x:c r="N216" s="26" t="str">
        <x:v>Production-ready</x:v>
      </x:c>
      <x:c r="O216" s="43" t="n">
        <x:v>0.99</x:v>
      </x:c>
      <x:c r="P216" s="26" t="str">
        <x:v>Use for card type/supertype/subtype intent, not for art or rules-text mentions.</x:v>
      </x:c>
      <x:c r="Q216" s="26" t="str">
        <x:v>https://scryfall.com/docs/syntax</x:v>
      </x:c>
      <x:c r="R216" s="26" t="str">
        <x:v>2026-08-21</x:v>
      </x:c>
    </x:row>
    <x:row r="217">
      <x:c r="A217" s="26" t="str">
        <x:v>CreatureTypes!A213</x:v>
      </x:c>
      <x:c r="B217" s="26" t="str">
        <x:v>Creature Type</x:v>
      </x:c>
      <x:c r="C217" s="26" t="str">
        <x:v>Performer</x:v>
      </x:c>
      <x:c r="D217" s="26" t="str">
        <x:v>Type/subtype</x:v>
      </x:c>
      <x:c r="E217" s="26"/>
      <x:c r="F217" s="26" t="str">
        <x:v>t:"Performer"</x:v>
      </x:c>
      <x:c r="G217" s="26" t="str">
        <x:v>High</x:v>
      </x:c>
      <x:c r="H217" s="26" t="str">
        <x:v>Native taxonomy</x:v>
      </x:c>
      <x:c r="I217" s="26" t="str">
        <x:v>type:</x:v>
      </x:c>
      <x:c r="J217" s="26" t="str">
        <x:v>t:"Performer"</x:v>
      </x:c>
      <x:c r="K217" s="26" t="str"/>
      <x:c r="L217" s="26" t="str">
        <x:v>performer</x:v>
      </x:c>
      <x:c r="M217" s="26" t="str">
        <x:v>Translate directly</x:v>
      </x:c>
      <x:c r="N217" s="26" t="str">
        <x:v>Production-ready</x:v>
      </x:c>
      <x:c r="O217" s="43" t="n">
        <x:v>0.99</x:v>
      </x:c>
      <x:c r="P217" s="26" t="str">
        <x:v>Use for card type/supertype/subtype intent, not for art or rules-text mentions.</x:v>
      </x:c>
      <x:c r="Q217" s="26" t="str">
        <x:v>https://scryfall.com/docs/syntax</x:v>
      </x:c>
      <x:c r="R217" s="26" t="str">
        <x:v>2026-08-21</x:v>
      </x:c>
    </x:row>
    <x:row r="218">
      <x:c r="A218" s="26" t="str">
        <x:v>CreatureTypes!A214</x:v>
      </x:c>
      <x:c r="B218" s="26" t="str">
        <x:v>Creature Type</x:v>
      </x:c>
      <x:c r="C218" s="26" t="str">
        <x:v>Pest</x:v>
      </x:c>
      <x:c r="D218" s="26" t="str">
        <x:v>Type/subtype</x:v>
      </x:c>
      <x:c r="E218" s="26"/>
      <x:c r="F218" s="26" t="str">
        <x:v>t:"Pest"</x:v>
      </x:c>
      <x:c r="G218" s="26" t="str">
        <x:v>High</x:v>
      </x:c>
      <x:c r="H218" s="26" t="str">
        <x:v>Native taxonomy</x:v>
      </x:c>
      <x:c r="I218" s="26" t="str">
        <x:v>type:</x:v>
      </x:c>
      <x:c r="J218" s="26" t="str">
        <x:v>t:"Pest"</x:v>
      </x:c>
      <x:c r="K218" s="26" t="str"/>
      <x:c r="L218" s="26" t="str">
        <x:v>pest</x:v>
      </x:c>
      <x:c r="M218" s="26" t="str">
        <x:v>Translate directly</x:v>
      </x:c>
      <x:c r="N218" s="26" t="str">
        <x:v>Production-ready</x:v>
      </x:c>
      <x:c r="O218" s="43" t="n">
        <x:v>0.99</x:v>
      </x:c>
      <x:c r="P218" s="26" t="str">
        <x:v>Use for card type/supertype/subtype intent, not for art or rules-text mentions.</x:v>
      </x:c>
      <x:c r="Q218" s="26" t="str">
        <x:v>https://scryfall.com/docs/syntax</x:v>
      </x:c>
      <x:c r="R218" s="26" t="str">
        <x:v>2026-08-21</x:v>
      </x:c>
    </x:row>
    <x:row r="219">
      <x:c r="A219" s="26" t="str">
        <x:v>CreatureTypes!A215</x:v>
      </x:c>
      <x:c r="B219" s="26" t="str">
        <x:v>Creature Type</x:v>
      </x:c>
      <x:c r="C219" s="26" t="str">
        <x:v>Phelddagrif</x:v>
      </x:c>
      <x:c r="D219" s="26" t="str">
        <x:v>Type/subtype</x:v>
      </x:c>
      <x:c r="E219" s="26"/>
      <x:c r="F219" s="26" t="str">
        <x:v>t:"Phelddagrif"</x:v>
      </x:c>
      <x:c r="G219" s="26" t="str">
        <x:v>High</x:v>
      </x:c>
      <x:c r="H219" s="26" t="str">
        <x:v>Native taxonomy</x:v>
      </x:c>
      <x:c r="I219" s="26" t="str">
        <x:v>type:</x:v>
      </x:c>
      <x:c r="J219" s="26" t="str">
        <x:v>t:"Phelddagrif"</x:v>
      </x:c>
      <x:c r="K219" s="26" t="str"/>
      <x:c r="L219" s="26" t="str">
        <x:v>phelddagrif</x:v>
      </x:c>
      <x:c r="M219" s="26" t="str">
        <x:v>Translate directly</x:v>
      </x:c>
      <x:c r="N219" s="26" t="str">
        <x:v>Production-ready</x:v>
      </x:c>
      <x:c r="O219" s="43" t="n">
        <x:v>0.99</x:v>
      </x:c>
      <x:c r="P219" s="26" t="str">
        <x:v>Use for card type/supertype/subtype intent, not for art or rules-text mentions.</x:v>
      </x:c>
      <x:c r="Q219" s="26" t="str">
        <x:v>https://scryfall.com/docs/syntax</x:v>
      </x:c>
      <x:c r="R219" s="26" t="str">
        <x:v>2026-08-21</x:v>
      </x:c>
    </x:row>
    <x:row r="220">
      <x:c r="A220" s="26" t="str">
        <x:v>CreatureTypes!A216</x:v>
      </x:c>
      <x:c r="B220" s="26" t="str">
        <x:v>Creature Type</x:v>
      </x:c>
      <x:c r="C220" s="26" t="str">
        <x:v>Phoenix</x:v>
      </x:c>
      <x:c r="D220" s="26" t="str">
        <x:v>Type/subtype</x:v>
      </x:c>
      <x:c r="E220" s="26"/>
      <x:c r="F220" s="26" t="str">
        <x:v>t:"Phoenix"</x:v>
      </x:c>
      <x:c r="G220" s="26" t="str">
        <x:v>High</x:v>
      </x:c>
      <x:c r="H220" s="26" t="str">
        <x:v>Native taxonomy</x:v>
      </x:c>
      <x:c r="I220" s="26" t="str">
        <x:v>type:</x:v>
      </x:c>
      <x:c r="J220" s="26" t="str">
        <x:v>t:"Phoenix"</x:v>
      </x:c>
      <x:c r="K220" s="26" t="str"/>
      <x:c r="L220" s="26" t="str">
        <x:v>phoenix</x:v>
      </x:c>
      <x:c r="M220" s="26" t="str">
        <x:v>Translate directly</x:v>
      </x:c>
      <x:c r="N220" s="26" t="str">
        <x:v>Production-ready</x:v>
      </x:c>
      <x:c r="O220" s="43" t="n">
        <x:v>0.99</x:v>
      </x:c>
      <x:c r="P220" s="26" t="str">
        <x:v>Use for card type/supertype/subtype intent, not for art or rules-text mentions.</x:v>
      </x:c>
      <x:c r="Q220" s="26" t="str">
        <x:v>https://scryfall.com/docs/syntax</x:v>
      </x:c>
      <x:c r="R220" s="26" t="str">
        <x:v>2026-08-21</x:v>
      </x:c>
    </x:row>
    <x:row r="221">
      <x:c r="A221" s="26" t="str">
        <x:v>CreatureTypes!A217</x:v>
      </x:c>
      <x:c r="B221" s="26" t="str">
        <x:v>Creature Type</x:v>
      </x:c>
      <x:c r="C221" s="26" t="str">
        <x:v>Phyrexian</x:v>
      </x:c>
      <x:c r="D221" s="26" t="str">
        <x:v>Type/subtype</x:v>
      </x:c>
      <x:c r="E221" s="26"/>
      <x:c r="F221" s="26" t="str">
        <x:v>t:"Phyrexian"</x:v>
      </x:c>
      <x:c r="G221" s="26" t="str">
        <x:v>High</x:v>
      </x:c>
      <x:c r="H221" s="26" t="str">
        <x:v>Native taxonomy</x:v>
      </x:c>
      <x:c r="I221" s="26" t="str">
        <x:v>type:</x:v>
      </x:c>
      <x:c r="J221" s="26" t="str">
        <x:v>t:"Phyrexian"</x:v>
      </x:c>
      <x:c r="K221" s="26" t="str"/>
      <x:c r="L221" s="26" t="str">
        <x:v>phyrexian</x:v>
      </x:c>
      <x:c r="M221" s="26" t="str">
        <x:v>Translate directly</x:v>
      </x:c>
      <x:c r="N221" s="26" t="str">
        <x:v>Production-ready</x:v>
      </x:c>
      <x:c r="O221" s="43" t="n">
        <x:v>0.99</x:v>
      </x:c>
      <x:c r="P221" s="26" t="str">
        <x:v>Use for card type/supertype/subtype intent, not for art or rules-text mentions.</x:v>
      </x:c>
      <x:c r="Q221" s="26" t="str">
        <x:v>https://scryfall.com/docs/syntax</x:v>
      </x:c>
      <x:c r="R221" s="26" t="str">
        <x:v>2026-08-21</x:v>
      </x:c>
    </x:row>
    <x:row r="222">
      <x:c r="A222" s="26" t="str">
        <x:v>CreatureTypes!A218</x:v>
      </x:c>
      <x:c r="B222" s="26" t="str">
        <x:v>Creature Type</x:v>
      </x:c>
      <x:c r="C222" s="26" t="str">
        <x:v>Pilot</x:v>
      </x:c>
      <x:c r="D222" s="26" t="str">
        <x:v>Type/subtype</x:v>
      </x:c>
      <x:c r="E222" s="26"/>
      <x:c r="F222" s="26" t="str">
        <x:v>t:"Pilot"</x:v>
      </x:c>
      <x:c r="G222" s="26" t="str">
        <x:v>High</x:v>
      </x:c>
      <x:c r="H222" s="26" t="str">
        <x:v>Native taxonomy</x:v>
      </x:c>
      <x:c r="I222" s="26" t="str">
        <x:v>type:</x:v>
      </x:c>
      <x:c r="J222" s="26" t="str">
        <x:v>t:"Pilot"</x:v>
      </x:c>
      <x:c r="K222" s="26" t="str"/>
      <x:c r="L222" s="26" t="str">
        <x:v>pilot</x:v>
      </x:c>
      <x:c r="M222" s="26" t="str">
        <x:v>Translate directly</x:v>
      </x:c>
      <x:c r="N222" s="26" t="str">
        <x:v>Production-ready</x:v>
      </x:c>
      <x:c r="O222" s="43" t="n">
        <x:v>0.99</x:v>
      </x:c>
      <x:c r="P222" s="26" t="str">
        <x:v>Use for card type/supertype/subtype intent, not for art or rules-text mentions.</x:v>
      </x:c>
      <x:c r="Q222" s="26" t="str">
        <x:v>https://scryfall.com/docs/syntax</x:v>
      </x:c>
      <x:c r="R222" s="26" t="str">
        <x:v>2026-08-21</x:v>
      </x:c>
    </x:row>
    <x:row r="223">
      <x:c r="A223" s="26" t="str">
        <x:v>CreatureTypes!A219</x:v>
      </x:c>
      <x:c r="B223" s="26" t="str">
        <x:v>Creature Type</x:v>
      </x:c>
      <x:c r="C223" s="26" t="str">
        <x:v>Pincher</x:v>
      </x:c>
      <x:c r="D223" s="26" t="str">
        <x:v>Type/subtype</x:v>
      </x:c>
      <x:c r="E223" s="26"/>
      <x:c r="F223" s="26" t="str">
        <x:v>t:"Pincher"</x:v>
      </x:c>
      <x:c r="G223" s="26" t="str">
        <x:v>High</x:v>
      </x:c>
      <x:c r="H223" s="26" t="str">
        <x:v>Native taxonomy</x:v>
      </x:c>
      <x:c r="I223" s="26" t="str">
        <x:v>type:</x:v>
      </x:c>
      <x:c r="J223" s="26" t="str">
        <x:v>t:"Pincher"</x:v>
      </x:c>
      <x:c r="K223" s="26" t="str"/>
      <x:c r="L223" s="26" t="str">
        <x:v>pincher</x:v>
      </x:c>
      <x:c r="M223" s="26" t="str">
        <x:v>Translate directly</x:v>
      </x:c>
      <x:c r="N223" s="26" t="str">
        <x:v>Production-ready</x:v>
      </x:c>
      <x:c r="O223" s="43" t="n">
        <x:v>0.99</x:v>
      </x:c>
      <x:c r="P223" s="26" t="str">
        <x:v>Use for card type/supertype/subtype intent, not for art or rules-text mentions.</x:v>
      </x:c>
      <x:c r="Q223" s="26" t="str">
        <x:v>https://scryfall.com/docs/syntax</x:v>
      </x:c>
      <x:c r="R223" s="26" t="str">
        <x:v>2026-08-21</x:v>
      </x:c>
    </x:row>
    <x:row r="224">
      <x:c r="A224" s="26" t="str">
        <x:v>CreatureTypes!A220</x:v>
      </x:c>
      <x:c r="B224" s="26" t="str">
        <x:v>Creature Type</x:v>
      </x:c>
      <x:c r="C224" s="26" t="str">
        <x:v>Pirate</x:v>
      </x:c>
      <x:c r="D224" s="26" t="str">
        <x:v>Type/subtype</x:v>
      </x:c>
      <x:c r="E224" s="26"/>
      <x:c r="F224" s="26" t="str">
        <x:v>t:"Pirate"</x:v>
      </x:c>
      <x:c r="G224" s="26" t="str">
        <x:v>High</x:v>
      </x:c>
      <x:c r="H224" s="26" t="str">
        <x:v>Native taxonomy</x:v>
      </x:c>
      <x:c r="I224" s="26" t="str">
        <x:v>type:</x:v>
      </x:c>
      <x:c r="J224" s="26" t="str">
        <x:v>t:"Pirate"</x:v>
      </x:c>
      <x:c r="K224" s="26" t="str"/>
      <x:c r="L224" s="26" t="str">
        <x:v>pirate</x:v>
      </x:c>
      <x:c r="M224" s="26" t="str">
        <x:v>Translate directly</x:v>
      </x:c>
      <x:c r="N224" s="26" t="str">
        <x:v>Production-ready</x:v>
      </x:c>
      <x:c r="O224" s="43" t="n">
        <x:v>0.99</x:v>
      </x:c>
      <x:c r="P224" s="26" t="str">
        <x:v>Use for card type/supertype/subtype intent, not for art or rules-text mentions.</x:v>
      </x:c>
      <x:c r="Q224" s="26" t="str">
        <x:v>https://scryfall.com/docs/syntax</x:v>
      </x:c>
      <x:c r="R224" s="26" t="str">
        <x:v>2026-08-21</x:v>
      </x:c>
    </x:row>
    <x:row r="225">
      <x:c r="A225" s="26" t="str">
        <x:v>CreatureTypes!A221</x:v>
      </x:c>
      <x:c r="B225" s="26" t="str">
        <x:v>Creature Type</x:v>
      </x:c>
      <x:c r="C225" s="26" t="str">
        <x:v>Plant</x:v>
      </x:c>
      <x:c r="D225" s="26" t="str">
        <x:v>Type/subtype</x:v>
      </x:c>
      <x:c r="E225" s="26"/>
      <x:c r="F225" s="26" t="str">
        <x:v>t:"Plant"</x:v>
      </x:c>
      <x:c r="G225" s="26" t="str">
        <x:v>High</x:v>
      </x:c>
      <x:c r="H225" s="26" t="str">
        <x:v>Native taxonomy</x:v>
      </x:c>
      <x:c r="I225" s="26" t="str">
        <x:v>type:</x:v>
      </x:c>
      <x:c r="J225" s="26" t="str">
        <x:v>t:"Plant"</x:v>
      </x:c>
      <x:c r="K225" s="26" t="str"/>
      <x:c r="L225" s="26" t="str">
        <x:v>plant</x:v>
      </x:c>
      <x:c r="M225" s="26" t="str">
        <x:v>Translate directly</x:v>
      </x:c>
      <x:c r="N225" s="26" t="str">
        <x:v>Production-ready</x:v>
      </x:c>
      <x:c r="O225" s="43" t="n">
        <x:v>0.99</x:v>
      </x:c>
      <x:c r="P225" s="26" t="str">
        <x:v>Use for card type/supertype/subtype intent, not for art or rules-text mentions.</x:v>
      </x:c>
      <x:c r="Q225" s="26" t="str">
        <x:v>https://scryfall.com/docs/syntax</x:v>
      </x:c>
      <x:c r="R225" s="26" t="str">
        <x:v>2026-08-21</x:v>
      </x:c>
    </x:row>
    <x:row r="226">
      <x:c r="A226" s="26" t="str">
        <x:v>CreatureTypes!A222</x:v>
      </x:c>
      <x:c r="B226" s="26" t="str">
        <x:v>Creature Type</x:v>
      </x:c>
      <x:c r="C226" s="26" t="str">
        <x:v>Platypus</x:v>
      </x:c>
      <x:c r="D226" s="26" t="str">
        <x:v>Type/subtype</x:v>
      </x:c>
      <x:c r="E226" s="26"/>
      <x:c r="F226" s="26" t="str">
        <x:v>t:"Platypus"</x:v>
      </x:c>
      <x:c r="G226" s="26" t="str">
        <x:v>High</x:v>
      </x:c>
      <x:c r="H226" s="26" t="str">
        <x:v>Native taxonomy</x:v>
      </x:c>
      <x:c r="I226" s="26" t="str">
        <x:v>type:</x:v>
      </x:c>
      <x:c r="J226" s="26" t="str">
        <x:v>t:"Platypus"</x:v>
      </x:c>
      <x:c r="K226" s="26" t="str"/>
      <x:c r="L226" s="26" t="str">
        <x:v>platypus</x:v>
      </x:c>
      <x:c r="M226" s="26" t="str">
        <x:v>Translate directly</x:v>
      </x:c>
      <x:c r="N226" s="26" t="str">
        <x:v>Production-ready</x:v>
      </x:c>
      <x:c r="O226" s="43" t="n">
        <x:v>0.99</x:v>
      </x:c>
      <x:c r="P226" s="26" t="str">
        <x:v>Use for card type/supertype/subtype intent, not for art or rules-text mentions.</x:v>
      </x:c>
      <x:c r="Q226" s="26" t="str">
        <x:v>https://scryfall.com/docs/syntax</x:v>
      </x:c>
      <x:c r="R226" s="26" t="str">
        <x:v>2026-08-21</x:v>
      </x:c>
    </x:row>
    <x:row r="227">
      <x:c r="A227" s="26" t="str">
        <x:v>CreatureTypes!A223</x:v>
      </x:c>
      <x:c r="B227" s="26" t="str">
        <x:v>Creature Type</x:v>
      </x:c>
      <x:c r="C227" s="26" t="str">
        <x:v>Porcupine</x:v>
      </x:c>
      <x:c r="D227" s="26" t="str">
        <x:v>Type/subtype</x:v>
      </x:c>
      <x:c r="E227" s="26"/>
      <x:c r="F227" s="26" t="str">
        <x:v>t:"Porcupine"</x:v>
      </x:c>
      <x:c r="G227" s="26" t="str">
        <x:v>High</x:v>
      </x:c>
      <x:c r="H227" s="26" t="str">
        <x:v>Native taxonomy</x:v>
      </x:c>
      <x:c r="I227" s="26" t="str">
        <x:v>type:</x:v>
      </x:c>
      <x:c r="J227" s="26" t="str">
        <x:v>t:"Porcupine"</x:v>
      </x:c>
      <x:c r="K227" s="26" t="str"/>
      <x:c r="L227" s="26" t="str">
        <x:v>porcupine</x:v>
      </x:c>
      <x:c r="M227" s="26" t="str">
        <x:v>Translate directly</x:v>
      </x:c>
      <x:c r="N227" s="26" t="str">
        <x:v>Production-ready</x:v>
      </x:c>
      <x:c r="O227" s="43" t="n">
        <x:v>0.99</x:v>
      </x:c>
      <x:c r="P227" s="26" t="str">
        <x:v>Use for card type/supertype/subtype intent, not for art or rules-text mentions.</x:v>
      </x:c>
      <x:c r="Q227" s="26" t="str">
        <x:v>https://scryfall.com/docs/syntax</x:v>
      </x:c>
      <x:c r="R227" s="26" t="str">
        <x:v>2026-08-21</x:v>
      </x:c>
    </x:row>
    <x:row r="228">
      <x:c r="A228" s="26" t="str">
        <x:v>CreatureTypes!A224</x:v>
      </x:c>
      <x:c r="B228" s="26" t="str">
        <x:v>Creature Type</x:v>
      </x:c>
      <x:c r="C228" s="26" t="str">
        <x:v>Possum</x:v>
      </x:c>
      <x:c r="D228" s="26" t="str">
        <x:v>Type/subtype</x:v>
      </x:c>
      <x:c r="E228" s="26"/>
      <x:c r="F228" s="26" t="str">
        <x:v>t:"Possum"</x:v>
      </x:c>
      <x:c r="G228" s="26" t="str">
        <x:v>High</x:v>
      </x:c>
      <x:c r="H228" s="26" t="str">
        <x:v>Native taxonomy</x:v>
      </x:c>
      <x:c r="I228" s="26" t="str">
        <x:v>type:</x:v>
      </x:c>
      <x:c r="J228" s="26" t="str">
        <x:v>t:"Possum"</x:v>
      </x:c>
      <x:c r="K228" s="26" t="str"/>
      <x:c r="L228" s="26" t="str">
        <x:v>possum</x:v>
      </x:c>
      <x:c r="M228" s="26" t="str">
        <x:v>Translate directly</x:v>
      </x:c>
      <x:c r="N228" s="26" t="str">
        <x:v>Production-ready</x:v>
      </x:c>
      <x:c r="O228" s="43" t="n">
        <x:v>0.99</x:v>
      </x:c>
      <x:c r="P228" s="26" t="str">
        <x:v>Use for card type/supertype/subtype intent, not for art or rules-text mentions.</x:v>
      </x:c>
      <x:c r="Q228" s="26" t="str">
        <x:v>https://scryfall.com/docs/syntax</x:v>
      </x:c>
      <x:c r="R228" s="26" t="str">
        <x:v>2026-08-21</x:v>
      </x:c>
    </x:row>
    <x:row r="229">
      <x:c r="A229" s="26" t="str">
        <x:v>CreatureTypes!A225</x:v>
      </x:c>
      <x:c r="B229" s="26" t="str">
        <x:v>Creature Type</x:v>
      </x:c>
      <x:c r="C229" s="26" t="str">
        <x:v>Praetor</x:v>
      </x:c>
      <x:c r="D229" s="26" t="str">
        <x:v>Type/subtype</x:v>
      </x:c>
      <x:c r="E229" s="26"/>
      <x:c r="F229" s="26" t="str">
        <x:v>t:"Praetor"</x:v>
      </x:c>
      <x:c r="G229" s="26" t="str">
        <x:v>High</x:v>
      </x:c>
      <x:c r="H229" s="26" t="str">
        <x:v>Native taxonomy</x:v>
      </x:c>
      <x:c r="I229" s="26" t="str">
        <x:v>type:</x:v>
      </x:c>
      <x:c r="J229" s="26" t="str">
        <x:v>t:"Praetor"</x:v>
      </x:c>
      <x:c r="K229" s="26" t="str"/>
      <x:c r="L229" s="26" t="str">
        <x:v>praetor</x:v>
      </x:c>
      <x:c r="M229" s="26" t="str">
        <x:v>Translate directly</x:v>
      </x:c>
      <x:c r="N229" s="26" t="str">
        <x:v>Production-ready</x:v>
      </x:c>
      <x:c r="O229" s="43" t="n">
        <x:v>0.99</x:v>
      </x:c>
      <x:c r="P229" s="26" t="str">
        <x:v>Use for card type/supertype/subtype intent, not for art or rules-text mentions.</x:v>
      </x:c>
      <x:c r="Q229" s="26" t="str">
        <x:v>https://scryfall.com/docs/syntax</x:v>
      </x:c>
      <x:c r="R229" s="26" t="str">
        <x:v>2026-08-21</x:v>
      </x:c>
    </x:row>
    <x:row r="230">
      <x:c r="A230" s="26" t="str">
        <x:v>CreatureTypes!A226</x:v>
      </x:c>
      <x:c r="B230" s="26" t="str">
        <x:v>Creature Type</x:v>
      </x:c>
      <x:c r="C230" s="26" t="str">
        <x:v>Primarch</x:v>
      </x:c>
      <x:c r="D230" s="26" t="str">
        <x:v>Type/subtype</x:v>
      </x:c>
      <x:c r="E230" s="26"/>
      <x:c r="F230" s="26" t="str">
        <x:v>t:"Primarch"</x:v>
      </x:c>
      <x:c r="G230" s="26" t="str">
        <x:v>High</x:v>
      </x:c>
      <x:c r="H230" s="26" t="str">
        <x:v>Native taxonomy</x:v>
      </x:c>
      <x:c r="I230" s="26" t="str">
        <x:v>type:</x:v>
      </x:c>
      <x:c r="J230" s="26" t="str">
        <x:v>t:"Primarch"</x:v>
      </x:c>
      <x:c r="K230" s="26" t="str"/>
      <x:c r="L230" s="26" t="str">
        <x:v>primarch</x:v>
      </x:c>
      <x:c r="M230" s="26" t="str">
        <x:v>Translate directly</x:v>
      </x:c>
      <x:c r="N230" s="26" t="str">
        <x:v>Production-ready</x:v>
      </x:c>
      <x:c r="O230" s="43" t="n">
        <x:v>0.99</x:v>
      </x:c>
      <x:c r="P230" s="26" t="str">
        <x:v>Use for card type/supertype/subtype intent, not for art or rules-text mentions.</x:v>
      </x:c>
      <x:c r="Q230" s="26" t="str">
        <x:v>https://scryfall.com/docs/syntax</x:v>
      </x:c>
      <x:c r="R230" s="26" t="str">
        <x:v>2026-08-21</x:v>
      </x:c>
    </x:row>
    <x:row r="231">
      <x:c r="A231" s="26" t="str">
        <x:v>CreatureTypes!A227</x:v>
      </x:c>
      <x:c r="B231" s="26" t="str">
        <x:v>Creature Type</x:v>
      </x:c>
      <x:c r="C231" s="26" t="str">
        <x:v>Prism</x:v>
      </x:c>
      <x:c r="D231" s="26" t="str">
        <x:v>Type/subtype</x:v>
      </x:c>
      <x:c r="E231" s="26"/>
      <x:c r="F231" s="26" t="str">
        <x:v>t:"Prism"</x:v>
      </x:c>
      <x:c r="G231" s="26" t="str">
        <x:v>High</x:v>
      </x:c>
      <x:c r="H231" s="26" t="str">
        <x:v>Native taxonomy</x:v>
      </x:c>
      <x:c r="I231" s="26" t="str">
        <x:v>type:</x:v>
      </x:c>
      <x:c r="J231" s="26" t="str">
        <x:v>t:"Prism"</x:v>
      </x:c>
      <x:c r="K231" s="26" t="str"/>
      <x:c r="L231" s="26" t="str">
        <x:v>prism</x:v>
      </x:c>
      <x:c r="M231" s="26" t="str">
        <x:v>Translate directly</x:v>
      </x:c>
      <x:c r="N231" s="26" t="str">
        <x:v>Production-ready</x:v>
      </x:c>
      <x:c r="O231" s="43" t="n">
        <x:v>0.99</x:v>
      </x:c>
      <x:c r="P231" s="26" t="str">
        <x:v>Use for card type/supertype/subtype intent, not for art or rules-text mentions.</x:v>
      </x:c>
      <x:c r="Q231" s="26" t="str">
        <x:v>https://scryfall.com/docs/syntax</x:v>
      </x:c>
      <x:c r="R231" s="26" t="str">
        <x:v>2026-08-21</x:v>
      </x:c>
    </x:row>
    <x:row r="232">
      <x:c r="A232" s="26" t="str">
        <x:v>CreatureTypes!A228</x:v>
      </x:c>
      <x:c r="B232" s="26" t="str">
        <x:v>Creature Type</x:v>
      </x:c>
      <x:c r="C232" s="26" t="str">
        <x:v>Processor</x:v>
      </x:c>
      <x:c r="D232" s="26" t="str">
        <x:v>Type/subtype</x:v>
      </x:c>
      <x:c r="E232" s="26"/>
      <x:c r="F232" s="26" t="str">
        <x:v>t:"Processor"</x:v>
      </x:c>
      <x:c r="G232" s="26" t="str">
        <x:v>High</x:v>
      </x:c>
      <x:c r="H232" s="26" t="str">
        <x:v>Native taxonomy</x:v>
      </x:c>
      <x:c r="I232" s="26" t="str">
        <x:v>type:</x:v>
      </x:c>
      <x:c r="J232" s="26" t="str">
        <x:v>t:"Processor"</x:v>
      </x:c>
      <x:c r="K232" s="26" t="str"/>
      <x:c r="L232" s="26" t="str">
        <x:v>processor</x:v>
      </x:c>
      <x:c r="M232" s="26" t="str">
        <x:v>Translate directly</x:v>
      </x:c>
      <x:c r="N232" s="26" t="str">
        <x:v>Production-ready</x:v>
      </x:c>
      <x:c r="O232" s="43" t="n">
        <x:v>0.99</x:v>
      </x:c>
      <x:c r="P232" s="26" t="str">
        <x:v>Use for card type/supertype/subtype intent, not for art or rules-text mentions.</x:v>
      </x:c>
      <x:c r="Q232" s="26" t="str">
        <x:v>https://scryfall.com/docs/syntax</x:v>
      </x:c>
      <x:c r="R232" s="26" t="str">
        <x:v>2026-08-21</x:v>
      </x:c>
    </x:row>
    <x:row r="233">
      <x:c r="A233" s="26" t="str">
        <x:v>CreatureTypes!A229</x:v>
      </x:c>
      <x:c r="B233" s="26" t="str">
        <x:v>Creature Type</x:v>
      </x:c>
      <x:c r="C233" s="26" t="str">
        <x:v>Qu</x:v>
      </x:c>
      <x:c r="D233" s="26" t="str">
        <x:v>Type/subtype</x:v>
      </x:c>
      <x:c r="E233" s="26"/>
      <x:c r="F233" s="26" t="str">
        <x:v>t:"Qu"</x:v>
      </x:c>
      <x:c r="G233" s="26" t="str">
        <x:v>High</x:v>
      </x:c>
      <x:c r="H233" s="26" t="str">
        <x:v>Native taxonomy</x:v>
      </x:c>
      <x:c r="I233" s="26" t="str">
        <x:v>type:</x:v>
      </x:c>
      <x:c r="J233" s="26" t="str">
        <x:v>t:"Qu"</x:v>
      </x:c>
      <x:c r="K233" s="26" t="str"/>
      <x:c r="L233" s="26" t="str">
        <x:v>qu</x:v>
      </x:c>
      <x:c r="M233" s="26" t="str">
        <x:v>Translate directly</x:v>
      </x:c>
      <x:c r="N233" s="26" t="str">
        <x:v>Production-ready</x:v>
      </x:c>
      <x:c r="O233" s="43" t="n">
        <x:v>0.99</x:v>
      </x:c>
      <x:c r="P233" s="26" t="str">
        <x:v>Use for card type/supertype/subtype intent, not for art or rules-text mentions.</x:v>
      </x:c>
      <x:c r="Q233" s="26" t="str">
        <x:v>https://scryfall.com/docs/syntax</x:v>
      </x:c>
      <x:c r="R233" s="26" t="str">
        <x:v>2026-08-21</x:v>
      </x:c>
    </x:row>
    <x:row r="234">
      <x:c r="A234" s="26" t="str">
        <x:v>CreatureTypes!A230</x:v>
      </x:c>
      <x:c r="B234" s="26" t="str">
        <x:v>Creature Type</x:v>
      </x:c>
      <x:c r="C234" s="26" t="str">
        <x:v>Rabbit</x:v>
      </x:c>
      <x:c r="D234" s="26" t="str">
        <x:v>Type/subtype</x:v>
      </x:c>
      <x:c r="E234" s="26"/>
      <x:c r="F234" s="26" t="str">
        <x:v>t:"Rabbit"</x:v>
      </x:c>
      <x:c r="G234" s="26" t="str">
        <x:v>High</x:v>
      </x:c>
      <x:c r="H234" s="26" t="str">
        <x:v>Native taxonomy</x:v>
      </x:c>
      <x:c r="I234" s="26" t="str">
        <x:v>type:</x:v>
      </x:c>
      <x:c r="J234" s="26" t="str">
        <x:v>t:"Rabbit"</x:v>
      </x:c>
      <x:c r="K234" s="26" t="str"/>
      <x:c r="L234" s="26" t="str">
        <x:v>rabbit</x:v>
      </x:c>
      <x:c r="M234" s="26" t="str">
        <x:v>Translate directly</x:v>
      </x:c>
      <x:c r="N234" s="26" t="str">
        <x:v>Production-ready</x:v>
      </x:c>
      <x:c r="O234" s="43" t="n">
        <x:v>0.99</x:v>
      </x:c>
      <x:c r="P234" s="26" t="str">
        <x:v>Use for card type/supertype/subtype intent, not for art or rules-text mentions.</x:v>
      </x:c>
      <x:c r="Q234" s="26" t="str">
        <x:v>https://scryfall.com/docs/syntax</x:v>
      </x:c>
      <x:c r="R234" s="26" t="str">
        <x:v>2026-08-21</x:v>
      </x:c>
    </x:row>
    <x:row r="235">
      <x:c r="A235" s="26" t="str">
        <x:v>CreatureTypes!A231</x:v>
      </x:c>
      <x:c r="B235" s="26" t="str">
        <x:v>Creature Type</x:v>
      </x:c>
      <x:c r="C235" s="26" t="str">
        <x:v>Raccoon</x:v>
      </x:c>
      <x:c r="D235" s="26" t="str">
        <x:v>Type/subtype</x:v>
      </x:c>
      <x:c r="E235" s="26"/>
      <x:c r="F235" s="26" t="str">
        <x:v>t:"Raccoon"</x:v>
      </x:c>
      <x:c r="G235" s="26" t="str">
        <x:v>High</x:v>
      </x:c>
      <x:c r="H235" s="26" t="str">
        <x:v>Native taxonomy</x:v>
      </x:c>
      <x:c r="I235" s="26" t="str">
        <x:v>type:</x:v>
      </x:c>
      <x:c r="J235" s="26" t="str">
        <x:v>t:"Raccoon"</x:v>
      </x:c>
      <x:c r="K235" s="26" t="str"/>
      <x:c r="L235" s="26" t="str">
        <x:v>raccoon</x:v>
      </x:c>
      <x:c r="M235" s="26" t="str">
        <x:v>Translate directly</x:v>
      </x:c>
      <x:c r="N235" s="26" t="str">
        <x:v>Production-ready</x:v>
      </x:c>
      <x:c r="O235" s="43" t="n">
        <x:v>0.99</x:v>
      </x:c>
      <x:c r="P235" s="26" t="str">
        <x:v>Use for card type/supertype/subtype intent, not for art or rules-text mentions.</x:v>
      </x:c>
      <x:c r="Q235" s="26" t="str">
        <x:v>https://scryfall.com/docs/syntax</x:v>
      </x:c>
      <x:c r="R235" s="26" t="str">
        <x:v>2026-08-21</x:v>
      </x:c>
    </x:row>
    <x:row r="236">
      <x:c r="A236" s="26" t="str">
        <x:v>CreatureTypes!A232</x:v>
      </x:c>
      <x:c r="B236" s="26" t="str">
        <x:v>Creature Type</x:v>
      </x:c>
      <x:c r="C236" s="26" t="str">
        <x:v>Ranger</x:v>
      </x:c>
      <x:c r="D236" s="26" t="str">
        <x:v>Type/subtype</x:v>
      </x:c>
      <x:c r="E236" s="26"/>
      <x:c r="F236" s="26" t="str">
        <x:v>t:"Ranger"</x:v>
      </x:c>
      <x:c r="G236" s="26" t="str">
        <x:v>High</x:v>
      </x:c>
      <x:c r="H236" s="26" t="str">
        <x:v>Native taxonomy</x:v>
      </x:c>
      <x:c r="I236" s="26" t="str">
        <x:v>type:</x:v>
      </x:c>
      <x:c r="J236" s="26" t="str">
        <x:v>t:"Ranger"</x:v>
      </x:c>
      <x:c r="K236" s="26" t="str"/>
      <x:c r="L236" s="26" t="str">
        <x:v>ranger</x:v>
      </x:c>
      <x:c r="M236" s="26" t="str">
        <x:v>Translate directly</x:v>
      </x:c>
      <x:c r="N236" s="26" t="str">
        <x:v>Production-ready</x:v>
      </x:c>
      <x:c r="O236" s="43" t="n">
        <x:v>0.99</x:v>
      </x:c>
      <x:c r="P236" s="26" t="str">
        <x:v>Use for card type/supertype/subtype intent, not for art or rules-text mentions.</x:v>
      </x:c>
      <x:c r="Q236" s="26" t="str">
        <x:v>https://scryfall.com/docs/syntax</x:v>
      </x:c>
      <x:c r="R236" s="26" t="str">
        <x:v>2026-08-21</x:v>
      </x:c>
    </x:row>
    <x:row r="237">
      <x:c r="A237" s="26" t="str">
        <x:v>CreatureTypes!A233</x:v>
      </x:c>
      <x:c r="B237" s="26" t="str">
        <x:v>Creature Type</x:v>
      </x:c>
      <x:c r="C237" s="26" t="str">
        <x:v>Rat</x:v>
      </x:c>
      <x:c r="D237" s="26" t="str">
        <x:v>Type/subtype</x:v>
      </x:c>
      <x:c r="E237" s="26"/>
      <x:c r="F237" s="26" t="str">
        <x:v>t:"Rat"</x:v>
      </x:c>
      <x:c r="G237" s="26" t="str">
        <x:v>High</x:v>
      </x:c>
      <x:c r="H237" s="26" t="str">
        <x:v>Native taxonomy</x:v>
      </x:c>
      <x:c r="I237" s="26" t="str">
        <x:v>type:</x:v>
      </x:c>
      <x:c r="J237" s="26" t="str">
        <x:v>t:"Rat"</x:v>
      </x:c>
      <x:c r="K237" s="26" t="str"/>
      <x:c r="L237" s="26" t="str">
        <x:v>rat</x:v>
      </x:c>
      <x:c r="M237" s="26" t="str">
        <x:v>Translate directly</x:v>
      </x:c>
      <x:c r="N237" s="26" t="str">
        <x:v>Production-ready</x:v>
      </x:c>
      <x:c r="O237" s="43" t="n">
        <x:v>0.99</x:v>
      </x:c>
      <x:c r="P237" s="26" t="str">
        <x:v>Use for card type/supertype/subtype intent, not for art or rules-text mentions.</x:v>
      </x:c>
      <x:c r="Q237" s="26" t="str">
        <x:v>https://scryfall.com/docs/syntax</x:v>
      </x:c>
      <x:c r="R237" s="26" t="str">
        <x:v>2026-08-21</x:v>
      </x:c>
    </x:row>
    <x:row r="238">
      <x:c r="A238" s="26" t="str">
        <x:v>CreatureTypes!A234</x:v>
      </x:c>
      <x:c r="B238" s="26" t="str">
        <x:v>Creature Type</x:v>
      </x:c>
      <x:c r="C238" s="26" t="str">
        <x:v>Rebel</x:v>
      </x:c>
      <x:c r="D238" s="26" t="str">
        <x:v>Type/subtype</x:v>
      </x:c>
      <x:c r="E238" s="26"/>
      <x:c r="F238" s="26" t="str">
        <x:v>t:"Rebel"</x:v>
      </x:c>
      <x:c r="G238" s="26" t="str">
        <x:v>High</x:v>
      </x:c>
      <x:c r="H238" s="26" t="str">
        <x:v>Native taxonomy</x:v>
      </x:c>
      <x:c r="I238" s="26" t="str">
        <x:v>type:</x:v>
      </x:c>
      <x:c r="J238" s="26" t="str">
        <x:v>t:"Rebel"</x:v>
      </x:c>
      <x:c r="K238" s="26" t="str"/>
      <x:c r="L238" s="26" t="str">
        <x:v>rebel</x:v>
      </x:c>
      <x:c r="M238" s="26" t="str">
        <x:v>Translate directly</x:v>
      </x:c>
      <x:c r="N238" s="26" t="str">
        <x:v>Production-ready</x:v>
      </x:c>
      <x:c r="O238" s="43" t="n">
        <x:v>0.99</x:v>
      </x:c>
      <x:c r="P238" s="26" t="str">
        <x:v>Use for card type/supertype/subtype intent, not for art or rules-text mentions.</x:v>
      </x:c>
      <x:c r="Q238" s="26" t="str">
        <x:v>https://scryfall.com/docs/syntax</x:v>
      </x:c>
      <x:c r="R238" s="26" t="str">
        <x:v>2026-08-21</x:v>
      </x:c>
    </x:row>
    <x:row r="239">
      <x:c r="A239" s="26" t="str">
        <x:v>CreatureTypes!A235</x:v>
      </x:c>
      <x:c r="B239" s="26" t="str">
        <x:v>Creature Type</x:v>
      </x:c>
      <x:c r="C239" s="26" t="str">
        <x:v>Reflection</x:v>
      </x:c>
      <x:c r="D239" s="26" t="str">
        <x:v>Type/subtype</x:v>
      </x:c>
      <x:c r="E239" s="26"/>
      <x:c r="F239" s="26" t="str">
        <x:v>t:"Reflection"</x:v>
      </x:c>
      <x:c r="G239" s="26" t="str">
        <x:v>High</x:v>
      </x:c>
      <x:c r="H239" s="26" t="str">
        <x:v>Native taxonomy</x:v>
      </x:c>
      <x:c r="I239" s="26" t="str">
        <x:v>type:</x:v>
      </x:c>
      <x:c r="J239" s="26" t="str">
        <x:v>t:"Reflection"</x:v>
      </x:c>
      <x:c r="K239" s="26" t="str"/>
      <x:c r="L239" s="26" t="str">
        <x:v>reflection</x:v>
      </x:c>
      <x:c r="M239" s="26" t="str">
        <x:v>Translate directly</x:v>
      </x:c>
      <x:c r="N239" s="26" t="str">
        <x:v>Production-ready</x:v>
      </x:c>
      <x:c r="O239" s="43" t="n">
        <x:v>0.99</x:v>
      </x:c>
      <x:c r="P239" s="26" t="str">
        <x:v>Use for card type/supertype/subtype intent, not for art or rules-text mentions.</x:v>
      </x:c>
      <x:c r="Q239" s="26" t="str">
        <x:v>https://scryfall.com/docs/syntax</x:v>
      </x:c>
      <x:c r="R239" s="26" t="str">
        <x:v>2026-08-21</x:v>
      </x:c>
    </x:row>
    <x:row r="240">
      <x:c r="A240" s="26" t="str">
        <x:v>CreatureTypes!A236</x:v>
      </x:c>
      <x:c r="B240" s="26" t="str">
        <x:v>Creature Type</x:v>
      </x:c>
      <x:c r="C240" s="26" t="str">
        <x:v>Reveler</x:v>
      </x:c>
      <x:c r="D240" s="26" t="str">
        <x:v>Type/subtype</x:v>
      </x:c>
      <x:c r="E240" s="26"/>
      <x:c r="F240" s="26" t="str">
        <x:v>t:"Reveler"</x:v>
      </x:c>
      <x:c r="G240" s="26" t="str">
        <x:v>High</x:v>
      </x:c>
      <x:c r="H240" s="26" t="str">
        <x:v>Native taxonomy</x:v>
      </x:c>
      <x:c r="I240" s="26" t="str">
        <x:v>type:</x:v>
      </x:c>
      <x:c r="J240" s="26" t="str">
        <x:v>t:"Reveler"</x:v>
      </x:c>
      <x:c r="K240" s="26" t="str"/>
      <x:c r="L240" s="26" t="str">
        <x:v>reveler</x:v>
      </x:c>
      <x:c r="M240" s="26" t="str">
        <x:v>Translate directly</x:v>
      </x:c>
      <x:c r="N240" s="26" t="str">
        <x:v>Production-ready</x:v>
      </x:c>
      <x:c r="O240" s="43" t="n">
        <x:v>0.99</x:v>
      </x:c>
      <x:c r="P240" s="26" t="str">
        <x:v>Use for card type/supertype/subtype intent, not for art or rules-text mentions.</x:v>
      </x:c>
      <x:c r="Q240" s="26" t="str">
        <x:v>https://scryfall.com/docs/syntax</x:v>
      </x:c>
      <x:c r="R240" s="26" t="str">
        <x:v>2026-08-21</x:v>
      </x:c>
    </x:row>
    <x:row r="241">
      <x:c r="A241" s="26" t="str">
        <x:v>CreatureTypes!A237</x:v>
      </x:c>
      <x:c r="B241" s="26" t="str">
        <x:v>Creature Type</x:v>
      </x:c>
      <x:c r="C241" s="26" t="str">
        <x:v>Rhino</x:v>
      </x:c>
      <x:c r="D241" s="26" t="str">
        <x:v>Type/subtype</x:v>
      </x:c>
      <x:c r="E241" s="26"/>
      <x:c r="F241" s="26" t="str">
        <x:v>t:"Rhino"</x:v>
      </x:c>
      <x:c r="G241" s="26" t="str">
        <x:v>High</x:v>
      </x:c>
      <x:c r="H241" s="26" t="str">
        <x:v>Native taxonomy</x:v>
      </x:c>
      <x:c r="I241" s="26" t="str">
        <x:v>type:</x:v>
      </x:c>
      <x:c r="J241" s="26" t="str">
        <x:v>t:"Rhino"</x:v>
      </x:c>
      <x:c r="K241" s="26" t="str"/>
      <x:c r="L241" s="26" t="str">
        <x:v>rhino</x:v>
      </x:c>
      <x:c r="M241" s="26" t="str">
        <x:v>Translate directly</x:v>
      </x:c>
      <x:c r="N241" s="26" t="str">
        <x:v>Production-ready</x:v>
      </x:c>
      <x:c r="O241" s="43" t="n">
        <x:v>0.99</x:v>
      </x:c>
      <x:c r="P241" s="26" t="str">
        <x:v>Use for card type/supertype/subtype intent, not for art or rules-text mentions.</x:v>
      </x:c>
      <x:c r="Q241" s="26" t="str">
        <x:v>https://scryfall.com/docs/syntax</x:v>
      </x:c>
      <x:c r="R241" s="26" t="str">
        <x:v>2026-08-21</x:v>
      </x:c>
    </x:row>
    <x:row r="242">
      <x:c r="A242" s="26" t="str">
        <x:v>CreatureTypes!A238</x:v>
      </x:c>
      <x:c r="B242" s="26" t="str">
        <x:v>Creature Type</x:v>
      </x:c>
      <x:c r="C242" s="26" t="str">
        <x:v>Rigger</x:v>
      </x:c>
      <x:c r="D242" s="26" t="str">
        <x:v>Type/subtype</x:v>
      </x:c>
      <x:c r="E242" s="26"/>
      <x:c r="F242" s="26" t="str">
        <x:v>t:"Rigger"</x:v>
      </x:c>
      <x:c r="G242" s="26" t="str">
        <x:v>High</x:v>
      </x:c>
      <x:c r="H242" s="26" t="str">
        <x:v>Native taxonomy</x:v>
      </x:c>
      <x:c r="I242" s="26" t="str">
        <x:v>type:</x:v>
      </x:c>
      <x:c r="J242" s="26" t="str">
        <x:v>t:"Rigger"</x:v>
      </x:c>
      <x:c r="K242" s="26" t="str"/>
      <x:c r="L242" s="26" t="str">
        <x:v>rigger</x:v>
      </x:c>
      <x:c r="M242" s="26" t="str">
        <x:v>Translate directly</x:v>
      </x:c>
      <x:c r="N242" s="26" t="str">
        <x:v>Production-ready</x:v>
      </x:c>
      <x:c r="O242" s="43" t="n">
        <x:v>0.99</x:v>
      </x:c>
      <x:c r="P242" s="26" t="str">
        <x:v>Use for card type/supertype/subtype intent, not for art or rules-text mentions.</x:v>
      </x:c>
      <x:c r="Q242" s="26" t="str">
        <x:v>https://scryfall.com/docs/syntax</x:v>
      </x:c>
      <x:c r="R242" s="26" t="str">
        <x:v>2026-08-21</x:v>
      </x:c>
    </x:row>
    <x:row r="243">
      <x:c r="A243" s="26" t="str">
        <x:v>CreatureTypes!A239</x:v>
      </x:c>
      <x:c r="B243" s="26" t="str">
        <x:v>Creature Type</x:v>
      </x:c>
      <x:c r="C243" s="26" t="str">
        <x:v>Robot</x:v>
      </x:c>
      <x:c r="D243" s="26" t="str">
        <x:v>Type/subtype</x:v>
      </x:c>
      <x:c r="E243" s="26"/>
      <x:c r="F243" s="26" t="str">
        <x:v>t:"Robot"</x:v>
      </x:c>
      <x:c r="G243" s="26" t="str">
        <x:v>High</x:v>
      </x:c>
      <x:c r="H243" s="26" t="str">
        <x:v>Native taxonomy</x:v>
      </x:c>
      <x:c r="I243" s="26" t="str">
        <x:v>type:</x:v>
      </x:c>
      <x:c r="J243" s="26" t="str">
        <x:v>t:"Robot"</x:v>
      </x:c>
      <x:c r="K243" s="26" t="str"/>
      <x:c r="L243" s="26" t="str">
        <x:v>robot</x:v>
      </x:c>
      <x:c r="M243" s="26" t="str">
        <x:v>Translate directly</x:v>
      </x:c>
      <x:c r="N243" s="26" t="str">
        <x:v>Production-ready</x:v>
      </x:c>
      <x:c r="O243" s="43" t="n">
        <x:v>0.99</x:v>
      </x:c>
      <x:c r="P243" s="26" t="str">
        <x:v>Use for card type/supertype/subtype intent, not for art or rules-text mentions.</x:v>
      </x:c>
      <x:c r="Q243" s="26" t="str">
        <x:v>https://scryfall.com/docs/syntax</x:v>
      </x:c>
      <x:c r="R243" s="26" t="str">
        <x:v>2026-08-21</x:v>
      </x:c>
    </x:row>
    <x:row r="244">
      <x:c r="A244" s="26" t="str">
        <x:v>CreatureTypes!A240</x:v>
      </x:c>
      <x:c r="B244" s="26" t="str">
        <x:v>Creature Type</x:v>
      </x:c>
      <x:c r="C244" s="26" t="str">
        <x:v>Rogue</x:v>
      </x:c>
      <x:c r="D244" s="26" t="str">
        <x:v>Type/subtype</x:v>
      </x:c>
      <x:c r="E244" s="26"/>
      <x:c r="F244" s="26" t="str">
        <x:v>t:"Rogue"</x:v>
      </x:c>
      <x:c r="G244" s="26" t="str">
        <x:v>High</x:v>
      </x:c>
      <x:c r="H244" s="26" t="str">
        <x:v>Native taxonomy</x:v>
      </x:c>
      <x:c r="I244" s="26" t="str">
        <x:v>type:</x:v>
      </x:c>
      <x:c r="J244" s="26" t="str">
        <x:v>t:"Rogue"</x:v>
      </x:c>
      <x:c r="K244" s="26" t="str"/>
      <x:c r="L244" s="26" t="str">
        <x:v>rogue</x:v>
      </x:c>
      <x:c r="M244" s="26" t="str">
        <x:v>Translate directly</x:v>
      </x:c>
      <x:c r="N244" s="26" t="str">
        <x:v>Production-ready</x:v>
      </x:c>
      <x:c r="O244" s="43" t="n">
        <x:v>0.99</x:v>
      </x:c>
      <x:c r="P244" s="26" t="str">
        <x:v>Use for card type/supertype/subtype intent, not for art or rules-text mentions.</x:v>
      </x:c>
      <x:c r="Q244" s="26" t="str">
        <x:v>https://scryfall.com/docs/syntax</x:v>
      </x:c>
      <x:c r="R244" s="26" t="str">
        <x:v>2026-08-21</x:v>
      </x:c>
    </x:row>
    <x:row r="245">
      <x:c r="A245" s="26" t="str">
        <x:v>CreatureTypes!A241</x:v>
      </x:c>
      <x:c r="B245" s="26" t="str">
        <x:v>Creature Type</x:v>
      </x:c>
      <x:c r="C245" s="26" t="str">
        <x:v>Rukh</x:v>
      </x:c>
      <x:c r="D245" s="26" t="str">
        <x:v>Type/subtype</x:v>
      </x:c>
      <x:c r="E245" s="26"/>
      <x:c r="F245" s="26" t="str">
        <x:v>t:"Rukh"</x:v>
      </x:c>
      <x:c r="G245" s="26" t="str">
        <x:v>High</x:v>
      </x:c>
      <x:c r="H245" s="26" t="str">
        <x:v>Native taxonomy</x:v>
      </x:c>
      <x:c r="I245" s="26" t="str">
        <x:v>type:</x:v>
      </x:c>
      <x:c r="J245" s="26" t="str">
        <x:v>t:"Rukh"</x:v>
      </x:c>
      <x:c r="K245" s="26" t="str"/>
      <x:c r="L245" s="26" t="str">
        <x:v>rukh</x:v>
      </x:c>
      <x:c r="M245" s="26" t="str">
        <x:v>Translate directly</x:v>
      </x:c>
      <x:c r="N245" s="26" t="str">
        <x:v>Production-ready</x:v>
      </x:c>
      <x:c r="O245" s="43" t="n">
        <x:v>0.99</x:v>
      </x:c>
      <x:c r="P245" s="26" t="str">
        <x:v>Use for card type/supertype/subtype intent, not for art or rules-text mentions.</x:v>
      </x:c>
      <x:c r="Q245" s="26" t="str">
        <x:v>https://scryfall.com/docs/syntax</x:v>
      </x:c>
      <x:c r="R245" s="26" t="str">
        <x:v>2026-08-21</x:v>
      </x:c>
    </x:row>
    <x:row r="246">
      <x:c r="A246" s="26" t="str">
        <x:v>CreatureTypes!A242</x:v>
      </x:c>
      <x:c r="B246" s="26" t="str">
        <x:v>Creature Type</x:v>
      </x:c>
      <x:c r="C246" s="26" t="str">
        <x:v>Sable</x:v>
      </x:c>
      <x:c r="D246" s="26" t="str">
        <x:v>Type/subtype</x:v>
      </x:c>
      <x:c r="E246" s="26"/>
      <x:c r="F246" s="26" t="str">
        <x:v>t:"Sable"</x:v>
      </x:c>
      <x:c r="G246" s="26" t="str">
        <x:v>High</x:v>
      </x:c>
      <x:c r="H246" s="26" t="str">
        <x:v>Native taxonomy</x:v>
      </x:c>
      <x:c r="I246" s="26" t="str">
        <x:v>type:</x:v>
      </x:c>
      <x:c r="J246" s="26" t="str">
        <x:v>t:"Sable"</x:v>
      </x:c>
      <x:c r="K246" s="26" t="str"/>
      <x:c r="L246" s="26" t="str">
        <x:v>sable</x:v>
      </x:c>
      <x:c r="M246" s="26" t="str">
        <x:v>Translate directly</x:v>
      </x:c>
      <x:c r="N246" s="26" t="str">
        <x:v>Production-ready</x:v>
      </x:c>
      <x:c r="O246" s="43" t="n">
        <x:v>0.99</x:v>
      </x:c>
      <x:c r="P246" s="26" t="str">
        <x:v>Use for card type/supertype/subtype intent, not for art or rules-text mentions.</x:v>
      </x:c>
      <x:c r="Q246" s="26" t="str">
        <x:v>https://scryfall.com/docs/syntax</x:v>
      </x:c>
      <x:c r="R246" s="26" t="str">
        <x:v>2026-08-21</x:v>
      </x:c>
    </x:row>
    <x:row r="247">
      <x:c r="A247" s="26" t="str">
        <x:v>CreatureTypes!A243</x:v>
      </x:c>
      <x:c r="B247" s="26" t="str">
        <x:v>Creature Type</x:v>
      </x:c>
      <x:c r="C247" s="26" t="str">
        <x:v>Salamander</x:v>
      </x:c>
      <x:c r="D247" s="26" t="str">
        <x:v>Type/subtype</x:v>
      </x:c>
      <x:c r="E247" s="26"/>
      <x:c r="F247" s="26" t="str">
        <x:v>t:"Salamander"</x:v>
      </x:c>
      <x:c r="G247" s="26" t="str">
        <x:v>High</x:v>
      </x:c>
      <x:c r="H247" s="26" t="str">
        <x:v>Native taxonomy</x:v>
      </x:c>
      <x:c r="I247" s="26" t="str">
        <x:v>type:</x:v>
      </x:c>
      <x:c r="J247" s="26" t="str">
        <x:v>t:"Salamander"</x:v>
      </x:c>
      <x:c r="K247" s="26" t="str"/>
      <x:c r="L247" s="26" t="str">
        <x:v>salamander</x:v>
      </x:c>
      <x:c r="M247" s="26" t="str">
        <x:v>Translate directly</x:v>
      </x:c>
      <x:c r="N247" s="26" t="str">
        <x:v>Production-ready</x:v>
      </x:c>
      <x:c r="O247" s="43" t="n">
        <x:v>0.99</x:v>
      </x:c>
      <x:c r="P247" s="26" t="str">
        <x:v>Use for card type/supertype/subtype intent, not for art or rules-text mentions.</x:v>
      </x:c>
      <x:c r="Q247" s="26" t="str">
        <x:v>https://scryfall.com/docs/syntax</x:v>
      </x:c>
      <x:c r="R247" s="26" t="str">
        <x:v>2026-08-21</x:v>
      </x:c>
    </x:row>
    <x:row r="248">
      <x:c r="A248" s="26" t="str">
        <x:v>CreatureTypes!A244</x:v>
      </x:c>
      <x:c r="B248" s="26" t="str">
        <x:v>Creature Type</x:v>
      </x:c>
      <x:c r="C248" s="26" t="str">
        <x:v>Samurai</x:v>
      </x:c>
      <x:c r="D248" s="26" t="str">
        <x:v>Type/subtype</x:v>
      </x:c>
      <x:c r="E248" s="26"/>
      <x:c r="F248" s="26" t="str">
        <x:v>t:"Samurai"</x:v>
      </x:c>
      <x:c r="G248" s="26" t="str">
        <x:v>High</x:v>
      </x:c>
      <x:c r="H248" s="26" t="str">
        <x:v>Native taxonomy</x:v>
      </x:c>
      <x:c r="I248" s="26" t="str">
        <x:v>type:</x:v>
      </x:c>
      <x:c r="J248" s="26" t="str">
        <x:v>t:"Samurai"</x:v>
      </x:c>
      <x:c r="K248" s="26" t="str"/>
      <x:c r="L248" s="26" t="str">
        <x:v>samurai</x:v>
      </x:c>
      <x:c r="M248" s="26" t="str">
        <x:v>Translate directly</x:v>
      </x:c>
      <x:c r="N248" s="26" t="str">
        <x:v>Production-ready</x:v>
      </x:c>
      <x:c r="O248" s="43" t="n">
        <x:v>0.99</x:v>
      </x:c>
      <x:c r="P248" s="26" t="str">
        <x:v>Use for card type/supertype/subtype intent, not for art or rules-text mentions.</x:v>
      </x:c>
      <x:c r="Q248" s="26" t="str">
        <x:v>https://scryfall.com/docs/syntax</x:v>
      </x:c>
      <x:c r="R248" s="26" t="str">
        <x:v>2026-08-21</x:v>
      </x:c>
    </x:row>
    <x:row r="249">
      <x:c r="A249" s="26" t="str">
        <x:v>CreatureTypes!A245</x:v>
      </x:c>
      <x:c r="B249" s="26" t="str">
        <x:v>Creature Type</x:v>
      </x:c>
      <x:c r="C249" s="26" t="str">
        <x:v>Sand</x:v>
      </x:c>
      <x:c r="D249" s="26" t="str">
        <x:v>Type/subtype</x:v>
      </x:c>
      <x:c r="E249" s="26"/>
      <x:c r="F249" s="26" t="str">
        <x:v>t:"Sand"</x:v>
      </x:c>
      <x:c r="G249" s="26" t="str">
        <x:v>High</x:v>
      </x:c>
      <x:c r="H249" s="26" t="str">
        <x:v>Native taxonomy</x:v>
      </x:c>
      <x:c r="I249" s="26" t="str">
        <x:v>type:</x:v>
      </x:c>
      <x:c r="J249" s="26" t="str">
        <x:v>t:"Sand"</x:v>
      </x:c>
      <x:c r="K249" s="26" t="str"/>
      <x:c r="L249" s="26" t="str">
        <x:v>sand</x:v>
      </x:c>
      <x:c r="M249" s="26" t="str">
        <x:v>Translate directly</x:v>
      </x:c>
      <x:c r="N249" s="26" t="str">
        <x:v>Production-ready</x:v>
      </x:c>
      <x:c r="O249" s="43" t="n">
        <x:v>0.99</x:v>
      </x:c>
      <x:c r="P249" s="26" t="str">
        <x:v>Use for card type/supertype/subtype intent, not for art or rules-text mentions.</x:v>
      </x:c>
      <x:c r="Q249" s="26" t="str">
        <x:v>https://scryfall.com/docs/syntax</x:v>
      </x:c>
      <x:c r="R249" s="26" t="str">
        <x:v>2026-08-21</x:v>
      </x:c>
    </x:row>
    <x:row r="250">
      <x:c r="A250" s="26" t="str">
        <x:v>CreatureTypes!A246</x:v>
      </x:c>
      <x:c r="B250" s="26" t="str">
        <x:v>Creature Type</x:v>
      </x:c>
      <x:c r="C250" s="26" t="str">
        <x:v>Saproling</x:v>
      </x:c>
      <x:c r="D250" s="26" t="str">
        <x:v>Type/subtype</x:v>
      </x:c>
      <x:c r="E250" s="26"/>
      <x:c r="F250" s="26" t="str">
        <x:v>t:"Saproling"</x:v>
      </x:c>
      <x:c r="G250" s="26" t="str">
        <x:v>High</x:v>
      </x:c>
      <x:c r="H250" s="26" t="str">
        <x:v>Native taxonomy</x:v>
      </x:c>
      <x:c r="I250" s="26" t="str">
        <x:v>type:</x:v>
      </x:c>
      <x:c r="J250" s="26" t="str">
        <x:v>t:"Saproling"</x:v>
      </x:c>
      <x:c r="K250" s="26" t="str"/>
      <x:c r="L250" s="26" t="str">
        <x:v>saproling</x:v>
      </x:c>
      <x:c r="M250" s="26" t="str">
        <x:v>Translate directly</x:v>
      </x:c>
      <x:c r="N250" s="26" t="str">
        <x:v>Production-ready</x:v>
      </x:c>
      <x:c r="O250" s="43" t="n">
        <x:v>0.99</x:v>
      </x:c>
      <x:c r="P250" s="26" t="str">
        <x:v>Use for card type/supertype/subtype intent, not for art or rules-text mentions.</x:v>
      </x:c>
      <x:c r="Q250" s="26" t="str">
        <x:v>https://scryfall.com/docs/syntax</x:v>
      </x:c>
      <x:c r="R250" s="26" t="str">
        <x:v>2026-08-21</x:v>
      </x:c>
    </x:row>
    <x:row r="251">
      <x:c r="A251" s="26" t="str">
        <x:v>CreatureTypes!A247</x:v>
      </x:c>
      <x:c r="B251" s="26" t="str">
        <x:v>Creature Type</x:v>
      </x:c>
      <x:c r="C251" s="26" t="str">
        <x:v>Satyr</x:v>
      </x:c>
      <x:c r="D251" s="26" t="str">
        <x:v>Type/subtype</x:v>
      </x:c>
      <x:c r="E251" s="26"/>
      <x:c r="F251" s="26" t="str">
        <x:v>t:"Satyr"</x:v>
      </x:c>
      <x:c r="G251" s="26" t="str">
        <x:v>High</x:v>
      </x:c>
      <x:c r="H251" s="26" t="str">
        <x:v>Native taxonomy</x:v>
      </x:c>
      <x:c r="I251" s="26" t="str">
        <x:v>type:</x:v>
      </x:c>
      <x:c r="J251" s="26" t="str">
        <x:v>t:"Satyr"</x:v>
      </x:c>
      <x:c r="K251" s="26" t="str"/>
      <x:c r="L251" s="26" t="str">
        <x:v>satyr</x:v>
      </x:c>
      <x:c r="M251" s="26" t="str">
        <x:v>Translate directly</x:v>
      </x:c>
      <x:c r="N251" s="26" t="str">
        <x:v>Production-ready</x:v>
      </x:c>
      <x:c r="O251" s="43" t="n">
        <x:v>0.99</x:v>
      </x:c>
      <x:c r="P251" s="26" t="str">
        <x:v>Use for card type/supertype/subtype intent, not for art or rules-text mentions.</x:v>
      </x:c>
      <x:c r="Q251" s="26" t="str">
        <x:v>https://scryfall.com/docs/syntax</x:v>
      </x:c>
      <x:c r="R251" s="26" t="str">
        <x:v>2026-08-21</x:v>
      </x:c>
    </x:row>
    <x:row r="252">
      <x:c r="A252" s="26" t="str">
        <x:v>CreatureTypes!A248</x:v>
      </x:c>
      <x:c r="B252" s="26" t="str">
        <x:v>Creature Type</x:v>
      </x:c>
      <x:c r="C252" s="26" t="str">
        <x:v>Scarecrow</x:v>
      </x:c>
      <x:c r="D252" s="26" t="str">
        <x:v>Type/subtype</x:v>
      </x:c>
      <x:c r="E252" s="26"/>
      <x:c r="F252" s="26" t="str">
        <x:v>t:"Scarecrow"</x:v>
      </x:c>
      <x:c r="G252" s="26" t="str">
        <x:v>High</x:v>
      </x:c>
      <x:c r="H252" s="26" t="str">
        <x:v>Native taxonomy</x:v>
      </x:c>
      <x:c r="I252" s="26" t="str">
        <x:v>type:</x:v>
      </x:c>
      <x:c r="J252" s="26" t="str">
        <x:v>t:"Scarecrow"</x:v>
      </x:c>
      <x:c r="K252" s="26" t="str"/>
      <x:c r="L252" s="26" t="str">
        <x:v>scarecrow</x:v>
      </x:c>
      <x:c r="M252" s="26" t="str">
        <x:v>Translate directly</x:v>
      </x:c>
      <x:c r="N252" s="26" t="str">
        <x:v>Production-ready</x:v>
      </x:c>
      <x:c r="O252" s="43" t="n">
        <x:v>0.99</x:v>
      </x:c>
      <x:c r="P252" s="26" t="str">
        <x:v>Use for card type/supertype/subtype intent, not for art or rules-text mentions.</x:v>
      </x:c>
      <x:c r="Q252" s="26" t="str">
        <x:v>https://scryfall.com/docs/syntax</x:v>
      </x:c>
      <x:c r="R252" s="26" t="str">
        <x:v>2026-08-21</x:v>
      </x:c>
    </x:row>
    <x:row r="253">
      <x:c r="A253" s="26" t="str">
        <x:v>CreatureTypes!A249</x:v>
      </x:c>
      <x:c r="B253" s="26" t="str">
        <x:v>Creature Type</x:v>
      </x:c>
      <x:c r="C253" s="26" t="str">
        <x:v>Scientist</x:v>
      </x:c>
      <x:c r="D253" s="26" t="str">
        <x:v>Type/subtype</x:v>
      </x:c>
      <x:c r="E253" s="26"/>
      <x:c r="F253" s="26" t="str">
        <x:v>t:"Scientist"</x:v>
      </x:c>
      <x:c r="G253" s="26" t="str">
        <x:v>High</x:v>
      </x:c>
      <x:c r="H253" s="26" t="str">
        <x:v>Native taxonomy</x:v>
      </x:c>
      <x:c r="I253" s="26" t="str">
        <x:v>type:</x:v>
      </x:c>
      <x:c r="J253" s="26" t="str">
        <x:v>t:"Scientist"</x:v>
      </x:c>
      <x:c r="K253" s="26" t="str"/>
      <x:c r="L253" s="26" t="str">
        <x:v>scientist</x:v>
      </x:c>
      <x:c r="M253" s="26" t="str">
        <x:v>Translate directly</x:v>
      </x:c>
      <x:c r="N253" s="26" t="str">
        <x:v>Production-ready</x:v>
      </x:c>
      <x:c r="O253" s="43" t="n">
        <x:v>0.99</x:v>
      </x:c>
      <x:c r="P253" s="26" t="str">
        <x:v>Use for card type/supertype/subtype intent, not for art or rules-text mentions.</x:v>
      </x:c>
      <x:c r="Q253" s="26" t="str">
        <x:v>https://scryfall.com/docs/syntax</x:v>
      </x:c>
      <x:c r="R253" s="26" t="str">
        <x:v>2026-08-21</x:v>
      </x:c>
    </x:row>
    <x:row r="254">
      <x:c r="A254" s="26" t="str">
        <x:v>CreatureTypes!A250</x:v>
      </x:c>
      <x:c r="B254" s="26" t="str">
        <x:v>Creature Type</x:v>
      </x:c>
      <x:c r="C254" s="26" t="str">
        <x:v>Scion</x:v>
      </x:c>
      <x:c r="D254" s="26" t="str">
        <x:v>Type/subtype</x:v>
      </x:c>
      <x:c r="E254" s="26"/>
      <x:c r="F254" s="26" t="str">
        <x:v>t:"Scion"</x:v>
      </x:c>
      <x:c r="G254" s="26" t="str">
        <x:v>High</x:v>
      </x:c>
      <x:c r="H254" s="26" t="str">
        <x:v>Native taxonomy</x:v>
      </x:c>
      <x:c r="I254" s="26" t="str">
        <x:v>type:</x:v>
      </x:c>
      <x:c r="J254" s="26" t="str">
        <x:v>t:"Scion"</x:v>
      </x:c>
      <x:c r="K254" s="26" t="str"/>
      <x:c r="L254" s="26" t="str">
        <x:v>scion</x:v>
      </x:c>
      <x:c r="M254" s="26" t="str">
        <x:v>Translate directly</x:v>
      </x:c>
      <x:c r="N254" s="26" t="str">
        <x:v>Production-ready</x:v>
      </x:c>
      <x:c r="O254" s="43" t="n">
        <x:v>0.99</x:v>
      </x:c>
      <x:c r="P254" s="26" t="str">
        <x:v>Use for card type/supertype/subtype intent, not for art or rules-text mentions.</x:v>
      </x:c>
      <x:c r="Q254" s="26" t="str">
        <x:v>https://scryfall.com/docs/syntax</x:v>
      </x:c>
      <x:c r="R254" s="26" t="str">
        <x:v>2026-08-21</x:v>
      </x:c>
    </x:row>
    <x:row r="255">
      <x:c r="A255" s="26" t="str">
        <x:v>CreatureTypes!A251</x:v>
      </x:c>
      <x:c r="B255" s="26" t="str">
        <x:v>Creature Type</x:v>
      </x:c>
      <x:c r="C255" s="26" t="str">
        <x:v>Scorpion</x:v>
      </x:c>
      <x:c r="D255" s="26" t="str">
        <x:v>Type/subtype</x:v>
      </x:c>
      <x:c r="E255" s="26"/>
      <x:c r="F255" s="26" t="str">
        <x:v>t:"Scorpion"</x:v>
      </x:c>
      <x:c r="G255" s="26" t="str">
        <x:v>High</x:v>
      </x:c>
      <x:c r="H255" s="26" t="str">
        <x:v>Native taxonomy</x:v>
      </x:c>
      <x:c r="I255" s="26" t="str">
        <x:v>type:</x:v>
      </x:c>
      <x:c r="J255" s="26" t="str">
        <x:v>t:"Scorpion"</x:v>
      </x:c>
      <x:c r="K255" s="26" t="str"/>
      <x:c r="L255" s="26" t="str">
        <x:v>scorpion</x:v>
      </x:c>
      <x:c r="M255" s="26" t="str">
        <x:v>Translate directly</x:v>
      </x:c>
      <x:c r="N255" s="26" t="str">
        <x:v>Production-ready</x:v>
      </x:c>
      <x:c r="O255" s="43" t="n">
        <x:v>0.99</x:v>
      </x:c>
      <x:c r="P255" s="26" t="str">
        <x:v>Use for card type/supertype/subtype intent, not for art or rules-text mentions.</x:v>
      </x:c>
      <x:c r="Q255" s="26" t="str">
        <x:v>https://scryfall.com/docs/syntax</x:v>
      </x:c>
      <x:c r="R255" s="26" t="str">
        <x:v>2026-08-21</x:v>
      </x:c>
    </x:row>
    <x:row r="256">
      <x:c r="A256" s="26" t="str">
        <x:v>CreatureTypes!A252</x:v>
      </x:c>
      <x:c r="B256" s="26" t="str">
        <x:v>Creature Type</x:v>
      </x:c>
      <x:c r="C256" s="26" t="str">
        <x:v>Scout</x:v>
      </x:c>
      <x:c r="D256" s="26" t="str">
        <x:v>Type/subtype</x:v>
      </x:c>
      <x:c r="E256" s="26"/>
      <x:c r="F256" s="26" t="str">
        <x:v>t:"Scout"</x:v>
      </x:c>
      <x:c r="G256" s="26" t="str">
        <x:v>High</x:v>
      </x:c>
      <x:c r="H256" s="26" t="str">
        <x:v>Native taxonomy</x:v>
      </x:c>
      <x:c r="I256" s="26" t="str">
        <x:v>type:</x:v>
      </x:c>
      <x:c r="J256" s="26" t="str">
        <x:v>t:"Scout"</x:v>
      </x:c>
      <x:c r="K256" s="26" t="str"/>
      <x:c r="L256" s="26" t="str">
        <x:v>scout</x:v>
      </x:c>
      <x:c r="M256" s="26" t="str">
        <x:v>Translate directly</x:v>
      </x:c>
      <x:c r="N256" s="26" t="str">
        <x:v>Production-ready</x:v>
      </x:c>
      <x:c r="O256" s="43" t="n">
        <x:v>0.99</x:v>
      </x:c>
      <x:c r="P256" s="26" t="str">
        <x:v>Use for card type/supertype/subtype intent, not for art or rules-text mentions.</x:v>
      </x:c>
      <x:c r="Q256" s="26" t="str">
        <x:v>https://scryfall.com/docs/syntax</x:v>
      </x:c>
      <x:c r="R256" s="26" t="str">
        <x:v>2026-08-21</x:v>
      </x:c>
    </x:row>
    <x:row r="257">
      <x:c r="A257" s="26" t="str">
        <x:v>CreatureTypes!A253</x:v>
      </x:c>
      <x:c r="B257" s="26" t="str">
        <x:v>Creature Type</x:v>
      </x:c>
      <x:c r="C257" s="26" t="str">
        <x:v>Sculpture</x:v>
      </x:c>
      <x:c r="D257" s="26" t="str">
        <x:v>Type/subtype</x:v>
      </x:c>
      <x:c r="E257" s="26"/>
      <x:c r="F257" s="26" t="str">
        <x:v>t:"Sculpture"</x:v>
      </x:c>
      <x:c r="G257" s="26" t="str">
        <x:v>High</x:v>
      </x:c>
      <x:c r="H257" s="26" t="str">
        <x:v>Native taxonomy</x:v>
      </x:c>
      <x:c r="I257" s="26" t="str">
        <x:v>type:</x:v>
      </x:c>
      <x:c r="J257" s="26" t="str">
        <x:v>t:"Sculpture"</x:v>
      </x:c>
      <x:c r="K257" s="26" t="str"/>
      <x:c r="L257" s="26" t="str">
        <x:v>sculpture</x:v>
      </x:c>
      <x:c r="M257" s="26" t="str">
        <x:v>Translate directly</x:v>
      </x:c>
      <x:c r="N257" s="26" t="str">
        <x:v>Production-ready</x:v>
      </x:c>
      <x:c r="O257" s="43" t="n">
        <x:v>0.99</x:v>
      </x:c>
      <x:c r="P257" s="26" t="str">
        <x:v>Use for card type/supertype/subtype intent, not for art or rules-text mentions.</x:v>
      </x:c>
      <x:c r="Q257" s="26" t="str">
        <x:v>https://scryfall.com/docs/syntax</x:v>
      </x:c>
      <x:c r="R257" s="26" t="str">
        <x:v>2026-08-21</x:v>
      </x:c>
    </x:row>
    <x:row r="258">
      <x:c r="A258" s="26" t="str">
        <x:v>CreatureTypes!A254</x:v>
      </x:c>
      <x:c r="B258" s="26" t="str">
        <x:v>Creature Type</x:v>
      </x:c>
      <x:c r="C258" s="26" t="str">
        <x:v>Seal</x:v>
      </x:c>
      <x:c r="D258" s="26" t="str">
        <x:v>Type/subtype</x:v>
      </x:c>
      <x:c r="E258" s="26"/>
      <x:c r="F258" s="26" t="str">
        <x:v>t:"Seal"</x:v>
      </x:c>
      <x:c r="G258" s="26" t="str">
        <x:v>High</x:v>
      </x:c>
      <x:c r="H258" s="26" t="str">
        <x:v>Native taxonomy</x:v>
      </x:c>
      <x:c r="I258" s="26" t="str">
        <x:v>type:</x:v>
      </x:c>
      <x:c r="J258" s="26" t="str">
        <x:v>t:"Seal"</x:v>
      </x:c>
      <x:c r="K258" s="26" t="str"/>
      <x:c r="L258" s="26" t="str">
        <x:v>seal</x:v>
      </x:c>
      <x:c r="M258" s="26" t="str">
        <x:v>Translate directly</x:v>
      </x:c>
      <x:c r="N258" s="26" t="str">
        <x:v>Production-ready</x:v>
      </x:c>
      <x:c r="O258" s="43" t="n">
        <x:v>0.99</x:v>
      </x:c>
      <x:c r="P258" s="26" t="str">
        <x:v>Use for card type/supertype/subtype intent, not for art or rules-text mentions.</x:v>
      </x:c>
      <x:c r="Q258" s="26" t="str">
        <x:v>https://scryfall.com/docs/syntax</x:v>
      </x:c>
      <x:c r="R258" s="26" t="str">
        <x:v>2026-08-21</x:v>
      </x:c>
    </x:row>
    <x:row r="259">
      <x:c r="A259" s="26" t="str">
        <x:v>CreatureTypes!A255</x:v>
      </x:c>
      <x:c r="B259" s="26" t="str">
        <x:v>Creature Type</x:v>
      </x:c>
      <x:c r="C259" s="26" t="str">
        <x:v>Serf</x:v>
      </x:c>
      <x:c r="D259" s="26" t="str">
        <x:v>Type/subtype</x:v>
      </x:c>
      <x:c r="E259" s="26"/>
      <x:c r="F259" s="26" t="str">
        <x:v>t:"Serf"</x:v>
      </x:c>
      <x:c r="G259" s="26" t="str">
        <x:v>High</x:v>
      </x:c>
      <x:c r="H259" s="26" t="str">
        <x:v>Native taxonomy</x:v>
      </x:c>
      <x:c r="I259" s="26" t="str">
        <x:v>type:</x:v>
      </x:c>
      <x:c r="J259" s="26" t="str">
        <x:v>t:"Serf"</x:v>
      </x:c>
      <x:c r="K259" s="26" t="str"/>
      <x:c r="L259" s="26" t="str">
        <x:v>serf</x:v>
      </x:c>
      <x:c r="M259" s="26" t="str">
        <x:v>Translate directly</x:v>
      </x:c>
      <x:c r="N259" s="26" t="str">
        <x:v>Production-ready</x:v>
      </x:c>
      <x:c r="O259" s="43" t="n">
        <x:v>0.99</x:v>
      </x:c>
      <x:c r="P259" s="26" t="str">
        <x:v>Use for card type/supertype/subtype intent, not for art or rules-text mentions.</x:v>
      </x:c>
      <x:c r="Q259" s="26" t="str">
        <x:v>https://scryfall.com/docs/syntax</x:v>
      </x:c>
      <x:c r="R259" s="26" t="str">
        <x:v>2026-08-21</x:v>
      </x:c>
    </x:row>
    <x:row r="260">
      <x:c r="A260" s="26" t="str">
        <x:v>CreatureTypes!A256</x:v>
      </x:c>
      <x:c r="B260" s="26" t="str">
        <x:v>Creature Type</x:v>
      </x:c>
      <x:c r="C260" s="26" t="str">
        <x:v>Serpent</x:v>
      </x:c>
      <x:c r="D260" s="26" t="str">
        <x:v>Type/subtype</x:v>
      </x:c>
      <x:c r="E260" s="26"/>
      <x:c r="F260" s="26" t="str">
        <x:v>t:"Serpent"</x:v>
      </x:c>
      <x:c r="G260" s="26" t="str">
        <x:v>High</x:v>
      </x:c>
      <x:c r="H260" s="26" t="str">
        <x:v>Native taxonomy</x:v>
      </x:c>
      <x:c r="I260" s="26" t="str">
        <x:v>type:</x:v>
      </x:c>
      <x:c r="J260" s="26" t="str">
        <x:v>t:"Serpent"</x:v>
      </x:c>
      <x:c r="K260" s="26" t="str"/>
      <x:c r="L260" s="26" t="str">
        <x:v>serpent</x:v>
      </x:c>
      <x:c r="M260" s="26" t="str">
        <x:v>Translate directly</x:v>
      </x:c>
      <x:c r="N260" s="26" t="str">
        <x:v>Production-ready</x:v>
      </x:c>
      <x:c r="O260" s="43" t="n">
        <x:v>0.99</x:v>
      </x:c>
      <x:c r="P260" s="26" t="str">
        <x:v>Use for card type/supertype/subtype intent, not for art or rules-text mentions.</x:v>
      </x:c>
      <x:c r="Q260" s="26" t="str">
        <x:v>https://scryfall.com/docs/syntax</x:v>
      </x:c>
      <x:c r="R260" s="26" t="str">
        <x:v>2026-08-21</x:v>
      </x:c>
    </x:row>
    <x:row r="261">
      <x:c r="A261" s="26" t="str">
        <x:v>CreatureTypes!A257</x:v>
      </x:c>
      <x:c r="B261" s="26" t="str">
        <x:v>Creature Type</x:v>
      </x:c>
      <x:c r="C261" s="26" t="str">
        <x:v>Servo</x:v>
      </x:c>
      <x:c r="D261" s="26" t="str">
        <x:v>Type/subtype</x:v>
      </x:c>
      <x:c r="E261" s="26"/>
      <x:c r="F261" s="26" t="str">
        <x:v>t:"Servo"</x:v>
      </x:c>
      <x:c r="G261" s="26" t="str">
        <x:v>High</x:v>
      </x:c>
      <x:c r="H261" s="26" t="str">
        <x:v>Native taxonomy</x:v>
      </x:c>
      <x:c r="I261" s="26" t="str">
        <x:v>type:</x:v>
      </x:c>
      <x:c r="J261" s="26" t="str">
        <x:v>t:"Servo"</x:v>
      </x:c>
      <x:c r="K261" s="26" t="str"/>
      <x:c r="L261" s="26" t="str">
        <x:v>servo</x:v>
      </x:c>
      <x:c r="M261" s="26" t="str">
        <x:v>Translate directly</x:v>
      </x:c>
      <x:c r="N261" s="26" t="str">
        <x:v>Production-ready</x:v>
      </x:c>
      <x:c r="O261" s="43" t="n">
        <x:v>0.99</x:v>
      </x:c>
      <x:c r="P261" s="26" t="str">
        <x:v>Use for card type/supertype/subtype intent, not for art or rules-text mentions.</x:v>
      </x:c>
      <x:c r="Q261" s="26" t="str">
        <x:v>https://scryfall.com/docs/syntax</x:v>
      </x:c>
      <x:c r="R261" s="26" t="str">
        <x:v>2026-08-21</x:v>
      </x:c>
    </x:row>
    <x:row r="262">
      <x:c r="A262" s="26" t="str">
        <x:v>CreatureTypes!A258</x:v>
      </x:c>
      <x:c r="B262" s="26" t="str">
        <x:v>Creature Type</x:v>
      </x:c>
      <x:c r="C262" s="26" t="str">
        <x:v>Shade</x:v>
      </x:c>
      <x:c r="D262" s="26" t="str">
        <x:v>Type/subtype</x:v>
      </x:c>
      <x:c r="E262" s="26"/>
      <x:c r="F262" s="26" t="str">
        <x:v>t:"Shade"</x:v>
      </x:c>
      <x:c r="G262" s="26" t="str">
        <x:v>High</x:v>
      </x:c>
      <x:c r="H262" s="26" t="str">
        <x:v>Native taxonomy</x:v>
      </x:c>
      <x:c r="I262" s="26" t="str">
        <x:v>type:</x:v>
      </x:c>
      <x:c r="J262" s="26" t="str">
        <x:v>t:"Shade"</x:v>
      </x:c>
      <x:c r="K262" s="26" t="str"/>
      <x:c r="L262" s="26" t="str">
        <x:v>shade</x:v>
      </x:c>
      <x:c r="M262" s="26" t="str">
        <x:v>Translate directly</x:v>
      </x:c>
      <x:c r="N262" s="26" t="str">
        <x:v>Production-ready</x:v>
      </x:c>
      <x:c r="O262" s="43" t="n">
        <x:v>0.99</x:v>
      </x:c>
      <x:c r="P262" s="26" t="str">
        <x:v>Use for card type/supertype/subtype intent, not for art or rules-text mentions.</x:v>
      </x:c>
      <x:c r="Q262" s="26" t="str">
        <x:v>https://scryfall.com/docs/syntax</x:v>
      </x:c>
      <x:c r="R262" s="26" t="str">
        <x:v>2026-08-21</x:v>
      </x:c>
    </x:row>
    <x:row r="263">
      <x:c r="A263" s="26" t="str">
        <x:v>CreatureTypes!A259</x:v>
      </x:c>
      <x:c r="B263" s="26" t="str">
        <x:v>Creature Type</x:v>
      </x:c>
      <x:c r="C263" s="26" t="str">
        <x:v>Shaman</x:v>
      </x:c>
      <x:c r="D263" s="26" t="str">
        <x:v>Type/subtype</x:v>
      </x:c>
      <x:c r="E263" s="26"/>
      <x:c r="F263" s="26" t="str">
        <x:v>t:"Shaman"</x:v>
      </x:c>
      <x:c r="G263" s="26" t="str">
        <x:v>High</x:v>
      </x:c>
      <x:c r="H263" s="26" t="str">
        <x:v>Native taxonomy</x:v>
      </x:c>
      <x:c r="I263" s="26" t="str">
        <x:v>type:</x:v>
      </x:c>
      <x:c r="J263" s="26" t="str">
        <x:v>t:"Shaman"</x:v>
      </x:c>
      <x:c r="K263" s="26" t="str"/>
      <x:c r="L263" s="26" t="str">
        <x:v>shaman</x:v>
      </x:c>
      <x:c r="M263" s="26" t="str">
        <x:v>Translate directly</x:v>
      </x:c>
      <x:c r="N263" s="26" t="str">
        <x:v>Production-ready</x:v>
      </x:c>
      <x:c r="O263" s="43" t="n">
        <x:v>0.99</x:v>
      </x:c>
      <x:c r="P263" s="26" t="str">
        <x:v>Use for card type/supertype/subtype intent, not for art or rules-text mentions.</x:v>
      </x:c>
      <x:c r="Q263" s="26" t="str">
        <x:v>https://scryfall.com/docs/syntax</x:v>
      </x:c>
      <x:c r="R263" s="26" t="str">
        <x:v>2026-08-21</x:v>
      </x:c>
    </x:row>
    <x:row r="264">
      <x:c r="A264" s="26" t="str">
        <x:v>CreatureTypes!A260</x:v>
      </x:c>
      <x:c r="B264" s="26" t="str">
        <x:v>Creature Type</x:v>
      </x:c>
      <x:c r="C264" s="26" t="str">
        <x:v>Shapeshifter</x:v>
      </x:c>
      <x:c r="D264" s="26" t="str">
        <x:v>Type/subtype</x:v>
      </x:c>
      <x:c r="E264" s="26"/>
      <x:c r="F264" s="26" t="str">
        <x:v>t:"Shapeshifter"</x:v>
      </x:c>
      <x:c r="G264" s="26" t="str">
        <x:v>High</x:v>
      </x:c>
      <x:c r="H264" s="26" t="str">
        <x:v>Native taxonomy</x:v>
      </x:c>
      <x:c r="I264" s="26" t="str">
        <x:v>type:</x:v>
      </x:c>
      <x:c r="J264" s="26" t="str">
        <x:v>t:"Shapeshifter"</x:v>
      </x:c>
      <x:c r="K264" s="26" t="str"/>
      <x:c r="L264" s="26" t="str">
        <x:v>shapeshifter</x:v>
      </x:c>
      <x:c r="M264" s="26" t="str">
        <x:v>Translate directly</x:v>
      </x:c>
      <x:c r="N264" s="26" t="str">
        <x:v>Production-ready</x:v>
      </x:c>
      <x:c r="O264" s="43" t="n">
        <x:v>0.99</x:v>
      </x:c>
      <x:c r="P264" s="26" t="str">
        <x:v>Use for card type/supertype/subtype intent, not for art or rules-text mentions.</x:v>
      </x:c>
      <x:c r="Q264" s="26" t="str">
        <x:v>https://scryfall.com/docs/syntax</x:v>
      </x:c>
      <x:c r="R264" s="26" t="str">
        <x:v>2026-08-21</x:v>
      </x:c>
    </x:row>
    <x:row r="265">
      <x:c r="A265" s="26" t="str">
        <x:v>CreatureTypes!A261</x:v>
      </x:c>
      <x:c r="B265" s="26" t="str">
        <x:v>Creature Type</x:v>
      </x:c>
      <x:c r="C265" s="26" t="str">
        <x:v>Shark</x:v>
      </x:c>
      <x:c r="D265" s="26" t="str">
        <x:v>Type/subtype</x:v>
      </x:c>
      <x:c r="E265" s="26"/>
      <x:c r="F265" s="26" t="str">
        <x:v>t:"Shark"</x:v>
      </x:c>
      <x:c r="G265" s="26" t="str">
        <x:v>High</x:v>
      </x:c>
      <x:c r="H265" s="26" t="str">
        <x:v>Native taxonomy</x:v>
      </x:c>
      <x:c r="I265" s="26" t="str">
        <x:v>type:</x:v>
      </x:c>
      <x:c r="J265" s="26" t="str">
        <x:v>t:"Shark"</x:v>
      </x:c>
      <x:c r="K265" s="26" t="str"/>
      <x:c r="L265" s="26" t="str">
        <x:v>shark</x:v>
      </x:c>
      <x:c r="M265" s="26" t="str">
        <x:v>Translate directly</x:v>
      </x:c>
      <x:c r="N265" s="26" t="str">
        <x:v>Production-ready</x:v>
      </x:c>
      <x:c r="O265" s="43" t="n">
        <x:v>0.99</x:v>
      </x:c>
      <x:c r="P265" s="26" t="str">
        <x:v>Use for card type/supertype/subtype intent, not for art or rules-text mentions.</x:v>
      </x:c>
      <x:c r="Q265" s="26" t="str">
        <x:v>https://scryfall.com/docs/syntax</x:v>
      </x:c>
      <x:c r="R265" s="26" t="str">
        <x:v>2026-08-21</x:v>
      </x:c>
    </x:row>
    <x:row r="266">
      <x:c r="A266" s="26" t="str">
        <x:v>CreatureTypes!A262</x:v>
      </x:c>
      <x:c r="B266" s="26" t="str">
        <x:v>Creature Type</x:v>
      </x:c>
      <x:c r="C266" s="26" t="str">
        <x:v>Sheep</x:v>
      </x:c>
      <x:c r="D266" s="26" t="str">
        <x:v>Type/subtype</x:v>
      </x:c>
      <x:c r="E266" s="26"/>
      <x:c r="F266" s="26" t="str">
        <x:v>t:"Sheep"</x:v>
      </x:c>
      <x:c r="G266" s="26" t="str">
        <x:v>High</x:v>
      </x:c>
      <x:c r="H266" s="26" t="str">
        <x:v>Native taxonomy</x:v>
      </x:c>
      <x:c r="I266" s="26" t="str">
        <x:v>type:</x:v>
      </x:c>
      <x:c r="J266" s="26" t="str">
        <x:v>t:"Sheep"</x:v>
      </x:c>
      <x:c r="K266" s="26" t="str"/>
      <x:c r="L266" s="26" t="str">
        <x:v>sheep</x:v>
      </x:c>
      <x:c r="M266" s="26" t="str">
        <x:v>Translate directly</x:v>
      </x:c>
      <x:c r="N266" s="26" t="str">
        <x:v>Production-ready</x:v>
      </x:c>
      <x:c r="O266" s="43" t="n">
        <x:v>0.99</x:v>
      </x:c>
      <x:c r="P266" s="26" t="str">
        <x:v>Use for card type/supertype/subtype intent, not for art or rules-text mentions.</x:v>
      </x:c>
      <x:c r="Q266" s="26" t="str">
        <x:v>https://scryfall.com/docs/syntax</x:v>
      </x:c>
      <x:c r="R266" s="26" t="str">
        <x:v>2026-08-21</x:v>
      </x:c>
    </x:row>
    <x:row r="267">
      <x:c r="A267" s="26" t="str">
        <x:v>CreatureTypes!A263</x:v>
      </x:c>
      <x:c r="B267" s="26" t="str">
        <x:v>Creature Type</x:v>
      </x:c>
      <x:c r="C267" s="26" t="str">
        <x:v>Shi'ar</x:v>
      </x:c>
      <x:c r="D267" s="26" t="str">
        <x:v>Type/subtype</x:v>
      </x:c>
      <x:c r="E267" s="26"/>
      <x:c r="F267" s="26" t="str">
        <x:v>t:"Shi'ar"</x:v>
      </x:c>
      <x:c r="G267" s="26" t="str">
        <x:v>High</x:v>
      </x:c>
      <x:c r="H267" s="26" t="str">
        <x:v>Native taxonomy</x:v>
      </x:c>
      <x:c r="I267" s="26" t="str">
        <x:v>type:</x:v>
      </x:c>
      <x:c r="J267" s="26" t="str">
        <x:v>t:"Shi'ar"</x:v>
      </x:c>
      <x:c r="K267" s="26" t="str"/>
      <x:c r="L267" s="26" t="str">
        <x:v>shi'ar</x:v>
      </x:c>
      <x:c r="M267" s="26" t="str">
        <x:v>Translate directly</x:v>
      </x:c>
      <x:c r="N267" s="26" t="str">
        <x:v>Production-ready</x:v>
      </x:c>
      <x:c r="O267" s="43" t="n">
        <x:v>0.99</x:v>
      </x:c>
      <x:c r="P267" s="26" t="str">
        <x:v>Use for card type/supertype/subtype intent, not for art or rules-text mentions.</x:v>
      </x:c>
      <x:c r="Q267" s="26" t="str">
        <x:v>https://scryfall.com/docs/syntax</x:v>
      </x:c>
      <x:c r="R267" s="26" t="str">
        <x:v>2026-08-21</x:v>
      </x:c>
    </x:row>
    <x:row r="268">
      <x:c r="A268" s="26" t="str">
        <x:v>CreatureTypes!A264</x:v>
      </x:c>
      <x:c r="B268" s="26" t="str">
        <x:v>Creature Type</x:v>
      </x:c>
      <x:c r="C268" s="26" t="str">
        <x:v>Siren</x:v>
      </x:c>
      <x:c r="D268" s="26" t="str">
        <x:v>Type/subtype</x:v>
      </x:c>
      <x:c r="E268" s="26"/>
      <x:c r="F268" s="26" t="str">
        <x:v>t:"Siren"</x:v>
      </x:c>
      <x:c r="G268" s="26" t="str">
        <x:v>High</x:v>
      </x:c>
      <x:c r="H268" s="26" t="str">
        <x:v>Native taxonomy</x:v>
      </x:c>
      <x:c r="I268" s="26" t="str">
        <x:v>type:</x:v>
      </x:c>
      <x:c r="J268" s="26" t="str">
        <x:v>t:"Siren"</x:v>
      </x:c>
      <x:c r="K268" s="26" t="str"/>
      <x:c r="L268" s="26" t="str">
        <x:v>siren</x:v>
      </x:c>
      <x:c r="M268" s="26" t="str">
        <x:v>Translate directly</x:v>
      </x:c>
      <x:c r="N268" s="26" t="str">
        <x:v>Production-ready</x:v>
      </x:c>
      <x:c r="O268" s="43" t="n">
        <x:v>0.99</x:v>
      </x:c>
      <x:c r="P268" s="26" t="str">
        <x:v>Use for card type/supertype/subtype intent, not for art or rules-text mentions.</x:v>
      </x:c>
      <x:c r="Q268" s="26" t="str">
        <x:v>https://scryfall.com/docs/syntax</x:v>
      </x:c>
      <x:c r="R268" s="26" t="str">
        <x:v>2026-08-21</x:v>
      </x:c>
    </x:row>
    <x:row r="269">
      <x:c r="A269" s="26" t="str">
        <x:v>CreatureTypes!A265</x:v>
      </x:c>
      <x:c r="B269" s="26" t="str">
        <x:v>Creature Type</x:v>
      </x:c>
      <x:c r="C269" s="26" t="str">
        <x:v>Skeleton</x:v>
      </x:c>
      <x:c r="D269" s="26" t="str">
        <x:v>Type/subtype</x:v>
      </x:c>
      <x:c r="E269" s="26"/>
      <x:c r="F269" s="26" t="str">
        <x:v>t:"Skeleton"</x:v>
      </x:c>
      <x:c r="G269" s="26" t="str">
        <x:v>High</x:v>
      </x:c>
      <x:c r="H269" s="26" t="str">
        <x:v>Native taxonomy</x:v>
      </x:c>
      <x:c r="I269" s="26" t="str">
        <x:v>type:</x:v>
      </x:c>
      <x:c r="J269" s="26" t="str">
        <x:v>t:"Skeleton"</x:v>
      </x:c>
      <x:c r="K269" s="26" t="str"/>
      <x:c r="L269" s="26" t="str">
        <x:v>skeleton</x:v>
      </x:c>
      <x:c r="M269" s="26" t="str">
        <x:v>Translate directly</x:v>
      </x:c>
      <x:c r="N269" s="26" t="str">
        <x:v>Production-ready</x:v>
      </x:c>
      <x:c r="O269" s="43" t="n">
        <x:v>0.99</x:v>
      </x:c>
      <x:c r="P269" s="26" t="str">
        <x:v>Use for card type/supertype/subtype intent, not for art or rules-text mentions.</x:v>
      </x:c>
      <x:c r="Q269" s="26" t="str">
        <x:v>https://scryfall.com/docs/syntax</x:v>
      </x:c>
      <x:c r="R269" s="26" t="str">
        <x:v>2026-08-21</x:v>
      </x:c>
    </x:row>
    <x:row r="270">
      <x:c r="A270" s="26" t="str">
        <x:v>CreatureTypes!A266</x:v>
      </x:c>
      <x:c r="B270" s="26" t="str">
        <x:v>Creature Type</x:v>
      </x:c>
      <x:c r="C270" s="26" t="str">
        <x:v>Skrull</x:v>
      </x:c>
      <x:c r="D270" s="26" t="str">
        <x:v>Type/subtype</x:v>
      </x:c>
      <x:c r="E270" s="26"/>
      <x:c r="F270" s="26" t="str">
        <x:v>t:"Skrull"</x:v>
      </x:c>
      <x:c r="G270" s="26" t="str">
        <x:v>High</x:v>
      </x:c>
      <x:c r="H270" s="26" t="str">
        <x:v>Native taxonomy</x:v>
      </x:c>
      <x:c r="I270" s="26" t="str">
        <x:v>type:</x:v>
      </x:c>
      <x:c r="J270" s="26" t="str">
        <x:v>t:"Skrull"</x:v>
      </x:c>
      <x:c r="K270" s="26" t="str"/>
      <x:c r="L270" s="26" t="str">
        <x:v>skrull</x:v>
      </x:c>
      <x:c r="M270" s="26" t="str">
        <x:v>Translate directly</x:v>
      </x:c>
      <x:c r="N270" s="26" t="str">
        <x:v>Production-ready</x:v>
      </x:c>
      <x:c r="O270" s="43" t="n">
        <x:v>0.99</x:v>
      </x:c>
      <x:c r="P270" s="26" t="str">
        <x:v>Use for card type/supertype/subtype intent, not for art or rules-text mentions.</x:v>
      </x:c>
      <x:c r="Q270" s="26" t="str">
        <x:v>https://scryfall.com/docs/syntax</x:v>
      </x:c>
      <x:c r="R270" s="26" t="str">
        <x:v>2026-08-21</x:v>
      </x:c>
    </x:row>
    <x:row r="271">
      <x:c r="A271" s="26" t="str">
        <x:v>CreatureTypes!A267</x:v>
      </x:c>
      <x:c r="B271" s="26" t="str">
        <x:v>Creature Type</x:v>
      </x:c>
      <x:c r="C271" s="26" t="str">
        <x:v>Skunk</x:v>
      </x:c>
      <x:c r="D271" s="26" t="str">
        <x:v>Type/subtype</x:v>
      </x:c>
      <x:c r="E271" s="26"/>
      <x:c r="F271" s="26" t="str">
        <x:v>t:"Skunk"</x:v>
      </x:c>
      <x:c r="G271" s="26" t="str">
        <x:v>High</x:v>
      </x:c>
      <x:c r="H271" s="26" t="str">
        <x:v>Native taxonomy</x:v>
      </x:c>
      <x:c r="I271" s="26" t="str">
        <x:v>type:</x:v>
      </x:c>
      <x:c r="J271" s="26" t="str">
        <x:v>t:"Skunk"</x:v>
      </x:c>
      <x:c r="K271" s="26" t="str"/>
      <x:c r="L271" s="26" t="str">
        <x:v>skunk</x:v>
      </x:c>
      <x:c r="M271" s="26" t="str">
        <x:v>Translate directly</x:v>
      </x:c>
      <x:c r="N271" s="26" t="str">
        <x:v>Production-ready</x:v>
      </x:c>
      <x:c r="O271" s="43" t="n">
        <x:v>0.99</x:v>
      </x:c>
      <x:c r="P271" s="26" t="str">
        <x:v>Use for card type/supertype/subtype intent, not for art or rules-text mentions.</x:v>
      </x:c>
      <x:c r="Q271" s="26" t="str">
        <x:v>https://scryfall.com/docs/syntax</x:v>
      </x:c>
      <x:c r="R271" s="26" t="str">
        <x:v>2026-08-21</x:v>
      </x:c>
    </x:row>
    <x:row r="272">
      <x:c r="A272" s="26" t="str">
        <x:v>CreatureTypes!A268</x:v>
      </x:c>
      <x:c r="B272" s="26" t="str">
        <x:v>Creature Type</x:v>
      </x:c>
      <x:c r="C272" s="26" t="str">
        <x:v>Slith</x:v>
      </x:c>
      <x:c r="D272" s="26" t="str">
        <x:v>Type/subtype</x:v>
      </x:c>
      <x:c r="E272" s="26"/>
      <x:c r="F272" s="26" t="str">
        <x:v>t:"Slith"</x:v>
      </x:c>
      <x:c r="G272" s="26" t="str">
        <x:v>High</x:v>
      </x:c>
      <x:c r="H272" s="26" t="str">
        <x:v>Native taxonomy</x:v>
      </x:c>
      <x:c r="I272" s="26" t="str">
        <x:v>type:</x:v>
      </x:c>
      <x:c r="J272" s="26" t="str">
        <x:v>t:"Slith"</x:v>
      </x:c>
      <x:c r="K272" s="26" t="str"/>
      <x:c r="L272" s="26" t="str">
        <x:v>slith</x:v>
      </x:c>
      <x:c r="M272" s="26" t="str">
        <x:v>Translate directly</x:v>
      </x:c>
      <x:c r="N272" s="26" t="str">
        <x:v>Production-ready</x:v>
      </x:c>
      <x:c r="O272" s="43" t="n">
        <x:v>0.99</x:v>
      </x:c>
      <x:c r="P272" s="26" t="str">
        <x:v>Use for card type/supertype/subtype intent, not for art or rules-text mentions.</x:v>
      </x:c>
      <x:c r="Q272" s="26" t="str">
        <x:v>https://scryfall.com/docs/syntax</x:v>
      </x:c>
      <x:c r="R272" s="26" t="str">
        <x:v>2026-08-21</x:v>
      </x:c>
    </x:row>
    <x:row r="273">
      <x:c r="A273" s="26" t="str">
        <x:v>CreatureTypes!A269</x:v>
      </x:c>
      <x:c r="B273" s="26" t="str">
        <x:v>Creature Type</x:v>
      </x:c>
      <x:c r="C273" s="26" t="str">
        <x:v>Sliver</x:v>
      </x:c>
      <x:c r="D273" s="26" t="str">
        <x:v>Type/subtype</x:v>
      </x:c>
      <x:c r="E273" s="26"/>
      <x:c r="F273" s="26" t="str">
        <x:v>t:"Sliver"</x:v>
      </x:c>
      <x:c r="G273" s="26" t="str">
        <x:v>High</x:v>
      </x:c>
      <x:c r="H273" s="26" t="str">
        <x:v>Native taxonomy</x:v>
      </x:c>
      <x:c r="I273" s="26" t="str">
        <x:v>type:</x:v>
      </x:c>
      <x:c r="J273" s="26" t="str">
        <x:v>t:"Sliver"</x:v>
      </x:c>
      <x:c r="K273" s="26" t="str"/>
      <x:c r="L273" s="26" t="str">
        <x:v>sliver</x:v>
      </x:c>
      <x:c r="M273" s="26" t="str">
        <x:v>Translate directly</x:v>
      </x:c>
      <x:c r="N273" s="26" t="str">
        <x:v>Production-ready</x:v>
      </x:c>
      <x:c r="O273" s="43" t="n">
        <x:v>0.99</x:v>
      </x:c>
      <x:c r="P273" s="26" t="str">
        <x:v>Use for card type/supertype/subtype intent, not for art or rules-text mentions.</x:v>
      </x:c>
      <x:c r="Q273" s="26" t="str">
        <x:v>https://scryfall.com/docs/syntax</x:v>
      </x:c>
      <x:c r="R273" s="26" t="str">
        <x:v>2026-08-21</x:v>
      </x:c>
    </x:row>
    <x:row r="274">
      <x:c r="A274" s="26" t="str">
        <x:v>CreatureTypes!A270</x:v>
      </x:c>
      <x:c r="B274" s="26" t="str">
        <x:v>Creature Type</x:v>
      </x:c>
      <x:c r="C274" s="26" t="str">
        <x:v>Sloth</x:v>
      </x:c>
      <x:c r="D274" s="26" t="str">
        <x:v>Type/subtype</x:v>
      </x:c>
      <x:c r="E274" s="26"/>
      <x:c r="F274" s="26" t="str">
        <x:v>t:"Sloth"</x:v>
      </x:c>
      <x:c r="G274" s="26" t="str">
        <x:v>High</x:v>
      </x:c>
      <x:c r="H274" s="26" t="str">
        <x:v>Native taxonomy</x:v>
      </x:c>
      <x:c r="I274" s="26" t="str">
        <x:v>type:</x:v>
      </x:c>
      <x:c r="J274" s="26" t="str">
        <x:v>t:"Sloth"</x:v>
      </x:c>
      <x:c r="K274" s="26" t="str"/>
      <x:c r="L274" s="26" t="str">
        <x:v>sloth</x:v>
      </x:c>
      <x:c r="M274" s="26" t="str">
        <x:v>Translate directly</x:v>
      </x:c>
      <x:c r="N274" s="26" t="str">
        <x:v>Production-ready</x:v>
      </x:c>
      <x:c r="O274" s="43" t="n">
        <x:v>0.99</x:v>
      </x:c>
      <x:c r="P274" s="26" t="str">
        <x:v>Use for card type/supertype/subtype intent, not for art or rules-text mentions.</x:v>
      </x:c>
      <x:c r="Q274" s="26" t="str">
        <x:v>https://scryfall.com/docs/syntax</x:v>
      </x:c>
      <x:c r="R274" s="26" t="str">
        <x:v>2026-08-21</x:v>
      </x:c>
    </x:row>
    <x:row r="275">
      <x:c r="A275" s="26" t="str">
        <x:v>CreatureTypes!A271</x:v>
      </x:c>
      <x:c r="B275" s="26" t="str">
        <x:v>Creature Type</x:v>
      </x:c>
      <x:c r="C275" s="26" t="str">
        <x:v>Slug</x:v>
      </x:c>
      <x:c r="D275" s="26" t="str">
        <x:v>Type/subtype</x:v>
      </x:c>
      <x:c r="E275" s="26"/>
      <x:c r="F275" s="26" t="str">
        <x:v>t:"Slug"</x:v>
      </x:c>
      <x:c r="G275" s="26" t="str">
        <x:v>High</x:v>
      </x:c>
      <x:c r="H275" s="26" t="str">
        <x:v>Native taxonomy</x:v>
      </x:c>
      <x:c r="I275" s="26" t="str">
        <x:v>type:</x:v>
      </x:c>
      <x:c r="J275" s="26" t="str">
        <x:v>t:"Slug"</x:v>
      </x:c>
      <x:c r="K275" s="26" t="str"/>
      <x:c r="L275" s="26" t="str">
        <x:v>slug</x:v>
      </x:c>
      <x:c r="M275" s="26" t="str">
        <x:v>Translate directly</x:v>
      </x:c>
      <x:c r="N275" s="26" t="str">
        <x:v>Production-ready</x:v>
      </x:c>
      <x:c r="O275" s="43" t="n">
        <x:v>0.99</x:v>
      </x:c>
      <x:c r="P275" s="26" t="str">
        <x:v>Use for card type/supertype/subtype intent, not for art or rules-text mentions.</x:v>
      </x:c>
      <x:c r="Q275" s="26" t="str">
        <x:v>https://scryfall.com/docs/syntax</x:v>
      </x:c>
      <x:c r="R275" s="26" t="str">
        <x:v>2026-08-21</x:v>
      </x:c>
    </x:row>
    <x:row r="276">
      <x:c r="A276" s="26" t="str">
        <x:v>CreatureTypes!A272</x:v>
      </x:c>
      <x:c r="B276" s="26" t="str">
        <x:v>Creature Type</x:v>
      </x:c>
      <x:c r="C276" s="26" t="str">
        <x:v>Snail</x:v>
      </x:c>
      <x:c r="D276" s="26" t="str">
        <x:v>Type/subtype</x:v>
      </x:c>
      <x:c r="E276" s="26"/>
      <x:c r="F276" s="26" t="str">
        <x:v>t:"Snail"</x:v>
      </x:c>
      <x:c r="G276" s="26" t="str">
        <x:v>High</x:v>
      </x:c>
      <x:c r="H276" s="26" t="str">
        <x:v>Native taxonomy</x:v>
      </x:c>
      <x:c r="I276" s="26" t="str">
        <x:v>type:</x:v>
      </x:c>
      <x:c r="J276" s="26" t="str">
        <x:v>t:"Snail"</x:v>
      </x:c>
      <x:c r="K276" s="26" t="str"/>
      <x:c r="L276" s="26" t="str">
        <x:v>snail</x:v>
      </x:c>
      <x:c r="M276" s="26" t="str">
        <x:v>Translate directly</x:v>
      </x:c>
      <x:c r="N276" s="26" t="str">
        <x:v>Production-ready</x:v>
      </x:c>
      <x:c r="O276" s="43" t="n">
        <x:v>0.99</x:v>
      </x:c>
      <x:c r="P276" s="26" t="str">
        <x:v>Use for card type/supertype/subtype intent, not for art or rules-text mentions.</x:v>
      </x:c>
      <x:c r="Q276" s="26" t="str">
        <x:v>https://scryfall.com/docs/syntax</x:v>
      </x:c>
      <x:c r="R276" s="26" t="str">
        <x:v>2026-08-21</x:v>
      </x:c>
    </x:row>
    <x:row r="277">
      <x:c r="A277" s="26" t="str">
        <x:v>CreatureTypes!A273</x:v>
      </x:c>
      <x:c r="B277" s="26" t="str">
        <x:v>Creature Type</x:v>
      </x:c>
      <x:c r="C277" s="26" t="str">
        <x:v>Snake</x:v>
      </x:c>
      <x:c r="D277" s="26" t="str">
        <x:v>Type/subtype</x:v>
      </x:c>
      <x:c r="E277" s="26"/>
      <x:c r="F277" s="26" t="str">
        <x:v>t:"Snake"</x:v>
      </x:c>
      <x:c r="G277" s="26" t="str">
        <x:v>High</x:v>
      </x:c>
      <x:c r="H277" s="26" t="str">
        <x:v>Native taxonomy</x:v>
      </x:c>
      <x:c r="I277" s="26" t="str">
        <x:v>type:</x:v>
      </x:c>
      <x:c r="J277" s="26" t="str">
        <x:v>t:"Snake"</x:v>
      </x:c>
      <x:c r="K277" s="26" t="str"/>
      <x:c r="L277" s="26" t="str">
        <x:v>snake</x:v>
      </x:c>
      <x:c r="M277" s="26" t="str">
        <x:v>Translate directly</x:v>
      </x:c>
      <x:c r="N277" s="26" t="str">
        <x:v>Production-ready</x:v>
      </x:c>
      <x:c r="O277" s="43" t="n">
        <x:v>0.99</x:v>
      </x:c>
      <x:c r="P277" s="26" t="str">
        <x:v>Use for card type/supertype/subtype intent, not for art or rules-text mentions.</x:v>
      </x:c>
      <x:c r="Q277" s="26" t="str">
        <x:v>https://scryfall.com/docs/syntax</x:v>
      </x:c>
      <x:c r="R277" s="26" t="str">
        <x:v>2026-08-21</x:v>
      </x:c>
    </x:row>
    <x:row r="278">
      <x:c r="A278" s="26" t="str">
        <x:v>CreatureTypes!A274</x:v>
      </x:c>
      <x:c r="B278" s="26" t="str">
        <x:v>Creature Type</x:v>
      </x:c>
      <x:c r="C278" s="26" t="str">
        <x:v>Soldier</x:v>
      </x:c>
      <x:c r="D278" s="26" t="str">
        <x:v>Type/subtype</x:v>
      </x:c>
      <x:c r="E278" s="26"/>
      <x:c r="F278" s="26" t="str">
        <x:v>t:"Soldier"</x:v>
      </x:c>
      <x:c r="G278" s="26" t="str">
        <x:v>High</x:v>
      </x:c>
      <x:c r="H278" s="26" t="str">
        <x:v>Native taxonomy</x:v>
      </x:c>
      <x:c r="I278" s="26" t="str">
        <x:v>type:</x:v>
      </x:c>
      <x:c r="J278" s="26" t="str">
        <x:v>t:"Soldier"</x:v>
      </x:c>
      <x:c r="K278" s="26" t="str"/>
      <x:c r="L278" s="26" t="str">
        <x:v>soldier</x:v>
      </x:c>
      <x:c r="M278" s="26" t="str">
        <x:v>Translate directly</x:v>
      </x:c>
      <x:c r="N278" s="26" t="str">
        <x:v>Production-ready</x:v>
      </x:c>
      <x:c r="O278" s="43" t="n">
        <x:v>0.99</x:v>
      </x:c>
      <x:c r="P278" s="26" t="str">
        <x:v>Use for card type/supertype/subtype intent, not for art or rules-text mentions.</x:v>
      </x:c>
      <x:c r="Q278" s="26" t="str">
        <x:v>https://scryfall.com/docs/syntax</x:v>
      </x:c>
      <x:c r="R278" s="26" t="str">
        <x:v>2026-08-21</x:v>
      </x:c>
    </x:row>
    <x:row r="279">
      <x:c r="A279" s="26" t="str">
        <x:v>CreatureTypes!A275</x:v>
      </x:c>
      <x:c r="B279" s="26" t="str">
        <x:v>Creature Type</x:v>
      </x:c>
      <x:c r="C279" s="26" t="str">
        <x:v>Soltari</x:v>
      </x:c>
      <x:c r="D279" s="26" t="str">
        <x:v>Type/subtype</x:v>
      </x:c>
      <x:c r="E279" s="26"/>
      <x:c r="F279" s="26" t="str">
        <x:v>t:"Soltari"</x:v>
      </x:c>
      <x:c r="G279" s="26" t="str">
        <x:v>High</x:v>
      </x:c>
      <x:c r="H279" s="26" t="str">
        <x:v>Native taxonomy</x:v>
      </x:c>
      <x:c r="I279" s="26" t="str">
        <x:v>type:</x:v>
      </x:c>
      <x:c r="J279" s="26" t="str">
        <x:v>t:"Soltari"</x:v>
      </x:c>
      <x:c r="K279" s="26" t="str"/>
      <x:c r="L279" s="26" t="str">
        <x:v>soltari</x:v>
      </x:c>
      <x:c r="M279" s="26" t="str">
        <x:v>Translate directly</x:v>
      </x:c>
      <x:c r="N279" s="26" t="str">
        <x:v>Production-ready</x:v>
      </x:c>
      <x:c r="O279" s="43" t="n">
        <x:v>0.99</x:v>
      </x:c>
      <x:c r="P279" s="26" t="str">
        <x:v>Use for card type/supertype/subtype intent, not for art or rules-text mentions.</x:v>
      </x:c>
      <x:c r="Q279" s="26" t="str">
        <x:v>https://scryfall.com/docs/syntax</x:v>
      </x:c>
      <x:c r="R279" s="26" t="str">
        <x:v>2026-08-21</x:v>
      </x:c>
    </x:row>
    <x:row r="280">
      <x:c r="A280" s="26" t="str">
        <x:v>CreatureTypes!A276</x:v>
      </x:c>
      <x:c r="B280" s="26" t="str">
        <x:v>Creature Type</x:v>
      </x:c>
      <x:c r="C280" s="26" t="str">
        <x:v>Sorcerer</x:v>
      </x:c>
      <x:c r="D280" s="26" t="str">
        <x:v>Type/subtype</x:v>
      </x:c>
      <x:c r="E280" s="26"/>
      <x:c r="F280" s="26" t="str">
        <x:v>t:"Sorcerer"</x:v>
      </x:c>
      <x:c r="G280" s="26" t="str">
        <x:v>High</x:v>
      </x:c>
      <x:c r="H280" s="26" t="str">
        <x:v>Native taxonomy</x:v>
      </x:c>
      <x:c r="I280" s="26" t="str">
        <x:v>type:</x:v>
      </x:c>
      <x:c r="J280" s="26" t="str">
        <x:v>t:"Sorcerer"</x:v>
      </x:c>
      <x:c r="K280" s="26" t="str"/>
      <x:c r="L280" s="26" t="str">
        <x:v>sorcerer</x:v>
      </x:c>
      <x:c r="M280" s="26" t="str">
        <x:v>Translate directly</x:v>
      </x:c>
      <x:c r="N280" s="26" t="str">
        <x:v>Production-ready</x:v>
      </x:c>
      <x:c r="O280" s="43" t="n">
        <x:v>0.99</x:v>
      </x:c>
      <x:c r="P280" s="26" t="str">
        <x:v>Use for card type/supertype/subtype intent, not for art or rules-text mentions.</x:v>
      </x:c>
      <x:c r="Q280" s="26" t="str">
        <x:v>https://scryfall.com/docs/syntax</x:v>
      </x:c>
      <x:c r="R280" s="26" t="str">
        <x:v>2026-08-21</x:v>
      </x:c>
    </x:row>
    <x:row r="281">
      <x:c r="A281" s="26" t="str">
        <x:v>CreatureTypes!A277</x:v>
      </x:c>
      <x:c r="B281" s="26" t="str">
        <x:v>Creature Type</x:v>
      </x:c>
      <x:c r="C281" s="26" t="str">
        <x:v>Spawn</x:v>
      </x:c>
      <x:c r="D281" s="26" t="str">
        <x:v>Type/subtype</x:v>
      </x:c>
      <x:c r="E281" s="26"/>
      <x:c r="F281" s="26" t="str">
        <x:v>t:"Spawn"</x:v>
      </x:c>
      <x:c r="G281" s="26" t="str">
        <x:v>High</x:v>
      </x:c>
      <x:c r="H281" s="26" t="str">
        <x:v>Native taxonomy</x:v>
      </x:c>
      <x:c r="I281" s="26" t="str">
        <x:v>type:</x:v>
      </x:c>
      <x:c r="J281" s="26" t="str">
        <x:v>t:"Spawn"</x:v>
      </x:c>
      <x:c r="K281" s="26" t="str"/>
      <x:c r="L281" s="26" t="str">
        <x:v>spawn</x:v>
      </x:c>
      <x:c r="M281" s="26" t="str">
        <x:v>Translate directly</x:v>
      </x:c>
      <x:c r="N281" s="26" t="str">
        <x:v>Production-ready</x:v>
      </x:c>
      <x:c r="O281" s="43" t="n">
        <x:v>0.99</x:v>
      </x:c>
      <x:c r="P281" s="26" t="str">
        <x:v>Use for card type/supertype/subtype intent, not for art or rules-text mentions.</x:v>
      </x:c>
      <x:c r="Q281" s="26" t="str">
        <x:v>https://scryfall.com/docs/syntax</x:v>
      </x:c>
      <x:c r="R281" s="26" t="str">
        <x:v>2026-08-21</x:v>
      </x:c>
    </x:row>
    <x:row r="282">
      <x:c r="A282" s="26" t="str">
        <x:v>CreatureTypes!A278</x:v>
      </x:c>
      <x:c r="B282" s="26" t="str">
        <x:v>Creature Type</x:v>
      </x:c>
      <x:c r="C282" s="26" t="str">
        <x:v>Specter</x:v>
      </x:c>
      <x:c r="D282" s="26" t="str">
        <x:v>Type/subtype</x:v>
      </x:c>
      <x:c r="E282" s="26"/>
      <x:c r="F282" s="26" t="str">
        <x:v>t:"Specter"</x:v>
      </x:c>
      <x:c r="G282" s="26" t="str">
        <x:v>High</x:v>
      </x:c>
      <x:c r="H282" s="26" t="str">
        <x:v>Native taxonomy</x:v>
      </x:c>
      <x:c r="I282" s="26" t="str">
        <x:v>type:</x:v>
      </x:c>
      <x:c r="J282" s="26" t="str">
        <x:v>t:"Specter"</x:v>
      </x:c>
      <x:c r="K282" s="26" t="str"/>
      <x:c r="L282" s="26" t="str">
        <x:v>specter</x:v>
      </x:c>
      <x:c r="M282" s="26" t="str">
        <x:v>Translate directly</x:v>
      </x:c>
      <x:c r="N282" s="26" t="str">
        <x:v>Production-ready</x:v>
      </x:c>
      <x:c r="O282" s="43" t="n">
        <x:v>0.99</x:v>
      </x:c>
      <x:c r="P282" s="26" t="str">
        <x:v>Use for card type/supertype/subtype intent, not for art or rules-text mentions.</x:v>
      </x:c>
      <x:c r="Q282" s="26" t="str">
        <x:v>https://scryfall.com/docs/syntax</x:v>
      </x:c>
      <x:c r="R282" s="26" t="str">
        <x:v>2026-08-21</x:v>
      </x:c>
    </x:row>
    <x:row r="283">
      <x:c r="A283" s="26" t="str">
        <x:v>CreatureTypes!A279</x:v>
      </x:c>
      <x:c r="B283" s="26" t="str">
        <x:v>Creature Type</x:v>
      </x:c>
      <x:c r="C283" s="26" t="str">
        <x:v>Spellshaper</x:v>
      </x:c>
      <x:c r="D283" s="26" t="str">
        <x:v>Type/subtype</x:v>
      </x:c>
      <x:c r="E283" s="26"/>
      <x:c r="F283" s="26" t="str">
        <x:v>t:"Spellshaper"</x:v>
      </x:c>
      <x:c r="G283" s="26" t="str">
        <x:v>High</x:v>
      </x:c>
      <x:c r="H283" s="26" t="str">
        <x:v>Native taxonomy</x:v>
      </x:c>
      <x:c r="I283" s="26" t="str">
        <x:v>type:</x:v>
      </x:c>
      <x:c r="J283" s="26" t="str">
        <x:v>t:"Spellshaper"</x:v>
      </x:c>
      <x:c r="K283" s="26" t="str"/>
      <x:c r="L283" s="26" t="str">
        <x:v>spellshaper</x:v>
      </x:c>
      <x:c r="M283" s="26" t="str">
        <x:v>Translate directly</x:v>
      </x:c>
      <x:c r="N283" s="26" t="str">
        <x:v>Production-ready</x:v>
      </x:c>
      <x:c r="O283" s="43" t="n">
        <x:v>0.99</x:v>
      </x:c>
      <x:c r="P283" s="26" t="str">
        <x:v>Use for card type/supertype/subtype intent, not for art or rules-text mentions.</x:v>
      </x:c>
      <x:c r="Q283" s="26" t="str">
        <x:v>https://scryfall.com/docs/syntax</x:v>
      </x:c>
      <x:c r="R283" s="26" t="str">
        <x:v>2026-08-21</x:v>
      </x:c>
    </x:row>
    <x:row r="284">
      <x:c r="A284" s="26" t="str">
        <x:v>CreatureTypes!A280</x:v>
      </x:c>
      <x:c r="B284" s="26" t="str">
        <x:v>Creature Type</x:v>
      </x:c>
      <x:c r="C284" s="26" t="str">
        <x:v>Sphinx</x:v>
      </x:c>
      <x:c r="D284" s="26" t="str">
        <x:v>Type/subtype</x:v>
      </x:c>
      <x:c r="E284" s="26"/>
      <x:c r="F284" s="26" t="str">
        <x:v>t:"Sphinx"</x:v>
      </x:c>
      <x:c r="G284" s="26" t="str">
        <x:v>High</x:v>
      </x:c>
      <x:c r="H284" s="26" t="str">
        <x:v>Native taxonomy</x:v>
      </x:c>
      <x:c r="I284" s="26" t="str">
        <x:v>type:</x:v>
      </x:c>
      <x:c r="J284" s="26" t="str">
        <x:v>t:"Sphinx"</x:v>
      </x:c>
      <x:c r="K284" s="26" t="str"/>
      <x:c r="L284" s="26" t="str">
        <x:v>sphinx</x:v>
      </x:c>
      <x:c r="M284" s="26" t="str">
        <x:v>Translate directly</x:v>
      </x:c>
      <x:c r="N284" s="26" t="str">
        <x:v>Production-ready</x:v>
      </x:c>
      <x:c r="O284" s="43" t="n">
        <x:v>0.99</x:v>
      </x:c>
      <x:c r="P284" s="26" t="str">
        <x:v>Use for card type/supertype/subtype intent, not for art or rules-text mentions.</x:v>
      </x:c>
      <x:c r="Q284" s="26" t="str">
        <x:v>https://scryfall.com/docs/syntax</x:v>
      </x:c>
      <x:c r="R284" s="26" t="str">
        <x:v>2026-08-21</x:v>
      </x:c>
    </x:row>
    <x:row r="285">
      <x:c r="A285" s="26" t="str">
        <x:v>CreatureTypes!A281</x:v>
      </x:c>
      <x:c r="B285" s="26" t="str">
        <x:v>Creature Type</x:v>
      </x:c>
      <x:c r="C285" s="26" t="str">
        <x:v>Spider</x:v>
      </x:c>
      <x:c r="D285" s="26" t="str">
        <x:v>Type/subtype</x:v>
      </x:c>
      <x:c r="E285" s="26"/>
      <x:c r="F285" s="26" t="str">
        <x:v>t:"Spider"</x:v>
      </x:c>
      <x:c r="G285" s="26" t="str">
        <x:v>High</x:v>
      </x:c>
      <x:c r="H285" s="26" t="str">
        <x:v>Native taxonomy</x:v>
      </x:c>
      <x:c r="I285" s="26" t="str">
        <x:v>type:</x:v>
      </x:c>
      <x:c r="J285" s="26" t="str">
        <x:v>t:"Spider"</x:v>
      </x:c>
      <x:c r="K285" s="26" t="str"/>
      <x:c r="L285" s="26" t="str">
        <x:v>spider</x:v>
      </x:c>
      <x:c r="M285" s="26" t="str">
        <x:v>Translate directly</x:v>
      </x:c>
      <x:c r="N285" s="26" t="str">
        <x:v>Production-ready</x:v>
      </x:c>
      <x:c r="O285" s="43" t="n">
        <x:v>0.99</x:v>
      </x:c>
      <x:c r="P285" s="26" t="str">
        <x:v>Use for card type/supertype/subtype intent, not for art or rules-text mentions.</x:v>
      </x:c>
      <x:c r="Q285" s="26" t="str">
        <x:v>https://scryfall.com/docs/syntax</x:v>
      </x:c>
      <x:c r="R285" s="26" t="str">
        <x:v>2026-08-21</x:v>
      </x:c>
    </x:row>
    <x:row r="286">
      <x:c r="A286" s="26" t="str">
        <x:v>CreatureTypes!A282</x:v>
      </x:c>
      <x:c r="B286" s="26" t="str">
        <x:v>Creature Type</x:v>
      </x:c>
      <x:c r="C286" s="26" t="str">
        <x:v>Spike</x:v>
      </x:c>
      <x:c r="D286" s="26" t="str">
        <x:v>Type/subtype</x:v>
      </x:c>
      <x:c r="E286" s="26"/>
      <x:c r="F286" s="26" t="str">
        <x:v>t:"Spike"</x:v>
      </x:c>
      <x:c r="G286" s="26" t="str">
        <x:v>High</x:v>
      </x:c>
      <x:c r="H286" s="26" t="str">
        <x:v>Native taxonomy</x:v>
      </x:c>
      <x:c r="I286" s="26" t="str">
        <x:v>type:</x:v>
      </x:c>
      <x:c r="J286" s="26" t="str">
        <x:v>t:"Spike"</x:v>
      </x:c>
      <x:c r="K286" s="26" t="str"/>
      <x:c r="L286" s="26" t="str">
        <x:v>spike</x:v>
      </x:c>
      <x:c r="M286" s="26" t="str">
        <x:v>Translate directly</x:v>
      </x:c>
      <x:c r="N286" s="26" t="str">
        <x:v>Production-ready</x:v>
      </x:c>
      <x:c r="O286" s="43" t="n">
        <x:v>0.99</x:v>
      </x:c>
      <x:c r="P286" s="26" t="str">
        <x:v>Use for card type/supertype/subtype intent, not for art or rules-text mentions.</x:v>
      </x:c>
      <x:c r="Q286" s="26" t="str">
        <x:v>https://scryfall.com/docs/syntax</x:v>
      </x:c>
      <x:c r="R286" s="26" t="str">
        <x:v>2026-08-21</x:v>
      </x:c>
    </x:row>
    <x:row r="287">
      <x:c r="A287" s="26" t="str">
        <x:v>CreatureTypes!A283</x:v>
      </x:c>
      <x:c r="B287" s="26" t="str">
        <x:v>Creature Type</x:v>
      </x:c>
      <x:c r="C287" s="26" t="str">
        <x:v>Spirit</x:v>
      </x:c>
      <x:c r="D287" s="26" t="str">
        <x:v>Type/subtype</x:v>
      </x:c>
      <x:c r="E287" s="26"/>
      <x:c r="F287" s="26" t="str">
        <x:v>t:"Spirit"</x:v>
      </x:c>
      <x:c r="G287" s="26" t="str">
        <x:v>High</x:v>
      </x:c>
      <x:c r="H287" s="26" t="str">
        <x:v>Native taxonomy</x:v>
      </x:c>
      <x:c r="I287" s="26" t="str">
        <x:v>type:</x:v>
      </x:c>
      <x:c r="J287" s="26" t="str">
        <x:v>t:"Spirit"</x:v>
      </x:c>
      <x:c r="K287" s="26" t="str"/>
      <x:c r="L287" s="26" t="str">
        <x:v>spirit</x:v>
      </x:c>
      <x:c r="M287" s="26" t="str">
        <x:v>Translate directly</x:v>
      </x:c>
      <x:c r="N287" s="26" t="str">
        <x:v>Production-ready</x:v>
      </x:c>
      <x:c r="O287" s="43" t="n">
        <x:v>0.99</x:v>
      </x:c>
      <x:c r="P287" s="26" t="str">
        <x:v>Use for card type/supertype/subtype intent, not for art or rules-text mentions.</x:v>
      </x:c>
      <x:c r="Q287" s="26" t="str">
        <x:v>https://scryfall.com/docs/syntax</x:v>
      </x:c>
      <x:c r="R287" s="26" t="str">
        <x:v>2026-08-21</x:v>
      </x:c>
    </x:row>
    <x:row r="288">
      <x:c r="A288" s="26" t="str">
        <x:v>CreatureTypes!A284</x:v>
      </x:c>
      <x:c r="B288" s="26" t="str">
        <x:v>Creature Type</x:v>
      </x:c>
      <x:c r="C288" s="26" t="str">
        <x:v>Splinter</x:v>
      </x:c>
      <x:c r="D288" s="26" t="str">
        <x:v>Type/subtype</x:v>
      </x:c>
      <x:c r="E288" s="26"/>
      <x:c r="F288" s="26" t="str">
        <x:v>t:"Splinter"</x:v>
      </x:c>
      <x:c r="G288" s="26" t="str">
        <x:v>High</x:v>
      </x:c>
      <x:c r="H288" s="26" t="str">
        <x:v>Native taxonomy</x:v>
      </x:c>
      <x:c r="I288" s="26" t="str">
        <x:v>type:</x:v>
      </x:c>
      <x:c r="J288" s="26" t="str">
        <x:v>t:"Splinter"</x:v>
      </x:c>
      <x:c r="K288" s="26" t="str"/>
      <x:c r="L288" s="26" t="str">
        <x:v>splinter</x:v>
      </x:c>
      <x:c r="M288" s="26" t="str">
        <x:v>Translate directly</x:v>
      </x:c>
      <x:c r="N288" s="26" t="str">
        <x:v>Production-ready</x:v>
      </x:c>
      <x:c r="O288" s="43" t="n">
        <x:v>0.99</x:v>
      </x:c>
      <x:c r="P288" s="26" t="str">
        <x:v>Use for card type/supertype/subtype intent, not for art or rules-text mentions.</x:v>
      </x:c>
      <x:c r="Q288" s="26" t="str">
        <x:v>https://scryfall.com/docs/syntax</x:v>
      </x:c>
      <x:c r="R288" s="26" t="str">
        <x:v>2026-08-21</x:v>
      </x:c>
    </x:row>
    <x:row r="289">
      <x:c r="A289" s="26" t="str">
        <x:v>CreatureTypes!A285</x:v>
      </x:c>
      <x:c r="B289" s="26" t="str">
        <x:v>Creature Type</x:v>
      </x:c>
      <x:c r="C289" s="26" t="str">
        <x:v>Sponge</x:v>
      </x:c>
      <x:c r="D289" s="26" t="str">
        <x:v>Type/subtype</x:v>
      </x:c>
      <x:c r="E289" s="26"/>
      <x:c r="F289" s="26" t="str">
        <x:v>t:"Sponge"</x:v>
      </x:c>
      <x:c r="G289" s="26" t="str">
        <x:v>High</x:v>
      </x:c>
      <x:c r="H289" s="26" t="str">
        <x:v>Native taxonomy</x:v>
      </x:c>
      <x:c r="I289" s="26" t="str">
        <x:v>type:</x:v>
      </x:c>
      <x:c r="J289" s="26" t="str">
        <x:v>t:"Sponge"</x:v>
      </x:c>
      <x:c r="K289" s="26" t="str"/>
      <x:c r="L289" s="26" t="str">
        <x:v>sponge</x:v>
      </x:c>
      <x:c r="M289" s="26" t="str">
        <x:v>Translate directly</x:v>
      </x:c>
      <x:c r="N289" s="26" t="str">
        <x:v>Production-ready</x:v>
      </x:c>
      <x:c r="O289" s="43" t="n">
        <x:v>0.99</x:v>
      </x:c>
      <x:c r="P289" s="26" t="str">
        <x:v>Use for card type/supertype/subtype intent, not for art or rules-text mentions.</x:v>
      </x:c>
      <x:c r="Q289" s="26" t="str">
        <x:v>https://scryfall.com/docs/syntax</x:v>
      </x:c>
      <x:c r="R289" s="26" t="str">
        <x:v>2026-08-21</x:v>
      </x:c>
    </x:row>
    <x:row r="290">
      <x:c r="A290" s="26" t="str">
        <x:v>CreatureTypes!A286</x:v>
      </x:c>
      <x:c r="B290" s="26" t="str">
        <x:v>Creature Type</x:v>
      </x:c>
      <x:c r="C290" s="26" t="str">
        <x:v>Spy</x:v>
      </x:c>
      <x:c r="D290" s="26" t="str">
        <x:v>Type/subtype</x:v>
      </x:c>
      <x:c r="E290" s="26"/>
      <x:c r="F290" s="26" t="str">
        <x:v>t:"Spy"</x:v>
      </x:c>
      <x:c r="G290" s="26" t="str">
        <x:v>High</x:v>
      </x:c>
      <x:c r="H290" s="26" t="str">
        <x:v>Native taxonomy</x:v>
      </x:c>
      <x:c r="I290" s="26" t="str">
        <x:v>type:</x:v>
      </x:c>
      <x:c r="J290" s="26" t="str">
        <x:v>t:"Spy"</x:v>
      </x:c>
      <x:c r="K290" s="26" t="str"/>
      <x:c r="L290" s="26" t="str">
        <x:v>spy</x:v>
      </x:c>
      <x:c r="M290" s="26" t="str">
        <x:v>Translate directly</x:v>
      </x:c>
      <x:c r="N290" s="26" t="str">
        <x:v>Production-ready</x:v>
      </x:c>
      <x:c r="O290" s="43" t="n">
        <x:v>0.99</x:v>
      </x:c>
      <x:c r="P290" s="26" t="str">
        <x:v>Use for card type/supertype/subtype intent, not for art or rules-text mentions.</x:v>
      </x:c>
      <x:c r="Q290" s="26" t="str">
        <x:v>https://scryfall.com/docs/syntax</x:v>
      </x:c>
      <x:c r="R290" s="26" t="str">
        <x:v>2026-08-21</x:v>
      </x:c>
    </x:row>
    <x:row r="291">
      <x:c r="A291" s="26" t="str">
        <x:v>CreatureTypes!A287</x:v>
      </x:c>
      <x:c r="B291" s="26" t="str">
        <x:v>Creature Type</x:v>
      </x:c>
      <x:c r="C291" s="26" t="str">
        <x:v>Squid</x:v>
      </x:c>
      <x:c r="D291" s="26" t="str">
        <x:v>Type/subtype</x:v>
      </x:c>
      <x:c r="E291" s="26"/>
      <x:c r="F291" s="26" t="str">
        <x:v>t:"Squid"</x:v>
      </x:c>
      <x:c r="G291" s="26" t="str">
        <x:v>High</x:v>
      </x:c>
      <x:c r="H291" s="26" t="str">
        <x:v>Native taxonomy</x:v>
      </x:c>
      <x:c r="I291" s="26" t="str">
        <x:v>type:</x:v>
      </x:c>
      <x:c r="J291" s="26" t="str">
        <x:v>t:"Squid"</x:v>
      </x:c>
      <x:c r="K291" s="26" t="str"/>
      <x:c r="L291" s="26" t="str">
        <x:v>squid</x:v>
      </x:c>
      <x:c r="M291" s="26" t="str">
        <x:v>Translate directly</x:v>
      </x:c>
      <x:c r="N291" s="26" t="str">
        <x:v>Production-ready</x:v>
      </x:c>
      <x:c r="O291" s="43" t="n">
        <x:v>0.99</x:v>
      </x:c>
      <x:c r="P291" s="26" t="str">
        <x:v>Use for card type/supertype/subtype intent, not for art or rules-text mentions.</x:v>
      </x:c>
      <x:c r="Q291" s="26" t="str">
        <x:v>https://scryfall.com/docs/syntax</x:v>
      </x:c>
      <x:c r="R291" s="26" t="str">
        <x:v>2026-08-21</x:v>
      </x:c>
    </x:row>
    <x:row r="292">
      <x:c r="A292" s="26" t="str">
        <x:v>CreatureTypes!A288</x:v>
      </x:c>
      <x:c r="B292" s="26" t="str">
        <x:v>Creature Type</x:v>
      </x:c>
      <x:c r="C292" s="26" t="str">
        <x:v>Squirrel</x:v>
      </x:c>
      <x:c r="D292" s="26" t="str">
        <x:v>Type/subtype</x:v>
      </x:c>
      <x:c r="E292" s="26"/>
      <x:c r="F292" s="26" t="str">
        <x:v>t:"Squirrel"</x:v>
      </x:c>
      <x:c r="G292" s="26" t="str">
        <x:v>High</x:v>
      </x:c>
      <x:c r="H292" s="26" t="str">
        <x:v>Native taxonomy</x:v>
      </x:c>
      <x:c r="I292" s="26" t="str">
        <x:v>type:</x:v>
      </x:c>
      <x:c r="J292" s="26" t="str">
        <x:v>t:"Squirrel"</x:v>
      </x:c>
      <x:c r="K292" s="26" t="str"/>
      <x:c r="L292" s="26" t="str">
        <x:v>squirrel</x:v>
      </x:c>
      <x:c r="M292" s="26" t="str">
        <x:v>Translate directly</x:v>
      </x:c>
      <x:c r="N292" s="26" t="str">
        <x:v>Production-ready</x:v>
      </x:c>
      <x:c r="O292" s="43" t="n">
        <x:v>0.99</x:v>
      </x:c>
      <x:c r="P292" s="26" t="str">
        <x:v>Use for card type/supertype/subtype intent, not for art or rules-text mentions.</x:v>
      </x:c>
      <x:c r="Q292" s="26" t="str">
        <x:v>https://scryfall.com/docs/syntax</x:v>
      </x:c>
      <x:c r="R292" s="26" t="str">
        <x:v>2026-08-21</x:v>
      </x:c>
    </x:row>
    <x:row r="293">
      <x:c r="A293" s="26" t="str">
        <x:v>CreatureTypes!A289</x:v>
      </x:c>
      <x:c r="B293" s="26" t="str">
        <x:v>Creature Type</x:v>
      </x:c>
      <x:c r="C293" s="26" t="str">
        <x:v>Starfish</x:v>
      </x:c>
      <x:c r="D293" s="26" t="str">
        <x:v>Type/subtype</x:v>
      </x:c>
      <x:c r="E293" s="26"/>
      <x:c r="F293" s="26" t="str">
        <x:v>t:"Starfish"</x:v>
      </x:c>
      <x:c r="G293" s="26" t="str">
        <x:v>High</x:v>
      </x:c>
      <x:c r="H293" s="26" t="str">
        <x:v>Native taxonomy</x:v>
      </x:c>
      <x:c r="I293" s="26" t="str">
        <x:v>type:</x:v>
      </x:c>
      <x:c r="J293" s="26" t="str">
        <x:v>t:"Starfish"</x:v>
      </x:c>
      <x:c r="K293" s="26" t="str"/>
      <x:c r="L293" s="26" t="str">
        <x:v>starfish</x:v>
      </x:c>
      <x:c r="M293" s="26" t="str">
        <x:v>Translate directly</x:v>
      </x:c>
      <x:c r="N293" s="26" t="str">
        <x:v>Production-ready</x:v>
      </x:c>
      <x:c r="O293" s="43" t="n">
        <x:v>0.99</x:v>
      </x:c>
      <x:c r="P293" s="26" t="str">
        <x:v>Use for card type/supertype/subtype intent, not for art or rules-text mentions.</x:v>
      </x:c>
      <x:c r="Q293" s="26" t="str">
        <x:v>https://scryfall.com/docs/syntax</x:v>
      </x:c>
      <x:c r="R293" s="26" t="str">
        <x:v>2026-08-21</x:v>
      </x:c>
    </x:row>
    <x:row r="294">
      <x:c r="A294" s="26" t="str">
        <x:v>CreatureTypes!A290</x:v>
      </x:c>
      <x:c r="B294" s="26" t="str">
        <x:v>Creature Type</x:v>
      </x:c>
      <x:c r="C294" s="26" t="str">
        <x:v>Surrakar</x:v>
      </x:c>
      <x:c r="D294" s="26" t="str">
        <x:v>Type/subtype</x:v>
      </x:c>
      <x:c r="E294" s="26"/>
      <x:c r="F294" s="26" t="str">
        <x:v>t:"Surrakar"</x:v>
      </x:c>
      <x:c r="G294" s="26" t="str">
        <x:v>High</x:v>
      </x:c>
      <x:c r="H294" s="26" t="str">
        <x:v>Native taxonomy</x:v>
      </x:c>
      <x:c r="I294" s="26" t="str">
        <x:v>type:</x:v>
      </x:c>
      <x:c r="J294" s="26" t="str">
        <x:v>t:"Surrakar"</x:v>
      </x:c>
      <x:c r="K294" s="26" t="str"/>
      <x:c r="L294" s="26" t="str">
        <x:v>surrakar</x:v>
      </x:c>
      <x:c r="M294" s="26" t="str">
        <x:v>Translate directly</x:v>
      </x:c>
      <x:c r="N294" s="26" t="str">
        <x:v>Production-ready</x:v>
      </x:c>
      <x:c r="O294" s="43" t="n">
        <x:v>0.99</x:v>
      </x:c>
      <x:c r="P294" s="26" t="str">
        <x:v>Use for card type/supertype/subtype intent, not for art or rules-text mentions.</x:v>
      </x:c>
      <x:c r="Q294" s="26" t="str">
        <x:v>https://scryfall.com/docs/syntax</x:v>
      </x:c>
      <x:c r="R294" s="26" t="str">
        <x:v>2026-08-21</x:v>
      </x:c>
    </x:row>
    <x:row r="295">
      <x:c r="A295" s="26" t="str">
        <x:v>CreatureTypes!A291</x:v>
      </x:c>
      <x:c r="B295" s="26" t="str">
        <x:v>Creature Type</x:v>
      </x:c>
      <x:c r="C295" s="26" t="str">
        <x:v>Survivor</x:v>
      </x:c>
      <x:c r="D295" s="26" t="str">
        <x:v>Type/subtype</x:v>
      </x:c>
      <x:c r="E295" s="26"/>
      <x:c r="F295" s="26" t="str">
        <x:v>t:"Survivor"</x:v>
      </x:c>
      <x:c r="G295" s="26" t="str">
        <x:v>High</x:v>
      </x:c>
      <x:c r="H295" s="26" t="str">
        <x:v>Native taxonomy</x:v>
      </x:c>
      <x:c r="I295" s="26" t="str">
        <x:v>type:</x:v>
      </x:c>
      <x:c r="J295" s="26" t="str">
        <x:v>t:"Survivor"</x:v>
      </x:c>
      <x:c r="K295" s="26" t="str"/>
      <x:c r="L295" s="26" t="str">
        <x:v>survivor</x:v>
      </x:c>
      <x:c r="M295" s="26" t="str">
        <x:v>Translate directly</x:v>
      </x:c>
      <x:c r="N295" s="26" t="str">
        <x:v>Production-ready</x:v>
      </x:c>
      <x:c r="O295" s="43" t="n">
        <x:v>0.99</x:v>
      </x:c>
      <x:c r="P295" s="26" t="str">
        <x:v>Use for card type/supertype/subtype intent, not for art or rules-text mentions.</x:v>
      </x:c>
      <x:c r="Q295" s="26" t="str">
        <x:v>https://scryfall.com/docs/syntax</x:v>
      </x:c>
      <x:c r="R295" s="26" t="str">
        <x:v>2026-08-21</x:v>
      </x:c>
    </x:row>
    <x:row r="296">
      <x:c r="A296" s="26" t="str">
        <x:v>CreatureTypes!A292</x:v>
      </x:c>
      <x:c r="B296" s="26" t="str">
        <x:v>Creature Type</x:v>
      </x:c>
      <x:c r="C296" s="26" t="str">
        <x:v>Symbiote</x:v>
      </x:c>
      <x:c r="D296" s="26" t="str">
        <x:v>Type/subtype</x:v>
      </x:c>
      <x:c r="E296" s="26"/>
      <x:c r="F296" s="26" t="str">
        <x:v>t:"Symbiote"</x:v>
      </x:c>
      <x:c r="G296" s="26" t="str">
        <x:v>High</x:v>
      </x:c>
      <x:c r="H296" s="26" t="str">
        <x:v>Native taxonomy</x:v>
      </x:c>
      <x:c r="I296" s="26" t="str">
        <x:v>type:</x:v>
      </x:c>
      <x:c r="J296" s="26" t="str">
        <x:v>t:"Symbiote"</x:v>
      </x:c>
      <x:c r="K296" s="26" t="str"/>
      <x:c r="L296" s="26" t="str">
        <x:v>symbiote</x:v>
      </x:c>
      <x:c r="M296" s="26" t="str">
        <x:v>Translate directly</x:v>
      </x:c>
      <x:c r="N296" s="26" t="str">
        <x:v>Production-ready</x:v>
      </x:c>
      <x:c r="O296" s="43" t="n">
        <x:v>0.99</x:v>
      </x:c>
      <x:c r="P296" s="26" t="str">
        <x:v>Use for card type/supertype/subtype intent, not for art or rules-text mentions.</x:v>
      </x:c>
      <x:c r="Q296" s="26" t="str">
        <x:v>https://scryfall.com/docs/syntax</x:v>
      </x:c>
      <x:c r="R296" s="26" t="str">
        <x:v>2026-08-21</x:v>
      </x:c>
    </x:row>
    <x:row r="297">
      <x:c r="A297" s="26" t="str">
        <x:v>CreatureTypes!A293</x:v>
      </x:c>
      <x:c r="B297" s="26" t="str">
        <x:v>Creature Type</x:v>
      </x:c>
      <x:c r="C297" s="26" t="str">
        <x:v>Synth</x:v>
      </x:c>
      <x:c r="D297" s="26" t="str">
        <x:v>Type/subtype</x:v>
      </x:c>
      <x:c r="E297" s="26"/>
      <x:c r="F297" s="26" t="str">
        <x:v>t:"Synth"</x:v>
      </x:c>
      <x:c r="G297" s="26" t="str">
        <x:v>High</x:v>
      </x:c>
      <x:c r="H297" s="26" t="str">
        <x:v>Native taxonomy</x:v>
      </x:c>
      <x:c r="I297" s="26" t="str">
        <x:v>type:</x:v>
      </x:c>
      <x:c r="J297" s="26" t="str">
        <x:v>t:"Synth"</x:v>
      </x:c>
      <x:c r="K297" s="26" t="str"/>
      <x:c r="L297" s="26" t="str">
        <x:v>synth</x:v>
      </x:c>
      <x:c r="M297" s="26" t="str">
        <x:v>Translate directly</x:v>
      </x:c>
      <x:c r="N297" s="26" t="str">
        <x:v>Production-ready</x:v>
      </x:c>
      <x:c r="O297" s="43" t="n">
        <x:v>0.99</x:v>
      </x:c>
      <x:c r="P297" s="26" t="str">
        <x:v>Use for card type/supertype/subtype intent, not for art or rules-text mentions.</x:v>
      </x:c>
      <x:c r="Q297" s="26" t="str">
        <x:v>https://scryfall.com/docs/syntax</x:v>
      </x:c>
      <x:c r="R297" s="26" t="str">
        <x:v>2026-08-21</x:v>
      </x:c>
    </x:row>
    <x:row r="298">
      <x:c r="A298" s="26" t="str">
        <x:v>CreatureTypes!A294</x:v>
      </x:c>
      <x:c r="B298" s="26" t="str">
        <x:v>Creature Type</x:v>
      </x:c>
      <x:c r="C298" s="26" t="str">
        <x:v>Teddy</x:v>
      </x:c>
      <x:c r="D298" s="26" t="str">
        <x:v>Type/subtype</x:v>
      </x:c>
      <x:c r="E298" s="26"/>
      <x:c r="F298" s="26" t="str">
        <x:v>t:"Teddy"</x:v>
      </x:c>
      <x:c r="G298" s="26" t="str">
        <x:v>High</x:v>
      </x:c>
      <x:c r="H298" s="26" t="str">
        <x:v>Native taxonomy</x:v>
      </x:c>
      <x:c r="I298" s="26" t="str">
        <x:v>type:</x:v>
      </x:c>
      <x:c r="J298" s="26" t="str">
        <x:v>t:"Teddy"</x:v>
      </x:c>
      <x:c r="K298" s="26" t="str"/>
      <x:c r="L298" s="26" t="str">
        <x:v>teddy</x:v>
      </x:c>
      <x:c r="M298" s="26" t="str">
        <x:v>Translate directly</x:v>
      </x:c>
      <x:c r="N298" s="26" t="str">
        <x:v>Production-ready</x:v>
      </x:c>
      <x:c r="O298" s="43" t="n">
        <x:v>0.99</x:v>
      </x:c>
      <x:c r="P298" s="26" t="str">
        <x:v>Use for card type/supertype/subtype intent, not for art or rules-text mentions.</x:v>
      </x:c>
      <x:c r="Q298" s="26" t="str">
        <x:v>https://scryfall.com/docs/syntax</x:v>
      </x:c>
      <x:c r="R298" s="26" t="str">
        <x:v>2026-08-21</x:v>
      </x:c>
    </x:row>
    <x:row r="299">
      <x:c r="A299" s="26" t="str">
        <x:v>CreatureTypes!A295</x:v>
      </x:c>
      <x:c r="B299" s="26" t="str">
        <x:v>Creature Type</x:v>
      </x:c>
      <x:c r="C299" s="26" t="str">
        <x:v>Tentacle</x:v>
      </x:c>
      <x:c r="D299" s="26" t="str">
        <x:v>Type/subtype</x:v>
      </x:c>
      <x:c r="E299" s="26"/>
      <x:c r="F299" s="26" t="str">
        <x:v>t:"Tentacle"</x:v>
      </x:c>
      <x:c r="G299" s="26" t="str">
        <x:v>High</x:v>
      </x:c>
      <x:c r="H299" s="26" t="str">
        <x:v>Native taxonomy</x:v>
      </x:c>
      <x:c r="I299" s="26" t="str">
        <x:v>type:</x:v>
      </x:c>
      <x:c r="J299" s="26" t="str">
        <x:v>t:"Tentacle"</x:v>
      </x:c>
      <x:c r="K299" s="26" t="str"/>
      <x:c r="L299" s="26" t="str">
        <x:v>tentacle</x:v>
      </x:c>
      <x:c r="M299" s="26" t="str">
        <x:v>Translate directly</x:v>
      </x:c>
      <x:c r="N299" s="26" t="str">
        <x:v>Production-ready</x:v>
      </x:c>
      <x:c r="O299" s="43" t="n">
        <x:v>0.99</x:v>
      </x:c>
      <x:c r="P299" s="26" t="str">
        <x:v>Use for card type/supertype/subtype intent, not for art or rules-text mentions.</x:v>
      </x:c>
      <x:c r="Q299" s="26" t="str">
        <x:v>https://scryfall.com/docs/syntax</x:v>
      </x:c>
      <x:c r="R299" s="26" t="str">
        <x:v>2026-08-21</x:v>
      </x:c>
    </x:row>
    <x:row r="300">
      <x:c r="A300" s="26" t="str">
        <x:v>CreatureTypes!A296</x:v>
      </x:c>
      <x:c r="B300" s="26" t="str">
        <x:v>Creature Type</x:v>
      </x:c>
      <x:c r="C300" s="26" t="str">
        <x:v>Tetravite</x:v>
      </x:c>
      <x:c r="D300" s="26" t="str">
        <x:v>Type/subtype</x:v>
      </x:c>
      <x:c r="E300" s="26"/>
      <x:c r="F300" s="26" t="str">
        <x:v>t:"Tetravite"</x:v>
      </x:c>
      <x:c r="G300" s="26" t="str">
        <x:v>High</x:v>
      </x:c>
      <x:c r="H300" s="26" t="str">
        <x:v>Native taxonomy</x:v>
      </x:c>
      <x:c r="I300" s="26" t="str">
        <x:v>type:</x:v>
      </x:c>
      <x:c r="J300" s="26" t="str">
        <x:v>t:"Tetravite"</x:v>
      </x:c>
      <x:c r="K300" s="26" t="str"/>
      <x:c r="L300" s="26" t="str">
        <x:v>tetravite</x:v>
      </x:c>
      <x:c r="M300" s="26" t="str">
        <x:v>Translate directly</x:v>
      </x:c>
      <x:c r="N300" s="26" t="str">
        <x:v>Production-ready</x:v>
      </x:c>
      <x:c r="O300" s="43" t="n">
        <x:v>0.99</x:v>
      </x:c>
      <x:c r="P300" s="26" t="str">
        <x:v>Use for card type/supertype/subtype intent, not for art or rules-text mentions.</x:v>
      </x:c>
      <x:c r="Q300" s="26" t="str">
        <x:v>https://scryfall.com/docs/syntax</x:v>
      </x:c>
      <x:c r="R300" s="26" t="str">
        <x:v>2026-08-21</x:v>
      </x:c>
    </x:row>
    <x:row r="301">
      <x:c r="A301" s="26" t="str">
        <x:v>CreatureTypes!A297</x:v>
      </x:c>
      <x:c r="B301" s="26" t="str">
        <x:v>Creature Type</x:v>
      </x:c>
      <x:c r="C301" s="26" t="str">
        <x:v>Thalakos</x:v>
      </x:c>
      <x:c r="D301" s="26" t="str">
        <x:v>Type/subtype</x:v>
      </x:c>
      <x:c r="E301" s="26"/>
      <x:c r="F301" s="26" t="str">
        <x:v>t:"Thalakos"</x:v>
      </x:c>
      <x:c r="G301" s="26" t="str">
        <x:v>High</x:v>
      </x:c>
      <x:c r="H301" s="26" t="str">
        <x:v>Native taxonomy</x:v>
      </x:c>
      <x:c r="I301" s="26" t="str">
        <x:v>type:</x:v>
      </x:c>
      <x:c r="J301" s="26" t="str">
        <x:v>t:"Thalakos"</x:v>
      </x:c>
      <x:c r="K301" s="26" t="str"/>
      <x:c r="L301" s="26" t="str">
        <x:v>thalakos</x:v>
      </x:c>
      <x:c r="M301" s="26" t="str">
        <x:v>Translate directly</x:v>
      </x:c>
      <x:c r="N301" s="26" t="str">
        <x:v>Production-ready</x:v>
      </x:c>
      <x:c r="O301" s="43" t="n">
        <x:v>0.99</x:v>
      </x:c>
      <x:c r="P301" s="26" t="str">
        <x:v>Use for card type/supertype/subtype intent, not for art or rules-text mentions.</x:v>
      </x:c>
      <x:c r="Q301" s="26" t="str">
        <x:v>https://scryfall.com/docs/syntax</x:v>
      </x:c>
      <x:c r="R301" s="26" t="str">
        <x:v>2026-08-21</x:v>
      </x:c>
    </x:row>
    <x:row r="302">
      <x:c r="A302" s="26" t="str">
        <x:v>CreatureTypes!A298</x:v>
      </x:c>
      <x:c r="B302" s="26" t="str">
        <x:v>Creature Type</x:v>
      </x:c>
      <x:c r="C302" s="26" t="str">
        <x:v>Thopter</x:v>
      </x:c>
      <x:c r="D302" s="26" t="str">
        <x:v>Type/subtype</x:v>
      </x:c>
      <x:c r="E302" s="26"/>
      <x:c r="F302" s="26" t="str">
        <x:v>t:"Thopter"</x:v>
      </x:c>
      <x:c r="G302" s="26" t="str">
        <x:v>High</x:v>
      </x:c>
      <x:c r="H302" s="26" t="str">
        <x:v>Native taxonomy</x:v>
      </x:c>
      <x:c r="I302" s="26" t="str">
        <x:v>type:</x:v>
      </x:c>
      <x:c r="J302" s="26" t="str">
        <x:v>t:"Thopter"</x:v>
      </x:c>
      <x:c r="K302" s="26" t="str"/>
      <x:c r="L302" s="26" t="str">
        <x:v>thopter</x:v>
      </x:c>
      <x:c r="M302" s="26" t="str">
        <x:v>Translate directly</x:v>
      </x:c>
      <x:c r="N302" s="26" t="str">
        <x:v>Production-ready</x:v>
      </x:c>
      <x:c r="O302" s="43" t="n">
        <x:v>0.99</x:v>
      </x:c>
      <x:c r="P302" s="26" t="str">
        <x:v>Use for card type/supertype/subtype intent, not for art or rules-text mentions.</x:v>
      </x:c>
      <x:c r="Q302" s="26" t="str">
        <x:v>https://scryfall.com/docs/syntax</x:v>
      </x:c>
      <x:c r="R302" s="26" t="str">
        <x:v>2026-08-21</x:v>
      </x:c>
    </x:row>
    <x:row r="303">
      <x:c r="A303" s="26" t="str">
        <x:v>CreatureTypes!A299</x:v>
      </x:c>
      <x:c r="B303" s="26" t="str">
        <x:v>Creature Type</x:v>
      </x:c>
      <x:c r="C303" s="26" t="str">
        <x:v>Thrull</x:v>
      </x:c>
      <x:c r="D303" s="26" t="str">
        <x:v>Type/subtype</x:v>
      </x:c>
      <x:c r="E303" s="26"/>
      <x:c r="F303" s="26" t="str">
        <x:v>t:"Thrull"</x:v>
      </x:c>
      <x:c r="G303" s="26" t="str">
        <x:v>High</x:v>
      </x:c>
      <x:c r="H303" s="26" t="str">
        <x:v>Native taxonomy</x:v>
      </x:c>
      <x:c r="I303" s="26" t="str">
        <x:v>type:</x:v>
      </x:c>
      <x:c r="J303" s="26" t="str">
        <x:v>t:"Thrull"</x:v>
      </x:c>
      <x:c r="K303" s="26" t="str"/>
      <x:c r="L303" s="26" t="str">
        <x:v>thrull</x:v>
      </x:c>
      <x:c r="M303" s="26" t="str">
        <x:v>Translate directly</x:v>
      </x:c>
      <x:c r="N303" s="26" t="str">
        <x:v>Production-ready</x:v>
      </x:c>
      <x:c r="O303" s="43" t="n">
        <x:v>0.99</x:v>
      </x:c>
      <x:c r="P303" s="26" t="str">
        <x:v>Use for card type/supertype/subtype intent, not for art or rules-text mentions.</x:v>
      </x:c>
      <x:c r="Q303" s="26" t="str">
        <x:v>https://scryfall.com/docs/syntax</x:v>
      </x:c>
      <x:c r="R303" s="26" t="str">
        <x:v>2026-08-21</x:v>
      </x:c>
    </x:row>
    <x:row r="304">
      <x:c r="A304" s="26" t="str">
        <x:v>CreatureTypes!A300</x:v>
      </x:c>
      <x:c r="B304" s="26" t="str">
        <x:v>Creature Type</x:v>
      </x:c>
      <x:c r="C304" s="26" t="str">
        <x:v>Tiefling</x:v>
      </x:c>
      <x:c r="D304" s="26" t="str">
        <x:v>Type/subtype</x:v>
      </x:c>
      <x:c r="E304" s="26"/>
      <x:c r="F304" s="26" t="str">
        <x:v>t:"Tiefling"</x:v>
      </x:c>
      <x:c r="G304" s="26" t="str">
        <x:v>High</x:v>
      </x:c>
      <x:c r="H304" s="26" t="str">
        <x:v>Native taxonomy</x:v>
      </x:c>
      <x:c r="I304" s="26" t="str">
        <x:v>type:</x:v>
      </x:c>
      <x:c r="J304" s="26" t="str">
        <x:v>t:"Tiefling"</x:v>
      </x:c>
      <x:c r="K304" s="26" t="str"/>
      <x:c r="L304" s="26" t="str">
        <x:v>tiefling</x:v>
      </x:c>
      <x:c r="M304" s="26" t="str">
        <x:v>Translate directly</x:v>
      </x:c>
      <x:c r="N304" s="26" t="str">
        <x:v>Production-ready</x:v>
      </x:c>
      <x:c r="O304" s="43" t="n">
        <x:v>0.99</x:v>
      </x:c>
      <x:c r="P304" s="26" t="str">
        <x:v>Use for card type/supertype/subtype intent, not for art or rules-text mentions.</x:v>
      </x:c>
      <x:c r="Q304" s="26" t="str">
        <x:v>https://scryfall.com/docs/syntax</x:v>
      </x:c>
      <x:c r="R304" s="26" t="str">
        <x:v>2026-08-21</x:v>
      </x:c>
    </x:row>
    <x:row r="305">
      <x:c r="A305" s="26" t="str">
        <x:v>CreatureTypes!A301</x:v>
      </x:c>
      <x:c r="B305" s="26" t="str">
        <x:v>Creature Type</x:v>
      </x:c>
      <x:c r="C305" s="26" t="str">
        <x:v>Time Lord</x:v>
      </x:c>
      <x:c r="D305" s="26" t="str">
        <x:v>Type/subtype</x:v>
      </x:c>
      <x:c r="E305" s="26"/>
      <x:c r="F305" s="26" t="str">
        <x:v>t:"Time Lord"</x:v>
      </x:c>
      <x:c r="G305" s="26" t="str">
        <x:v>High</x:v>
      </x:c>
      <x:c r="H305" s="26" t="str">
        <x:v>Native taxonomy</x:v>
      </x:c>
      <x:c r="I305" s="26" t="str">
        <x:v>type:</x:v>
      </x:c>
      <x:c r="J305" s="26" t="str">
        <x:v>t:"Time Lord"</x:v>
      </x:c>
      <x:c r="K305" s="26" t="str"/>
      <x:c r="L305" s="26" t="str">
        <x:v>time lord</x:v>
      </x:c>
      <x:c r="M305" s="26" t="str">
        <x:v>Translate directly</x:v>
      </x:c>
      <x:c r="N305" s="26" t="str">
        <x:v>Production-ready</x:v>
      </x:c>
      <x:c r="O305" s="43" t="n">
        <x:v>0.99</x:v>
      </x:c>
      <x:c r="P305" s="26" t="str">
        <x:v>Use for card type/supertype/subtype intent, not for art or rules-text mentions.</x:v>
      </x:c>
      <x:c r="Q305" s="26" t="str">
        <x:v>https://scryfall.com/docs/syntax</x:v>
      </x:c>
      <x:c r="R305" s="26" t="str">
        <x:v>2026-08-21</x:v>
      </x:c>
    </x:row>
    <x:row r="306">
      <x:c r="A306" s="26" t="str">
        <x:v>CreatureTypes!A302</x:v>
      </x:c>
      <x:c r="B306" s="26" t="str">
        <x:v>Creature Type</x:v>
      </x:c>
      <x:c r="C306" s="26" t="str">
        <x:v>Toy</x:v>
      </x:c>
      <x:c r="D306" s="26" t="str">
        <x:v>Type/subtype</x:v>
      </x:c>
      <x:c r="E306" s="26"/>
      <x:c r="F306" s="26" t="str">
        <x:v>t:"Toy"</x:v>
      </x:c>
      <x:c r="G306" s="26" t="str">
        <x:v>High</x:v>
      </x:c>
      <x:c r="H306" s="26" t="str">
        <x:v>Native taxonomy</x:v>
      </x:c>
      <x:c r="I306" s="26" t="str">
        <x:v>type:</x:v>
      </x:c>
      <x:c r="J306" s="26" t="str">
        <x:v>t:"Toy"</x:v>
      </x:c>
      <x:c r="K306" s="26" t="str"/>
      <x:c r="L306" s="26" t="str">
        <x:v>toy</x:v>
      </x:c>
      <x:c r="M306" s="26" t="str">
        <x:v>Translate directly</x:v>
      </x:c>
      <x:c r="N306" s="26" t="str">
        <x:v>Production-ready</x:v>
      </x:c>
      <x:c r="O306" s="43" t="n">
        <x:v>0.99</x:v>
      </x:c>
      <x:c r="P306" s="26" t="str">
        <x:v>Use for card type/supertype/subtype intent, not for art or rules-text mentions.</x:v>
      </x:c>
      <x:c r="Q306" s="26" t="str">
        <x:v>https://scryfall.com/docs/syntax</x:v>
      </x:c>
      <x:c r="R306" s="26" t="str">
        <x:v>2026-08-21</x:v>
      </x:c>
    </x:row>
    <x:row r="307">
      <x:c r="A307" s="26" t="str">
        <x:v>CreatureTypes!A303</x:v>
      </x:c>
      <x:c r="B307" s="26" t="str">
        <x:v>Creature Type</x:v>
      </x:c>
      <x:c r="C307" s="26" t="str">
        <x:v>Treefolk</x:v>
      </x:c>
      <x:c r="D307" s="26" t="str">
        <x:v>Type/subtype</x:v>
      </x:c>
      <x:c r="E307" s="26"/>
      <x:c r="F307" s="26" t="str">
        <x:v>t:"Treefolk"</x:v>
      </x:c>
      <x:c r="G307" s="26" t="str">
        <x:v>High</x:v>
      </x:c>
      <x:c r="H307" s="26" t="str">
        <x:v>Native taxonomy</x:v>
      </x:c>
      <x:c r="I307" s="26" t="str">
        <x:v>type:</x:v>
      </x:c>
      <x:c r="J307" s="26" t="str">
        <x:v>t:"Treefolk"</x:v>
      </x:c>
      <x:c r="K307" s="26" t="str"/>
      <x:c r="L307" s="26" t="str">
        <x:v>treefolk</x:v>
      </x:c>
      <x:c r="M307" s="26" t="str">
        <x:v>Translate directly</x:v>
      </x:c>
      <x:c r="N307" s="26" t="str">
        <x:v>Production-ready</x:v>
      </x:c>
      <x:c r="O307" s="43" t="n">
        <x:v>0.99</x:v>
      </x:c>
      <x:c r="P307" s="26" t="str">
        <x:v>Use for card type/supertype/subtype intent, not for art or rules-text mentions.</x:v>
      </x:c>
      <x:c r="Q307" s="26" t="str">
        <x:v>https://scryfall.com/docs/syntax</x:v>
      </x:c>
      <x:c r="R307" s="26" t="str">
        <x:v>2026-08-21</x:v>
      </x:c>
    </x:row>
    <x:row r="308">
      <x:c r="A308" s="26" t="str">
        <x:v>CreatureTypes!A304</x:v>
      </x:c>
      <x:c r="B308" s="26" t="str">
        <x:v>Creature Type</x:v>
      </x:c>
      <x:c r="C308" s="26" t="str">
        <x:v>Trilobite</x:v>
      </x:c>
      <x:c r="D308" s="26" t="str">
        <x:v>Type/subtype</x:v>
      </x:c>
      <x:c r="E308" s="26"/>
      <x:c r="F308" s="26" t="str">
        <x:v>t:"Trilobite"</x:v>
      </x:c>
      <x:c r="G308" s="26" t="str">
        <x:v>High</x:v>
      </x:c>
      <x:c r="H308" s="26" t="str">
        <x:v>Native taxonomy</x:v>
      </x:c>
      <x:c r="I308" s="26" t="str">
        <x:v>type:</x:v>
      </x:c>
      <x:c r="J308" s="26" t="str">
        <x:v>t:"Trilobite"</x:v>
      </x:c>
      <x:c r="K308" s="26" t="str"/>
      <x:c r="L308" s="26" t="str">
        <x:v>trilobite</x:v>
      </x:c>
      <x:c r="M308" s="26" t="str">
        <x:v>Translate directly</x:v>
      </x:c>
      <x:c r="N308" s="26" t="str">
        <x:v>Production-ready</x:v>
      </x:c>
      <x:c r="O308" s="43" t="n">
        <x:v>0.99</x:v>
      </x:c>
      <x:c r="P308" s="26" t="str">
        <x:v>Use for card type/supertype/subtype intent, not for art or rules-text mentions.</x:v>
      </x:c>
      <x:c r="Q308" s="26" t="str">
        <x:v>https://scryfall.com/docs/syntax</x:v>
      </x:c>
      <x:c r="R308" s="26" t="str">
        <x:v>2026-08-21</x:v>
      </x:c>
    </x:row>
    <x:row r="309">
      <x:c r="A309" s="26" t="str">
        <x:v>CreatureTypes!A305</x:v>
      </x:c>
      <x:c r="B309" s="26" t="str">
        <x:v>Creature Type</x:v>
      </x:c>
      <x:c r="C309" s="26" t="str">
        <x:v>Triskelavite</x:v>
      </x:c>
      <x:c r="D309" s="26" t="str">
        <x:v>Type/subtype</x:v>
      </x:c>
      <x:c r="E309" s="26"/>
      <x:c r="F309" s="26" t="str">
        <x:v>t:"Triskelavite"</x:v>
      </x:c>
      <x:c r="G309" s="26" t="str">
        <x:v>High</x:v>
      </x:c>
      <x:c r="H309" s="26" t="str">
        <x:v>Native taxonomy</x:v>
      </x:c>
      <x:c r="I309" s="26" t="str">
        <x:v>type:</x:v>
      </x:c>
      <x:c r="J309" s="26" t="str">
        <x:v>t:"Triskelavite"</x:v>
      </x:c>
      <x:c r="K309" s="26" t="str"/>
      <x:c r="L309" s="26" t="str">
        <x:v>triskelavite</x:v>
      </x:c>
      <x:c r="M309" s="26" t="str">
        <x:v>Translate directly</x:v>
      </x:c>
      <x:c r="N309" s="26" t="str">
        <x:v>Production-ready</x:v>
      </x:c>
      <x:c r="O309" s="43" t="n">
        <x:v>0.99</x:v>
      </x:c>
      <x:c r="P309" s="26" t="str">
        <x:v>Use for card type/supertype/subtype intent, not for art or rules-text mentions.</x:v>
      </x:c>
      <x:c r="Q309" s="26" t="str">
        <x:v>https://scryfall.com/docs/syntax</x:v>
      </x:c>
      <x:c r="R309" s="26" t="str">
        <x:v>2026-08-21</x:v>
      </x:c>
    </x:row>
    <x:row r="310">
      <x:c r="A310" s="26" t="str">
        <x:v>CreatureTypes!A306</x:v>
      </x:c>
      <x:c r="B310" s="26" t="str">
        <x:v>Creature Type</x:v>
      </x:c>
      <x:c r="C310" s="26" t="str">
        <x:v>Troll</x:v>
      </x:c>
      <x:c r="D310" s="26" t="str">
        <x:v>Type/subtype</x:v>
      </x:c>
      <x:c r="E310" s="26"/>
      <x:c r="F310" s="26" t="str">
        <x:v>t:"Troll"</x:v>
      </x:c>
      <x:c r="G310" s="26" t="str">
        <x:v>High</x:v>
      </x:c>
      <x:c r="H310" s="26" t="str">
        <x:v>Native taxonomy</x:v>
      </x:c>
      <x:c r="I310" s="26" t="str">
        <x:v>type:</x:v>
      </x:c>
      <x:c r="J310" s="26" t="str">
        <x:v>t:"Troll"</x:v>
      </x:c>
      <x:c r="K310" s="26" t="str"/>
      <x:c r="L310" s="26" t="str">
        <x:v>troll</x:v>
      </x:c>
      <x:c r="M310" s="26" t="str">
        <x:v>Translate directly</x:v>
      </x:c>
      <x:c r="N310" s="26" t="str">
        <x:v>Production-ready</x:v>
      </x:c>
      <x:c r="O310" s="43" t="n">
        <x:v>0.99</x:v>
      </x:c>
      <x:c r="P310" s="26" t="str">
        <x:v>Use for card type/supertype/subtype intent, not for art or rules-text mentions.</x:v>
      </x:c>
      <x:c r="Q310" s="26" t="str">
        <x:v>https://scryfall.com/docs/syntax</x:v>
      </x:c>
      <x:c r="R310" s="26" t="str">
        <x:v>2026-08-21</x:v>
      </x:c>
    </x:row>
    <x:row r="311">
      <x:c r="A311" s="26" t="str">
        <x:v>CreatureTypes!A307</x:v>
      </x:c>
      <x:c r="B311" s="26" t="str">
        <x:v>Creature Type</x:v>
      </x:c>
      <x:c r="C311" s="26" t="str">
        <x:v>Turtle</x:v>
      </x:c>
      <x:c r="D311" s="26" t="str">
        <x:v>Type/subtype</x:v>
      </x:c>
      <x:c r="E311" s="26"/>
      <x:c r="F311" s="26" t="str">
        <x:v>t:"Turtle"</x:v>
      </x:c>
      <x:c r="G311" s="26" t="str">
        <x:v>High</x:v>
      </x:c>
      <x:c r="H311" s="26" t="str">
        <x:v>Native taxonomy</x:v>
      </x:c>
      <x:c r="I311" s="26" t="str">
        <x:v>type:</x:v>
      </x:c>
      <x:c r="J311" s="26" t="str">
        <x:v>t:"Turtle"</x:v>
      </x:c>
      <x:c r="K311" s="26" t="str"/>
      <x:c r="L311" s="26" t="str">
        <x:v>turtle</x:v>
      </x:c>
      <x:c r="M311" s="26" t="str">
        <x:v>Translate directly</x:v>
      </x:c>
      <x:c r="N311" s="26" t="str">
        <x:v>Production-ready</x:v>
      </x:c>
      <x:c r="O311" s="43" t="n">
        <x:v>0.99</x:v>
      </x:c>
      <x:c r="P311" s="26" t="str">
        <x:v>Use for card type/supertype/subtype intent, not for art or rules-text mentions.</x:v>
      </x:c>
      <x:c r="Q311" s="26" t="str">
        <x:v>https://scryfall.com/docs/syntax</x:v>
      </x:c>
      <x:c r="R311" s="26" t="str">
        <x:v>2026-08-21</x:v>
      </x:c>
    </x:row>
    <x:row r="312">
      <x:c r="A312" s="26" t="str">
        <x:v>CreatureTypes!A308</x:v>
      </x:c>
      <x:c r="B312" s="26" t="str">
        <x:v>Creature Type</x:v>
      </x:c>
      <x:c r="C312" s="26" t="str">
        <x:v>Tyranid</x:v>
      </x:c>
      <x:c r="D312" s="26" t="str">
        <x:v>Type/subtype</x:v>
      </x:c>
      <x:c r="E312" s="26"/>
      <x:c r="F312" s="26" t="str">
        <x:v>t:"Tyranid"</x:v>
      </x:c>
      <x:c r="G312" s="26" t="str">
        <x:v>High</x:v>
      </x:c>
      <x:c r="H312" s="26" t="str">
        <x:v>Native taxonomy</x:v>
      </x:c>
      <x:c r="I312" s="26" t="str">
        <x:v>type:</x:v>
      </x:c>
      <x:c r="J312" s="26" t="str">
        <x:v>t:"Tyranid"</x:v>
      </x:c>
      <x:c r="K312" s="26" t="str"/>
      <x:c r="L312" s="26" t="str">
        <x:v>tyranid</x:v>
      </x:c>
      <x:c r="M312" s="26" t="str">
        <x:v>Translate directly</x:v>
      </x:c>
      <x:c r="N312" s="26" t="str">
        <x:v>Production-ready</x:v>
      </x:c>
      <x:c r="O312" s="43" t="n">
        <x:v>0.99</x:v>
      </x:c>
      <x:c r="P312" s="26" t="str">
        <x:v>Use for card type/supertype/subtype intent, not for art or rules-text mentions.</x:v>
      </x:c>
      <x:c r="Q312" s="26" t="str">
        <x:v>https://scryfall.com/docs/syntax</x:v>
      </x:c>
      <x:c r="R312" s="26" t="str">
        <x:v>2026-08-21</x:v>
      </x:c>
    </x:row>
    <x:row r="313">
      <x:c r="A313" s="26" t="str">
        <x:v>CreatureTypes!A309</x:v>
      </x:c>
      <x:c r="B313" s="26" t="str">
        <x:v>Creature Type</x:v>
      </x:c>
      <x:c r="C313" s="26" t="str">
        <x:v>Unicorn</x:v>
      </x:c>
      <x:c r="D313" s="26" t="str">
        <x:v>Type/subtype</x:v>
      </x:c>
      <x:c r="E313" s="26"/>
      <x:c r="F313" s="26" t="str">
        <x:v>t:"Unicorn"</x:v>
      </x:c>
      <x:c r="G313" s="26" t="str">
        <x:v>High</x:v>
      </x:c>
      <x:c r="H313" s="26" t="str">
        <x:v>Native taxonomy</x:v>
      </x:c>
      <x:c r="I313" s="26" t="str">
        <x:v>type:</x:v>
      </x:c>
      <x:c r="J313" s="26" t="str">
        <x:v>t:"Unicorn"</x:v>
      </x:c>
      <x:c r="K313" s="26" t="str"/>
      <x:c r="L313" s="26" t="str">
        <x:v>unicorn</x:v>
      </x:c>
      <x:c r="M313" s="26" t="str">
        <x:v>Translate directly</x:v>
      </x:c>
      <x:c r="N313" s="26" t="str">
        <x:v>Production-ready</x:v>
      </x:c>
      <x:c r="O313" s="43" t="n">
        <x:v>0.99</x:v>
      </x:c>
      <x:c r="P313" s="26" t="str">
        <x:v>Use for card type/supertype/subtype intent, not for art or rules-text mentions.</x:v>
      </x:c>
      <x:c r="Q313" s="26" t="str">
        <x:v>https://scryfall.com/docs/syntax</x:v>
      </x:c>
      <x:c r="R313" s="26" t="str">
        <x:v>2026-08-21</x:v>
      </x:c>
    </x:row>
    <x:row r="314">
      <x:c r="A314" s="26" t="str">
        <x:v>CreatureTypes!A310</x:v>
      </x:c>
      <x:c r="B314" s="26" t="str">
        <x:v>Creature Type</x:v>
      </x:c>
      <x:c r="C314" s="26" t="str">
        <x:v>Urzan</x:v>
      </x:c>
      <x:c r="D314" s="26" t="str">
        <x:v>Type/subtype</x:v>
      </x:c>
      <x:c r="E314" s="26"/>
      <x:c r="F314" s="26" t="str">
        <x:v>t:"Urzan"</x:v>
      </x:c>
      <x:c r="G314" s="26" t="str">
        <x:v>High</x:v>
      </x:c>
      <x:c r="H314" s="26" t="str">
        <x:v>Native taxonomy</x:v>
      </x:c>
      <x:c r="I314" s="26" t="str">
        <x:v>type:</x:v>
      </x:c>
      <x:c r="J314" s="26" t="str">
        <x:v>t:"Urzan"</x:v>
      </x:c>
      <x:c r="K314" s="26" t="str"/>
      <x:c r="L314" s="26" t="str">
        <x:v>urzan</x:v>
      </x:c>
      <x:c r="M314" s="26" t="str">
        <x:v>Translate directly</x:v>
      </x:c>
      <x:c r="N314" s="26" t="str">
        <x:v>Production-ready</x:v>
      </x:c>
      <x:c r="O314" s="43" t="n">
        <x:v>0.99</x:v>
      </x:c>
      <x:c r="P314" s="26" t="str">
        <x:v>Use for card type/supertype/subtype intent, not for art or rules-text mentions.</x:v>
      </x:c>
      <x:c r="Q314" s="26" t="str">
        <x:v>https://scryfall.com/docs/syntax</x:v>
      </x:c>
      <x:c r="R314" s="26" t="str">
        <x:v>2026-08-21</x:v>
      </x:c>
    </x:row>
    <x:row r="315">
      <x:c r="A315" s="26" t="str">
        <x:v>CreatureTypes!A311</x:v>
      </x:c>
      <x:c r="B315" s="26" t="str">
        <x:v>Creature Type</x:v>
      </x:c>
      <x:c r="C315" s="26" t="str">
        <x:v>Utrom</x:v>
      </x:c>
      <x:c r="D315" s="26" t="str">
        <x:v>Type/subtype</x:v>
      </x:c>
      <x:c r="E315" s="26"/>
      <x:c r="F315" s="26" t="str">
        <x:v>t:"Utrom"</x:v>
      </x:c>
      <x:c r="G315" s="26" t="str">
        <x:v>High</x:v>
      </x:c>
      <x:c r="H315" s="26" t="str">
        <x:v>Native taxonomy</x:v>
      </x:c>
      <x:c r="I315" s="26" t="str">
        <x:v>type:</x:v>
      </x:c>
      <x:c r="J315" s="26" t="str">
        <x:v>t:"Utrom"</x:v>
      </x:c>
      <x:c r="K315" s="26" t="str"/>
      <x:c r="L315" s="26" t="str">
        <x:v>utrom</x:v>
      </x:c>
      <x:c r="M315" s="26" t="str">
        <x:v>Translate directly</x:v>
      </x:c>
      <x:c r="N315" s="26" t="str">
        <x:v>Production-ready</x:v>
      </x:c>
      <x:c r="O315" s="43" t="n">
        <x:v>0.99</x:v>
      </x:c>
      <x:c r="P315" s="26" t="str">
        <x:v>Use for card type/supertype/subtype intent, not for art or rules-text mentions.</x:v>
      </x:c>
      <x:c r="Q315" s="26" t="str">
        <x:v>https://scryfall.com/docs/syntax</x:v>
      </x:c>
      <x:c r="R315" s="26" t="str">
        <x:v>2026-08-21</x:v>
      </x:c>
    </x:row>
    <x:row r="316">
      <x:c r="A316" s="26" t="str">
        <x:v>CreatureTypes!A312</x:v>
      </x:c>
      <x:c r="B316" s="26" t="str">
        <x:v>Creature Type</x:v>
      </x:c>
      <x:c r="C316" s="26" t="str">
        <x:v>Vampire</x:v>
      </x:c>
      <x:c r="D316" s="26" t="str">
        <x:v>Type/subtype</x:v>
      </x:c>
      <x:c r="E316" s="26"/>
      <x:c r="F316" s="26" t="str">
        <x:v>t:"Vampire"</x:v>
      </x:c>
      <x:c r="G316" s="26" t="str">
        <x:v>High</x:v>
      </x:c>
      <x:c r="H316" s="26" t="str">
        <x:v>Native taxonomy</x:v>
      </x:c>
      <x:c r="I316" s="26" t="str">
        <x:v>type:</x:v>
      </x:c>
      <x:c r="J316" s="26" t="str">
        <x:v>t:"Vampire"</x:v>
      </x:c>
      <x:c r="K316" s="26" t="str"/>
      <x:c r="L316" s="26" t="str">
        <x:v>vampire</x:v>
      </x:c>
      <x:c r="M316" s="26" t="str">
        <x:v>Translate directly</x:v>
      </x:c>
      <x:c r="N316" s="26" t="str">
        <x:v>Production-ready</x:v>
      </x:c>
      <x:c r="O316" s="43" t="n">
        <x:v>0.99</x:v>
      </x:c>
      <x:c r="P316" s="26" t="str">
        <x:v>Use for card type/supertype/subtype intent, not for art or rules-text mentions.</x:v>
      </x:c>
      <x:c r="Q316" s="26" t="str">
        <x:v>https://scryfall.com/docs/syntax</x:v>
      </x:c>
      <x:c r="R316" s="26" t="str">
        <x:v>2026-08-21</x:v>
      </x:c>
    </x:row>
    <x:row r="317">
      <x:c r="A317" s="26" t="str">
        <x:v>CreatureTypes!A313</x:v>
      </x:c>
      <x:c r="B317" s="26" t="str">
        <x:v>Creature Type</x:v>
      </x:c>
      <x:c r="C317" s="26" t="str">
        <x:v>Varmint</x:v>
      </x:c>
      <x:c r="D317" s="26" t="str">
        <x:v>Type/subtype</x:v>
      </x:c>
      <x:c r="E317" s="26"/>
      <x:c r="F317" s="26" t="str">
        <x:v>t:"Varmint"</x:v>
      </x:c>
      <x:c r="G317" s="26" t="str">
        <x:v>High</x:v>
      </x:c>
      <x:c r="H317" s="26" t="str">
        <x:v>Native taxonomy</x:v>
      </x:c>
      <x:c r="I317" s="26" t="str">
        <x:v>type:</x:v>
      </x:c>
      <x:c r="J317" s="26" t="str">
        <x:v>t:"Varmint"</x:v>
      </x:c>
      <x:c r="K317" s="26" t="str"/>
      <x:c r="L317" s="26" t="str">
        <x:v>varmint</x:v>
      </x:c>
      <x:c r="M317" s="26" t="str">
        <x:v>Translate directly</x:v>
      </x:c>
      <x:c r="N317" s="26" t="str">
        <x:v>Production-ready</x:v>
      </x:c>
      <x:c r="O317" s="43" t="n">
        <x:v>0.99</x:v>
      </x:c>
      <x:c r="P317" s="26" t="str">
        <x:v>Use for card type/supertype/subtype intent, not for art or rules-text mentions.</x:v>
      </x:c>
      <x:c r="Q317" s="26" t="str">
        <x:v>https://scryfall.com/docs/syntax</x:v>
      </x:c>
      <x:c r="R317" s="26" t="str">
        <x:v>2026-08-21</x:v>
      </x:c>
    </x:row>
    <x:row r="318">
      <x:c r="A318" s="26" t="str">
        <x:v>CreatureTypes!A314</x:v>
      </x:c>
      <x:c r="B318" s="26" t="str">
        <x:v>Creature Type</x:v>
      </x:c>
      <x:c r="C318" s="26" t="str">
        <x:v>Vedalken</x:v>
      </x:c>
      <x:c r="D318" s="26" t="str">
        <x:v>Type/subtype</x:v>
      </x:c>
      <x:c r="E318" s="26"/>
      <x:c r="F318" s="26" t="str">
        <x:v>t:"Vedalken"</x:v>
      </x:c>
      <x:c r="G318" s="26" t="str">
        <x:v>High</x:v>
      </x:c>
      <x:c r="H318" s="26" t="str">
        <x:v>Native taxonomy</x:v>
      </x:c>
      <x:c r="I318" s="26" t="str">
        <x:v>type:</x:v>
      </x:c>
      <x:c r="J318" s="26" t="str">
        <x:v>t:"Vedalken"</x:v>
      </x:c>
      <x:c r="K318" s="26" t="str"/>
      <x:c r="L318" s="26" t="str">
        <x:v>vedalken</x:v>
      </x:c>
      <x:c r="M318" s="26" t="str">
        <x:v>Translate directly</x:v>
      </x:c>
      <x:c r="N318" s="26" t="str">
        <x:v>Production-ready</x:v>
      </x:c>
      <x:c r="O318" s="43" t="n">
        <x:v>0.99</x:v>
      </x:c>
      <x:c r="P318" s="26" t="str">
        <x:v>Use for card type/supertype/subtype intent, not for art or rules-text mentions.</x:v>
      </x:c>
      <x:c r="Q318" s="26" t="str">
        <x:v>https://scryfall.com/docs/syntax</x:v>
      </x:c>
      <x:c r="R318" s="26" t="str">
        <x:v>2026-08-21</x:v>
      </x:c>
    </x:row>
    <x:row r="319">
      <x:c r="A319" s="26" t="str">
        <x:v>CreatureTypes!A315</x:v>
      </x:c>
      <x:c r="B319" s="26" t="str">
        <x:v>Creature Type</x:v>
      </x:c>
      <x:c r="C319" s="26" t="str">
        <x:v>Villain</x:v>
      </x:c>
      <x:c r="D319" s="26" t="str">
        <x:v>Type/subtype</x:v>
      </x:c>
      <x:c r="E319" s="26"/>
      <x:c r="F319" s="26" t="str">
        <x:v>t:"Villain"</x:v>
      </x:c>
      <x:c r="G319" s="26" t="str">
        <x:v>High</x:v>
      </x:c>
      <x:c r="H319" s="26" t="str">
        <x:v>Native taxonomy</x:v>
      </x:c>
      <x:c r="I319" s="26" t="str">
        <x:v>type:</x:v>
      </x:c>
      <x:c r="J319" s="26" t="str">
        <x:v>t:"Villain"</x:v>
      </x:c>
      <x:c r="K319" s="26" t="str"/>
      <x:c r="L319" s="26" t="str">
        <x:v>villain</x:v>
      </x:c>
      <x:c r="M319" s="26" t="str">
        <x:v>Translate directly</x:v>
      </x:c>
      <x:c r="N319" s="26" t="str">
        <x:v>Production-ready</x:v>
      </x:c>
      <x:c r="O319" s="43" t="n">
        <x:v>0.99</x:v>
      </x:c>
      <x:c r="P319" s="26" t="str">
        <x:v>Use for card type/supertype/subtype intent, not for art or rules-text mentions.</x:v>
      </x:c>
      <x:c r="Q319" s="26" t="str">
        <x:v>https://scryfall.com/docs/syntax</x:v>
      </x:c>
      <x:c r="R319" s="26" t="str">
        <x:v>2026-08-21</x:v>
      </x:c>
    </x:row>
    <x:row r="320">
      <x:c r="A320" s="26" t="str">
        <x:v>CreatureTypes!A316</x:v>
      </x:c>
      <x:c r="B320" s="26" t="str">
        <x:v>Creature Type</x:v>
      </x:c>
      <x:c r="C320" s="26" t="str">
        <x:v>Volver</x:v>
      </x:c>
      <x:c r="D320" s="26" t="str">
        <x:v>Type/subtype</x:v>
      </x:c>
      <x:c r="E320" s="26"/>
      <x:c r="F320" s="26" t="str">
        <x:v>t:"Volver"</x:v>
      </x:c>
      <x:c r="G320" s="26" t="str">
        <x:v>High</x:v>
      </x:c>
      <x:c r="H320" s="26" t="str">
        <x:v>Native taxonomy</x:v>
      </x:c>
      <x:c r="I320" s="26" t="str">
        <x:v>type:</x:v>
      </x:c>
      <x:c r="J320" s="26" t="str">
        <x:v>t:"Volver"</x:v>
      </x:c>
      <x:c r="K320" s="26" t="str"/>
      <x:c r="L320" s="26" t="str">
        <x:v>volver</x:v>
      </x:c>
      <x:c r="M320" s="26" t="str">
        <x:v>Translate directly</x:v>
      </x:c>
      <x:c r="N320" s="26" t="str">
        <x:v>Production-ready</x:v>
      </x:c>
      <x:c r="O320" s="43" t="n">
        <x:v>0.99</x:v>
      </x:c>
      <x:c r="P320" s="26" t="str">
        <x:v>Use for card type/supertype/subtype intent, not for art or rules-text mentions.</x:v>
      </x:c>
      <x:c r="Q320" s="26" t="str">
        <x:v>https://scryfall.com/docs/syntax</x:v>
      </x:c>
      <x:c r="R320" s="26" t="str">
        <x:v>2026-08-21</x:v>
      </x:c>
    </x:row>
    <x:row r="321">
      <x:c r="A321" s="26" t="str">
        <x:v>CreatureTypes!A317</x:v>
      </x:c>
      <x:c r="B321" s="26" t="str">
        <x:v>Creature Type</x:v>
      </x:c>
      <x:c r="C321" s="26" t="str">
        <x:v>Wall</x:v>
      </x:c>
      <x:c r="D321" s="26" t="str">
        <x:v>Type/subtype</x:v>
      </x:c>
      <x:c r="E321" s="26"/>
      <x:c r="F321" s="26" t="str">
        <x:v>t:"Wall"</x:v>
      </x:c>
      <x:c r="G321" s="26" t="str">
        <x:v>High</x:v>
      </x:c>
      <x:c r="H321" s="26" t="str">
        <x:v>Native taxonomy</x:v>
      </x:c>
      <x:c r="I321" s="26" t="str">
        <x:v>type:</x:v>
      </x:c>
      <x:c r="J321" s="26" t="str">
        <x:v>t:"Wall"</x:v>
      </x:c>
      <x:c r="K321" s="26" t="str"/>
      <x:c r="L321" s="26" t="str">
        <x:v>wall</x:v>
      </x:c>
      <x:c r="M321" s="26" t="str">
        <x:v>Translate directly</x:v>
      </x:c>
      <x:c r="N321" s="26" t="str">
        <x:v>Production-ready</x:v>
      </x:c>
      <x:c r="O321" s="43" t="n">
        <x:v>0.99</x:v>
      </x:c>
      <x:c r="P321" s="26" t="str">
        <x:v>Use for card type/supertype/subtype intent, not for art or rules-text mentions.</x:v>
      </x:c>
      <x:c r="Q321" s="26" t="str">
        <x:v>https://scryfall.com/docs/syntax</x:v>
      </x:c>
      <x:c r="R321" s="26" t="str">
        <x:v>2026-08-21</x:v>
      </x:c>
    </x:row>
    <x:row r="322">
      <x:c r="A322" s="26" t="str">
        <x:v>CreatureTypes!A318</x:v>
      </x:c>
      <x:c r="B322" s="26" t="str">
        <x:v>Creature Type</x:v>
      </x:c>
      <x:c r="C322" s="26" t="str">
        <x:v>Walrus</x:v>
      </x:c>
      <x:c r="D322" s="26" t="str">
        <x:v>Type/subtype</x:v>
      </x:c>
      <x:c r="E322" s="26"/>
      <x:c r="F322" s="26" t="str">
        <x:v>t:"Walrus"</x:v>
      </x:c>
      <x:c r="G322" s="26" t="str">
        <x:v>High</x:v>
      </x:c>
      <x:c r="H322" s="26" t="str">
        <x:v>Native taxonomy</x:v>
      </x:c>
      <x:c r="I322" s="26" t="str">
        <x:v>type:</x:v>
      </x:c>
      <x:c r="J322" s="26" t="str">
        <x:v>t:"Walrus"</x:v>
      </x:c>
      <x:c r="K322" s="26" t="str"/>
      <x:c r="L322" s="26" t="str">
        <x:v>walrus</x:v>
      </x:c>
      <x:c r="M322" s="26" t="str">
        <x:v>Translate directly</x:v>
      </x:c>
      <x:c r="N322" s="26" t="str">
        <x:v>Production-ready</x:v>
      </x:c>
      <x:c r="O322" s="43" t="n">
        <x:v>0.99</x:v>
      </x:c>
      <x:c r="P322" s="26" t="str">
        <x:v>Use for card type/supertype/subtype intent, not for art or rules-text mentions.</x:v>
      </x:c>
      <x:c r="Q322" s="26" t="str">
        <x:v>https://scryfall.com/docs/syntax</x:v>
      </x:c>
      <x:c r="R322" s="26" t="str">
        <x:v>2026-08-21</x:v>
      </x:c>
    </x:row>
    <x:row r="323">
      <x:c r="A323" s="26" t="str">
        <x:v>CreatureTypes!A319</x:v>
      </x:c>
      <x:c r="B323" s="26" t="str">
        <x:v>Creature Type</x:v>
      </x:c>
      <x:c r="C323" s="26" t="str">
        <x:v>Warlock</x:v>
      </x:c>
      <x:c r="D323" s="26" t="str">
        <x:v>Type/subtype</x:v>
      </x:c>
      <x:c r="E323" s="26"/>
      <x:c r="F323" s="26" t="str">
        <x:v>t:"Warlock"</x:v>
      </x:c>
      <x:c r="G323" s="26" t="str">
        <x:v>High</x:v>
      </x:c>
      <x:c r="H323" s="26" t="str">
        <x:v>Native taxonomy</x:v>
      </x:c>
      <x:c r="I323" s="26" t="str">
        <x:v>type:</x:v>
      </x:c>
      <x:c r="J323" s="26" t="str">
        <x:v>t:"Warlock"</x:v>
      </x:c>
      <x:c r="K323" s="26" t="str"/>
      <x:c r="L323" s="26" t="str">
        <x:v>warlock</x:v>
      </x:c>
      <x:c r="M323" s="26" t="str">
        <x:v>Translate directly</x:v>
      </x:c>
      <x:c r="N323" s="26" t="str">
        <x:v>Production-ready</x:v>
      </x:c>
      <x:c r="O323" s="43" t="n">
        <x:v>0.99</x:v>
      </x:c>
      <x:c r="P323" s="26" t="str">
        <x:v>Use for card type/supertype/subtype intent, not for art or rules-text mentions.</x:v>
      </x:c>
      <x:c r="Q323" s="26" t="str">
        <x:v>https://scryfall.com/docs/syntax</x:v>
      </x:c>
      <x:c r="R323" s="26" t="str">
        <x:v>2026-08-21</x:v>
      </x:c>
    </x:row>
    <x:row r="324">
      <x:c r="A324" s="26" t="str">
        <x:v>CreatureTypes!A320</x:v>
      </x:c>
      <x:c r="B324" s="26" t="str">
        <x:v>Creature Type</x:v>
      </x:c>
      <x:c r="C324" s="26" t="str">
        <x:v>Warrior</x:v>
      </x:c>
      <x:c r="D324" s="26" t="str">
        <x:v>Type/subtype</x:v>
      </x:c>
      <x:c r="E324" s="26"/>
      <x:c r="F324" s="26" t="str">
        <x:v>t:"Warrior"</x:v>
      </x:c>
      <x:c r="G324" s="26" t="str">
        <x:v>High</x:v>
      </x:c>
      <x:c r="H324" s="26" t="str">
        <x:v>Native taxonomy</x:v>
      </x:c>
      <x:c r="I324" s="26" t="str">
        <x:v>type:</x:v>
      </x:c>
      <x:c r="J324" s="26" t="str">
        <x:v>t:"Warrior"</x:v>
      </x:c>
      <x:c r="K324" s="26" t="str"/>
      <x:c r="L324" s="26" t="str">
        <x:v>warrior</x:v>
      </x:c>
      <x:c r="M324" s="26" t="str">
        <x:v>Translate directly</x:v>
      </x:c>
      <x:c r="N324" s="26" t="str">
        <x:v>Production-ready</x:v>
      </x:c>
      <x:c r="O324" s="43" t="n">
        <x:v>0.99</x:v>
      </x:c>
      <x:c r="P324" s="26" t="str">
        <x:v>Use for card type/supertype/subtype intent, not for art or rules-text mentions.</x:v>
      </x:c>
      <x:c r="Q324" s="26" t="str">
        <x:v>https://scryfall.com/docs/syntax</x:v>
      </x:c>
      <x:c r="R324" s="26" t="str">
        <x:v>2026-08-21</x:v>
      </x:c>
    </x:row>
    <x:row r="325">
      <x:c r="A325" s="26" t="str">
        <x:v>CreatureTypes!A321</x:v>
      </x:c>
      <x:c r="B325" s="26" t="str">
        <x:v>Creature Type</x:v>
      </x:c>
      <x:c r="C325" s="26" t="str">
        <x:v>Weasel</x:v>
      </x:c>
      <x:c r="D325" s="26" t="str">
        <x:v>Type/subtype</x:v>
      </x:c>
      <x:c r="E325" s="26"/>
      <x:c r="F325" s="26" t="str">
        <x:v>t:"Weasel"</x:v>
      </x:c>
      <x:c r="G325" s="26" t="str">
        <x:v>High</x:v>
      </x:c>
      <x:c r="H325" s="26" t="str">
        <x:v>Native taxonomy</x:v>
      </x:c>
      <x:c r="I325" s="26" t="str">
        <x:v>type:</x:v>
      </x:c>
      <x:c r="J325" s="26" t="str">
        <x:v>t:"Weasel"</x:v>
      </x:c>
      <x:c r="K325" s="26" t="str"/>
      <x:c r="L325" s="26" t="str">
        <x:v>weasel</x:v>
      </x:c>
      <x:c r="M325" s="26" t="str">
        <x:v>Translate directly</x:v>
      </x:c>
      <x:c r="N325" s="26" t="str">
        <x:v>Production-ready</x:v>
      </x:c>
      <x:c r="O325" s="43" t="n">
        <x:v>0.99</x:v>
      </x:c>
      <x:c r="P325" s="26" t="str">
        <x:v>Use for card type/supertype/subtype intent, not for art or rules-text mentions.</x:v>
      </x:c>
      <x:c r="Q325" s="26" t="str">
        <x:v>https://scryfall.com/docs/syntax</x:v>
      </x:c>
      <x:c r="R325" s="26" t="str">
        <x:v>2026-08-21</x:v>
      </x:c>
    </x:row>
    <x:row r="326">
      <x:c r="A326" s="26" t="str">
        <x:v>CreatureTypes!A322</x:v>
      </x:c>
      <x:c r="B326" s="26" t="str">
        <x:v>Creature Type</x:v>
      </x:c>
      <x:c r="C326" s="26" t="str">
        <x:v>Weird</x:v>
      </x:c>
      <x:c r="D326" s="26" t="str">
        <x:v>Type/subtype</x:v>
      </x:c>
      <x:c r="E326" s="26"/>
      <x:c r="F326" s="26" t="str">
        <x:v>t:"Weird"</x:v>
      </x:c>
      <x:c r="G326" s="26" t="str">
        <x:v>High</x:v>
      </x:c>
      <x:c r="H326" s="26" t="str">
        <x:v>Native taxonomy</x:v>
      </x:c>
      <x:c r="I326" s="26" t="str">
        <x:v>type:</x:v>
      </x:c>
      <x:c r="J326" s="26" t="str">
        <x:v>t:"Weird"</x:v>
      </x:c>
      <x:c r="K326" s="26" t="str"/>
      <x:c r="L326" s="26" t="str">
        <x:v>weird</x:v>
      </x:c>
      <x:c r="M326" s="26" t="str">
        <x:v>Translate directly</x:v>
      </x:c>
      <x:c r="N326" s="26" t="str">
        <x:v>Production-ready</x:v>
      </x:c>
      <x:c r="O326" s="43" t="n">
        <x:v>0.99</x:v>
      </x:c>
      <x:c r="P326" s="26" t="str">
        <x:v>Use for card type/supertype/subtype intent, not for art or rules-text mentions.</x:v>
      </x:c>
      <x:c r="Q326" s="26" t="str">
        <x:v>https://scryfall.com/docs/syntax</x:v>
      </x:c>
      <x:c r="R326" s="26" t="str">
        <x:v>2026-08-21</x:v>
      </x:c>
    </x:row>
    <x:row r="327">
      <x:c r="A327" s="26" t="str">
        <x:v>CreatureTypes!A323</x:v>
      </x:c>
      <x:c r="B327" s="26" t="str">
        <x:v>Creature Type</x:v>
      </x:c>
      <x:c r="C327" s="26" t="str">
        <x:v>Werewolf</x:v>
      </x:c>
      <x:c r="D327" s="26" t="str">
        <x:v>Type/subtype</x:v>
      </x:c>
      <x:c r="E327" s="26"/>
      <x:c r="F327" s="26" t="str">
        <x:v>t:"Werewolf"</x:v>
      </x:c>
      <x:c r="G327" s="26" t="str">
        <x:v>High</x:v>
      </x:c>
      <x:c r="H327" s="26" t="str">
        <x:v>Native taxonomy</x:v>
      </x:c>
      <x:c r="I327" s="26" t="str">
        <x:v>type:</x:v>
      </x:c>
      <x:c r="J327" s="26" t="str">
        <x:v>t:"Werewolf"</x:v>
      </x:c>
      <x:c r="K327" s="26" t="str"/>
      <x:c r="L327" s="26" t="str">
        <x:v>werewolf</x:v>
      </x:c>
      <x:c r="M327" s="26" t="str">
        <x:v>Translate directly</x:v>
      </x:c>
      <x:c r="N327" s="26" t="str">
        <x:v>Production-ready</x:v>
      </x:c>
      <x:c r="O327" s="43" t="n">
        <x:v>0.99</x:v>
      </x:c>
      <x:c r="P327" s="26" t="str">
        <x:v>Use for card type/supertype/subtype intent, not for art or rules-text mentions.</x:v>
      </x:c>
      <x:c r="Q327" s="26" t="str">
        <x:v>https://scryfall.com/docs/syntax</x:v>
      </x:c>
      <x:c r="R327" s="26" t="str">
        <x:v>2026-08-21</x:v>
      </x:c>
    </x:row>
    <x:row r="328">
      <x:c r="A328" s="26" t="str">
        <x:v>CreatureTypes!A324</x:v>
      </x:c>
      <x:c r="B328" s="26" t="str">
        <x:v>Creature Type</x:v>
      </x:c>
      <x:c r="C328" s="26" t="str">
        <x:v>Whale</x:v>
      </x:c>
      <x:c r="D328" s="26" t="str">
        <x:v>Type/subtype</x:v>
      </x:c>
      <x:c r="E328" s="26"/>
      <x:c r="F328" s="26" t="str">
        <x:v>t:"Whale"</x:v>
      </x:c>
      <x:c r="G328" s="26" t="str">
        <x:v>High</x:v>
      </x:c>
      <x:c r="H328" s="26" t="str">
        <x:v>Native taxonomy</x:v>
      </x:c>
      <x:c r="I328" s="26" t="str">
        <x:v>type:</x:v>
      </x:c>
      <x:c r="J328" s="26" t="str">
        <x:v>t:"Whale"</x:v>
      </x:c>
      <x:c r="K328" s="26" t="str"/>
      <x:c r="L328" s="26" t="str">
        <x:v>whale</x:v>
      </x:c>
      <x:c r="M328" s="26" t="str">
        <x:v>Translate directly</x:v>
      </x:c>
      <x:c r="N328" s="26" t="str">
        <x:v>Production-ready</x:v>
      </x:c>
      <x:c r="O328" s="43" t="n">
        <x:v>0.99</x:v>
      </x:c>
      <x:c r="P328" s="26" t="str">
        <x:v>Use for card type/supertype/subtype intent, not for art or rules-text mentions.</x:v>
      </x:c>
      <x:c r="Q328" s="26" t="str">
        <x:v>https://scryfall.com/docs/syntax</x:v>
      </x:c>
      <x:c r="R328" s="26" t="str">
        <x:v>2026-08-21</x:v>
      </x:c>
    </x:row>
    <x:row r="329">
      <x:c r="A329" s="26" t="str">
        <x:v>CreatureTypes!A325</x:v>
      </x:c>
      <x:c r="B329" s="26" t="str">
        <x:v>Creature Type</x:v>
      </x:c>
      <x:c r="C329" s="26" t="str">
        <x:v>Wizard</x:v>
      </x:c>
      <x:c r="D329" s="26" t="str">
        <x:v>Type/subtype</x:v>
      </x:c>
      <x:c r="E329" s="26"/>
      <x:c r="F329" s="26" t="str">
        <x:v>t:"Wizard"</x:v>
      </x:c>
      <x:c r="G329" s="26" t="str">
        <x:v>High</x:v>
      </x:c>
      <x:c r="H329" s="26" t="str">
        <x:v>Native taxonomy</x:v>
      </x:c>
      <x:c r="I329" s="26" t="str">
        <x:v>type:</x:v>
      </x:c>
      <x:c r="J329" s="26" t="str">
        <x:v>t:"Wizard"</x:v>
      </x:c>
      <x:c r="K329" s="26" t="str"/>
      <x:c r="L329" s="26" t="str">
        <x:v>wizard</x:v>
      </x:c>
      <x:c r="M329" s="26" t="str">
        <x:v>Translate directly</x:v>
      </x:c>
      <x:c r="N329" s="26" t="str">
        <x:v>Production-ready</x:v>
      </x:c>
      <x:c r="O329" s="43" t="n">
        <x:v>0.99</x:v>
      </x:c>
      <x:c r="P329" s="26" t="str">
        <x:v>Use for card type/supertype/subtype intent, not for art or rules-text mentions.</x:v>
      </x:c>
      <x:c r="Q329" s="26" t="str">
        <x:v>https://scryfall.com/docs/syntax</x:v>
      </x:c>
      <x:c r="R329" s="26" t="str">
        <x:v>2026-08-21</x:v>
      </x:c>
    </x:row>
    <x:row r="330">
      <x:c r="A330" s="26" t="str">
        <x:v>CreatureTypes!A326</x:v>
      </x:c>
      <x:c r="B330" s="26" t="str">
        <x:v>Creature Type</x:v>
      </x:c>
      <x:c r="C330" s="26" t="str">
        <x:v>Wolf</x:v>
      </x:c>
      <x:c r="D330" s="26" t="str">
        <x:v>Type/subtype</x:v>
      </x:c>
      <x:c r="E330" s="26"/>
      <x:c r="F330" s="26" t="str">
        <x:v>t:"Wolf"</x:v>
      </x:c>
      <x:c r="G330" s="26" t="str">
        <x:v>High</x:v>
      </x:c>
      <x:c r="H330" s="26" t="str">
        <x:v>Native taxonomy</x:v>
      </x:c>
      <x:c r="I330" s="26" t="str">
        <x:v>type:</x:v>
      </x:c>
      <x:c r="J330" s="26" t="str">
        <x:v>t:"Wolf"</x:v>
      </x:c>
      <x:c r="K330" s="26" t="str"/>
      <x:c r="L330" s="26" t="str">
        <x:v>wolf</x:v>
      </x:c>
      <x:c r="M330" s="26" t="str">
        <x:v>Translate directly</x:v>
      </x:c>
      <x:c r="N330" s="26" t="str">
        <x:v>Production-ready</x:v>
      </x:c>
      <x:c r="O330" s="43" t="n">
        <x:v>0.99</x:v>
      </x:c>
      <x:c r="P330" s="26" t="str">
        <x:v>Use for card type/supertype/subtype intent, not for art or rules-text mentions.</x:v>
      </x:c>
      <x:c r="Q330" s="26" t="str">
        <x:v>https://scryfall.com/docs/syntax</x:v>
      </x:c>
      <x:c r="R330" s="26" t="str">
        <x:v>2026-08-21</x:v>
      </x:c>
    </x:row>
    <x:row r="331">
      <x:c r="A331" s="26" t="str">
        <x:v>CreatureTypes!A327</x:v>
      </x:c>
      <x:c r="B331" s="26" t="str">
        <x:v>Creature Type</x:v>
      </x:c>
      <x:c r="C331" s="26" t="str">
        <x:v>Wolverine</x:v>
      </x:c>
      <x:c r="D331" s="26" t="str">
        <x:v>Type/subtype</x:v>
      </x:c>
      <x:c r="E331" s="26"/>
      <x:c r="F331" s="26" t="str">
        <x:v>t:"Wolverine"</x:v>
      </x:c>
      <x:c r="G331" s="26" t="str">
        <x:v>High</x:v>
      </x:c>
      <x:c r="H331" s="26" t="str">
        <x:v>Native taxonomy</x:v>
      </x:c>
      <x:c r="I331" s="26" t="str">
        <x:v>type:</x:v>
      </x:c>
      <x:c r="J331" s="26" t="str">
        <x:v>t:"Wolverine"</x:v>
      </x:c>
      <x:c r="K331" s="26" t="str"/>
      <x:c r="L331" s="26" t="str">
        <x:v>wolverine</x:v>
      </x:c>
      <x:c r="M331" s="26" t="str">
        <x:v>Translate directly</x:v>
      </x:c>
      <x:c r="N331" s="26" t="str">
        <x:v>Production-ready</x:v>
      </x:c>
      <x:c r="O331" s="43" t="n">
        <x:v>0.99</x:v>
      </x:c>
      <x:c r="P331" s="26" t="str">
        <x:v>Use for card type/supertype/subtype intent, not for art or rules-text mentions.</x:v>
      </x:c>
      <x:c r="Q331" s="26" t="str">
        <x:v>https://scryfall.com/docs/syntax</x:v>
      </x:c>
      <x:c r="R331" s="26" t="str">
        <x:v>2026-08-21</x:v>
      </x:c>
    </x:row>
    <x:row r="332">
      <x:c r="A332" s="26" t="str">
        <x:v>CreatureTypes!A328</x:v>
      </x:c>
      <x:c r="B332" s="26" t="str">
        <x:v>Creature Type</x:v>
      </x:c>
      <x:c r="C332" s="26" t="str">
        <x:v>Wombat</x:v>
      </x:c>
      <x:c r="D332" s="26" t="str">
        <x:v>Type/subtype</x:v>
      </x:c>
      <x:c r="E332" s="26"/>
      <x:c r="F332" s="26" t="str">
        <x:v>t:"Wombat"</x:v>
      </x:c>
      <x:c r="G332" s="26" t="str">
        <x:v>High</x:v>
      </x:c>
      <x:c r="H332" s="26" t="str">
        <x:v>Native taxonomy</x:v>
      </x:c>
      <x:c r="I332" s="26" t="str">
        <x:v>type:</x:v>
      </x:c>
      <x:c r="J332" s="26" t="str">
        <x:v>t:"Wombat"</x:v>
      </x:c>
      <x:c r="K332" s="26" t="str"/>
      <x:c r="L332" s="26" t="str">
        <x:v>wombat</x:v>
      </x:c>
      <x:c r="M332" s="26" t="str">
        <x:v>Translate directly</x:v>
      </x:c>
      <x:c r="N332" s="26" t="str">
        <x:v>Production-ready</x:v>
      </x:c>
      <x:c r="O332" s="43" t="n">
        <x:v>0.99</x:v>
      </x:c>
      <x:c r="P332" s="26" t="str">
        <x:v>Use for card type/supertype/subtype intent, not for art or rules-text mentions.</x:v>
      </x:c>
      <x:c r="Q332" s="26" t="str">
        <x:v>https://scryfall.com/docs/syntax</x:v>
      </x:c>
      <x:c r="R332" s="26" t="str">
        <x:v>2026-08-21</x:v>
      </x:c>
    </x:row>
    <x:row r="333">
      <x:c r="A333" s="26" t="str">
        <x:v>CreatureTypes!A329</x:v>
      </x:c>
      <x:c r="B333" s="26" t="str">
        <x:v>Creature Type</x:v>
      </x:c>
      <x:c r="C333" s="26" t="str">
        <x:v>Worm</x:v>
      </x:c>
      <x:c r="D333" s="26" t="str">
        <x:v>Type/subtype</x:v>
      </x:c>
      <x:c r="E333" s="26"/>
      <x:c r="F333" s="26" t="str">
        <x:v>t:"Worm"</x:v>
      </x:c>
      <x:c r="G333" s="26" t="str">
        <x:v>High</x:v>
      </x:c>
      <x:c r="H333" s="26" t="str">
        <x:v>Native taxonomy</x:v>
      </x:c>
      <x:c r="I333" s="26" t="str">
        <x:v>type:</x:v>
      </x:c>
      <x:c r="J333" s="26" t="str">
        <x:v>t:"Worm"</x:v>
      </x:c>
      <x:c r="K333" s="26" t="str"/>
      <x:c r="L333" s="26" t="str">
        <x:v>worm</x:v>
      </x:c>
      <x:c r="M333" s="26" t="str">
        <x:v>Translate directly</x:v>
      </x:c>
      <x:c r="N333" s="26" t="str">
        <x:v>Production-ready</x:v>
      </x:c>
      <x:c r="O333" s="43" t="n">
        <x:v>0.99</x:v>
      </x:c>
      <x:c r="P333" s="26" t="str">
        <x:v>Use for card type/supertype/subtype intent, not for art or rules-text mentions.</x:v>
      </x:c>
      <x:c r="Q333" s="26" t="str">
        <x:v>https://scryfall.com/docs/syntax</x:v>
      </x:c>
      <x:c r="R333" s="26" t="str">
        <x:v>2026-08-21</x:v>
      </x:c>
    </x:row>
    <x:row r="334">
      <x:c r="A334" s="26" t="str">
        <x:v>CreatureTypes!A330</x:v>
      </x:c>
      <x:c r="B334" s="26" t="str">
        <x:v>Creature Type</x:v>
      </x:c>
      <x:c r="C334" s="26" t="str">
        <x:v>Wraith</x:v>
      </x:c>
      <x:c r="D334" s="26" t="str">
        <x:v>Type/subtype</x:v>
      </x:c>
      <x:c r="E334" s="26"/>
      <x:c r="F334" s="26" t="str">
        <x:v>t:"Wraith"</x:v>
      </x:c>
      <x:c r="G334" s="26" t="str">
        <x:v>High</x:v>
      </x:c>
      <x:c r="H334" s="26" t="str">
        <x:v>Native taxonomy</x:v>
      </x:c>
      <x:c r="I334" s="26" t="str">
        <x:v>type:</x:v>
      </x:c>
      <x:c r="J334" s="26" t="str">
        <x:v>t:"Wraith"</x:v>
      </x:c>
      <x:c r="K334" s="26" t="str"/>
      <x:c r="L334" s="26" t="str">
        <x:v>wraith</x:v>
      </x:c>
      <x:c r="M334" s="26" t="str">
        <x:v>Translate directly</x:v>
      </x:c>
      <x:c r="N334" s="26" t="str">
        <x:v>Production-ready</x:v>
      </x:c>
      <x:c r="O334" s="43" t="n">
        <x:v>0.99</x:v>
      </x:c>
      <x:c r="P334" s="26" t="str">
        <x:v>Use for card type/supertype/subtype intent, not for art or rules-text mentions.</x:v>
      </x:c>
      <x:c r="Q334" s="26" t="str">
        <x:v>https://scryfall.com/docs/syntax</x:v>
      </x:c>
      <x:c r="R334" s="26" t="str">
        <x:v>2026-08-21</x:v>
      </x:c>
    </x:row>
    <x:row r="335">
      <x:c r="A335" s="26" t="str">
        <x:v>CreatureTypes!A331</x:v>
      </x:c>
      <x:c r="B335" s="26" t="str">
        <x:v>Creature Type</x:v>
      </x:c>
      <x:c r="C335" s="26" t="str">
        <x:v>Wurm</x:v>
      </x:c>
      <x:c r="D335" s="26" t="str">
        <x:v>Type/subtype</x:v>
      </x:c>
      <x:c r="E335" s="26"/>
      <x:c r="F335" s="26" t="str">
        <x:v>t:"Wurm"</x:v>
      </x:c>
      <x:c r="G335" s="26" t="str">
        <x:v>High</x:v>
      </x:c>
      <x:c r="H335" s="26" t="str">
        <x:v>Native taxonomy</x:v>
      </x:c>
      <x:c r="I335" s="26" t="str">
        <x:v>type:</x:v>
      </x:c>
      <x:c r="J335" s="26" t="str">
        <x:v>t:"Wurm"</x:v>
      </x:c>
      <x:c r="K335" s="26" t="str"/>
      <x:c r="L335" s="26" t="str">
        <x:v>wurm</x:v>
      </x:c>
      <x:c r="M335" s="26" t="str">
        <x:v>Translate directly</x:v>
      </x:c>
      <x:c r="N335" s="26" t="str">
        <x:v>Production-ready</x:v>
      </x:c>
      <x:c r="O335" s="43" t="n">
        <x:v>0.99</x:v>
      </x:c>
      <x:c r="P335" s="26" t="str">
        <x:v>Use for card type/supertype/subtype intent, not for art or rules-text mentions.</x:v>
      </x:c>
      <x:c r="Q335" s="26" t="str">
        <x:v>https://scryfall.com/docs/syntax</x:v>
      </x:c>
      <x:c r="R335" s="26" t="str">
        <x:v>2026-08-21</x:v>
      </x:c>
    </x:row>
    <x:row r="336">
      <x:c r="A336" s="26" t="str">
        <x:v>CreatureTypes!A332</x:v>
      </x:c>
      <x:c r="B336" s="26" t="str">
        <x:v>Creature Type</x:v>
      </x:c>
      <x:c r="C336" s="26" t="str">
        <x:v>Yeti</x:v>
      </x:c>
      <x:c r="D336" s="26" t="str">
        <x:v>Type/subtype</x:v>
      </x:c>
      <x:c r="E336" s="26"/>
      <x:c r="F336" s="26" t="str">
        <x:v>t:"Yeti"</x:v>
      </x:c>
      <x:c r="G336" s="26" t="str">
        <x:v>High</x:v>
      </x:c>
      <x:c r="H336" s="26" t="str">
        <x:v>Native taxonomy</x:v>
      </x:c>
      <x:c r="I336" s="26" t="str">
        <x:v>type:</x:v>
      </x:c>
      <x:c r="J336" s="26" t="str">
        <x:v>t:"Yeti"</x:v>
      </x:c>
      <x:c r="K336" s="26" t="str"/>
      <x:c r="L336" s="26" t="str">
        <x:v>yeti</x:v>
      </x:c>
      <x:c r="M336" s="26" t="str">
        <x:v>Translate directly</x:v>
      </x:c>
      <x:c r="N336" s="26" t="str">
        <x:v>Production-ready</x:v>
      </x:c>
      <x:c r="O336" s="43" t="n">
        <x:v>0.99</x:v>
      </x:c>
      <x:c r="P336" s="26" t="str">
        <x:v>Use for card type/supertype/subtype intent, not for art or rules-text mentions.</x:v>
      </x:c>
      <x:c r="Q336" s="26" t="str">
        <x:v>https://scryfall.com/docs/syntax</x:v>
      </x:c>
      <x:c r="R336" s="26" t="str">
        <x:v>2026-08-21</x:v>
      </x:c>
    </x:row>
    <x:row r="337">
      <x:c r="A337" s="26" t="str">
        <x:v>CreatureTypes!A333</x:v>
      </x:c>
      <x:c r="B337" s="26" t="str">
        <x:v>Creature Type</x:v>
      </x:c>
      <x:c r="C337" s="26" t="str">
        <x:v>Zombie</x:v>
      </x:c>
      <x:c r="D337" s="26" t="str">
        <x:v>Type/subtype</x:v>
      </x:c>
      <x:c r="E337" s="26"/>
      <x:c r="F337" s="26" t="str">
        <x:v>t:"Zombie"</x:v>
      </x:c>
      <x:c r="G337" s="26" t="str">
        <x:v>High</x:v>
      </x:c>
      <x:c r="H337" s="26" t="str">
        <x:v>Native taxonomy</x:v>
      </x:c>
      <x:c r="I337" s="26" t="str">
        <x:v>type:</x:v>
      </x:c>
      <x:c r="J337" s="26" t="str">
        <x:v>t:"Zombie"</x:v>
      </x:c>
      <x:c r="K337" s="26" t="str"/>
      <x:c r="L337" s="26" t="str">
        <x:v>zombie</x:v>
      </x:c>
      <x:c r="M337" s="26" t="str">
        <x:v>Translate directly</x:v>
      </x:c>
      <x:c r="N337" s="26" t="str">
        <x:v>Production-ready</x:v>
      </x:c>
      <x:c r="O337" s="43" t="n">
        <x:v>0.99</x:v>
      </x:c>
      <x:c r="P337" s="26" t="str">
        <x:v>Use for card type/supertype/subtype intent, not for art or rules-text mentions.</x:v>
      </x:c>
      <x:c r="Q337" s="26" t="str">
        <x:v>https://scryfall.com/docs/syntax</x:v>
      </x:c>
      <x:c r="R337" s="26" t="str">
        <x:v>2026-08-21</x:v>
      </x:c>
    </x:row>
    <x:row r="338">
      <x:c r="A338" s="26" t="str">
        <x:v>CreatureTypes!A334</x:v>
      </x:c>
      <x:c r="B338" s="26" t="str">
        <x:v>Creature Type</x:v>
      </x:c>
      <x:c r="C338" s="26" t="str">
        <x:v>Zubera</x:v>
      </x:c>
      <x:c r="D338" s="26" t="str">
        <x:v>Type/subtype</x:v>
      </x:c>
      <x:c r="E338" s="26"/>
      <x:c r="F338" s="26" t="str">
        <x:v>t:"Zubera"</x:v>
      </x:c>
      <x:c r="G338" s="26" t="str">
        <x:v>High</x:v>
      </x:c>
      <x:c r="H338" s="26" t="str">
        <x:v>Native taxonomy</x:v>
      </x:c>
      <x:c r="I338" s="26" t="str">
        <x:v>type:</x:v>
      </x:c>
      <x:c r="J338" s="26" t="str">
        <x:v>t:"Zubera"</x:v>
      </x:c>
      <x:c r="K338" s="26" t="str"/>
      <x:c r="L338" s="26" t="str">
        <x:v>zubera</x:v>
      </x:c>
      <x:c r="M338" s="26" t="str">
        <x:v>Translate directly</x:v>
      </x:c>
      <x:c r="N338" s="26" t="str">
        <x:v>Production-ready</x:v>
      </x:c>
      <x:c r="O338" s="43" t="n">
        <x:v>0.99</x:v>
      </x:c>
      <x:c r="P338" s="26" t="str">
        <x:v>Use for card type/supertype/subtype intent, not for art or rules-text mentions.</x:v>
      </x:c>
      <x:c r="Q338" s="26" t="str">
        <x:v>https://scryfall.com/docs/syntax</x:v>
      </x:c>
      <x:c r="R338" s="26" t="str">
        <x:v>2026-08-21</x:v>
      </x:c>
    </x:row>
    <x:row r="339">
      <x:c r="A339" s="26" t="str">
        <x:v>Keywords!A2:C2</x:v>
      </x:c>
      <x:c r="B339" s="26" t="str">
        <x:v>Evergreen Keyword Actions</x:v>
      </x:c>
      <x:c r="C339" s="26" t="str">
        <x:v>Attach</x:v>
      </x:c>
      <x:c r="D339" s="26" t="str">
        <x:v>Keyword reference</x:v>
      </x:c>
      <x:c r="E339" s="26" t="str">
        <x:v>The term attach is used on Auras (see enchant), Equipment (see equip), and Fortifications (see fortify), which provide effects to certain other cards for an indeterminate amount of time. These types of cards are used by designating something (usually a permanent) for them to be "attached" to.</x:v>
      </x:c>
      <x:c r="F339" s="26" t="str">
        <x:v>o:"Attach"</x:v>
      </x:c>
      <x:c r="G339" s="26" t="str">
        <x:v>Medium</x:v>
      </x:c>
      <x:c r="H339" s="26" t="str">
        <x:v>Keyword action</x:v>
      </x:c>
      <x:c r="I339" s="26" t="str">
        <x:v>oracle:</x:v>
      </x:c>
      <x:c r="J339" s="26" t="str">
        <x:v>o:"Attach"</x:v>
      </x:c>
      <x:c r="K339" s="26" t="str"/>
      <x:c r="L339" s="26" t="str">
        <x:v>attach</x:v>
      </x:c>
      <x:c r="M339" s="26" t="str">
        <x:v>Translate with wording caveat</x:v>
      </x:c>
      <x:c r="N339" s="26" t="str">
        <x:v>Review</x:v>
      </x:c>
      <x:c r="O339" s="43" t="n">
        <x:v>0.82</x:v>
      </x:c>
      <x:c r="P339" s="26" t="str">
        <x:v>Some action words are ordinary English too; results may need object/context filters.</x:v>
      </x:c>
      <x:c r="Q339" s="26" t="str">
        <x:v>https://scryfall.com/docs/syntax</x:v>
      </x:c>
      <x:c r="R339" s="26" t="str">
        <x:v>2026-08-21</x:v>
      </x:c>
    </x:row>
    <x:row r="340">
      <x:c r="A340" s="26" t="str">
        <x:v>Keywords!A3:C3</x:v>
      </x:c>
      <x:c r="B340" s="26" t="str">
        <x:v>Evergreen Keyword Actions</x:v>
      </x:c>
      <x:c r="C340" s="26" t="str">
        <x:v>Counter</x:v>
      </x:c>
      <x:c r="D340" s="26" t="str">
        <x:v>Keyword reference</x:v>
      </x:c>
      <x:c r="E340" s="26" t="str">
        <x:v>To counter a spell or ability is to remove it from the stack without resolving its effects, putting it directly into its owner's graveyard. Some spells and abilities have an additional clause that replaces the graveyard with another game zone. There are instant spells that will explicitly counter other spells, generally known as "counterspells" after the original card with this effect. Some cards specify that they "cannot be countered".</x:v>
      </x:c>
      <x:c r="F340" s="26" t="str">
        <x:v>o:"Counter"</x:v>
      </x:c>
      <x:c r="G340" s="26" t="str">
        <x:v>Medium</x:v>
      </x:c>
      <x:c r="H340" s="26" t="str">
        <x:v>Keyword action</x:v>
      </x:c>
      <x:c r="I340" s="26" t="str">
        <x:v>oracle:</x:v>
      </x:c>
      <x:c r="J340" s="26" t="str">
        <x:v>o:"Counter"</x:v>
      </x:c>
      <x:c r="K340" s="26" t="str"/>
      <x:c r="L340" s="26" t="str">
        <x:v>counter</x:v>
      </x:c>
      <x:c r="M340" s="26" t="str">
        <x:v>Translate with wording caveat</x:v>
      </x:c>
      <x:c r="N340" s="26" t="str">
        <x:v>Review</x:v>
      </x:c>
      <x:c r="O340" s="43" t="n">
        <x:v>0.82</x:v>
      </x:c>
      <x:c r="P340" s="26" t="str">
        <x:v>Some action words are ordinary English too; results may need object/context filters.</x:v>
      </x:c>
      <x:c r="Q340" s="26" t="str">
        <x:v>https://scryfall.com/docs/syntax</x:v>
      </x:c>
      <x:c r="R340" s="26" t="str">
        <x:v>2026-08-21</x:v>
      </x:c>
    </x:row>
    <x:row r="341">
      <x:c r="A341" s="26" t="str">
        <x:v>Keywords!A4:C4</x:v>
      </x:c>
      <x:c r="B341" s="26" t="str">
        <x:v>Evergreen Keyword Actions</x:v>
      </x:c>
      <x:c r="C341" s="26" t="str">
        <x:v>Exile</x:v>
      </x:c>
      <x:c r="D341" s="26" t="str">
        <x:v>Keyword reference</x:v>
      </x:c>
      <x:c r="E341" s="26" t="str">
        <x:v>To exile a card is to put it into the exile zone, usually as part of a card's effect. Starting from the Magic 2010 rules changes, cards that "remove [something] from the game" or "set [something] aside" were issued errata to say "exile [something]" instead.</x:v>
      </x:c>
      <x:c r="F341" s="26" t="str">
        <x:v>o:"Exile"</x:v>
      </x:c>
      <x:c r="G341" s="26" t="str">
        <x:v>Medium</x:v>
      </x:c>
      <x:c r="H341" s="26" t="str">
        <x:v>Keyword action</x:v>
      </x:c>
      <x:c r="I341" s="26" t="str">
        <x:v>oracle:</x:v>
      </x:c>
      <x:c r="J341" s="26" t="str">
        <x:v>o:"Exile"</x:v>
      </x:c>
      <x:c r="K341" s="26" t="str"/>
      <x:c r="L341" s="26" t="str">
        <x:v>exile</x:v>
      </x:c>
      <x:c r="M341" s="26" t="str">
        <x:v>Translate with wording caveat</x:v>
      </x:c>
      <x:c r="N341" s="26" t="str">
        <x:v>Review</x:v>
      </x:c>
      <x:c r="O341" s="43" t="n">
        <x:v>0.82</x:v>
      </x:c>
      <x:c r="P341" s="26" t="str">
        <x:v>Some action words are ordinary English too; results may need object/context filters.</x:v>
      </x:c>
      <x:c r="Q341" s="26" t="str">
        <x:v>https://scryfall.com/docs/syntax</x:v>
      </x:c>
      <x:c r="R341" s="26" t="str">
        <x:v>2026-08-21</x:v>
      </x:c>
    </x:row>
    <x:row r="342">
      <x:c r="A342" s="26" t="str">
        <x:v>Keywords!A5:C5</x:v>
      </x:c>
      <x:c r="B342" s="26" t="str">
        <x:v>Evergreen Keyword Actions</x:v>
      </x:c>
      <x:c r="C342" s="26" t="str">
        <x:v>Fight</x:v>
      </x:c>
      <x:c r="D342" s="26" t="str">
        <x:v>Keyword reference</x:v>
      </x:c>
      <x:c r="E342" s="26" t="str">
        <x:v>When two creatures fight each other, each creature deals damage equal to its power to the other creature. Multiple creatures may fight each other at the same time. Fight is a keyword action that has been sporadically printed in some form since the card Gargantuan Gorilla, but it was not keyworded until Innistrad.</x:v>
      </x:c>
      <x:c r="F342" s="26" t="str">
        <x:v>o:"Fight"</x:v>
      </x:c>
      <x:c r="G342" s="26" t="str">
        <x:v>Medium</x:v>
      </x:c>
      <x:c r="H342" s="26" t="str">
        <x:v>Keyword action</x:v>
      </x:c>
      <x:c r="I342" s="26" t="str">
        <x:v>oracle:</x:v>
      </x:c>
      <x:c r="J342" s="26" t="str">
        <x:v>o:"Fight"</x:v>
      </x:c>
      <x:c r="K342" s="26" t="str"/>
      <x:c r="L342" s="26" t="str">
        <x:v>fight</x:v>
      </x:c>
      <x:c r="M342" s="26" t="str">
        <x:v>Translate with wording caveat</x:v>
      </x:c>
      <x:c r="N342" s="26" t="str">
        <x:v>Review</x:v>
      </x:c>
      <x:c r="O342" s="43" t="n">
        <x:v>0.82</x:v>
      </x:c>
      <x:c r="P342" s="26" t="str">
        <x:v>Some action words are ordinary English too; results may need object/context filters.</x:v>
      </x:c>
      <x:c r="Q342" s="26" t="str">
        <x:v>https://scryfall.com/docs/syntax</x:v>
      </x:c>
      <x:c r="R342" s="26" t="str">
        <x:v>2026-08-21</x:v>
      </x:c>
    </x:row>
    <x:row r="343">
      <x:c r="A343" s="26" t="str">
        <x:v>Keywords!A6:C6</x:v>
      </x:c>
      <x:c r="B343" s="26" t="str">
        <x:v>Evergreen Keyword Actions</x:v>
      </x:c>
      <x:c r="C343" s="26" t="str">
        <x:v>Mill</x:v>
      </x:c>
      <x:c r="D343" s="26" t="str">
        <x:v>Keyword reference</x:v>
      </x:c>
      <x:c r="E343" s="26" t="str">
        <x:v>When a player Mills x cards, they put the top x cards of that library into their graveyard. Mill is an action that has been around since Antiquities with Millstone but was never given a keyword until M21, though the term "mill" had been used informally for years prior to the official keywording.</x:v>
      </x:c>
      <x:c r="F343" s="26" t="str">
        <x:v>o:"Mill"</x:v>
      </x:c>
      <x:c r="G343" s="26" t="str">
        <x:v>Medium</x:v>
      </x:c>
      <x:c r="H343" s="26" t="str">
        <x:v>Keyword action</x:v>
      </x:c>
      <x:c r="I343" s="26" t="str">
        <x:v>oracle:</x:v>
      </x:c>
      <x:c r="J343" s="26" t="str">
        <x:v>o:"Mill"</x:v>
      </x:c>
      <x:c r="K343" s="26" t="str"/>
      <x:c r="L343" s="26" t="str">
        <x:v>mill</x:v>
      </x:c>
      <x:c r="M343" s="26" t="str">
        <x:v>Translate with wording caveat</x:v>
      </x:c>
      <x:c r="N343" s="26" t="str">
        <x:v>Review</x:v>
      </x:c>
      <x:c r="O343" s="43" t="n">
        <x:v>0.82</x:v>
      </x:c>
      <x:c r="P343" s="26" t="str">
        <x:v>Some action words are ordinary English too; results may need object/context filters.</x:v>
      </x:c>
      <x:c r="Q343" s="26" t="str">
        <x:v>https://scryfall.com/docs/syntax</x:v>
      </x:c>
      <x:c r="R343" s="26" t="str">
        <x:v>2026-08-21</x:v>
      </x:c>
    </x:row>
    <x:row r="344">
      <x:c r="A344" s="26" t="str">
        <x:v>Keywords!A7:C7</x:v>
      </x:c>
      <x:c r="B344" s="26" t="str">
        <x:v>Evergreen Keyword Actions</x:v>
      </x:c>
      <x:c r="C344" s="26" t="str">
        <x:v>Sacrifice</x:v>
      </x:c>
      <x:c r="D344" s="26" t="str">
        <x:v>Keyword reference</x:v>
      </x:c>
      <x:c r="E344" s="26" t="str">
        <x:v>To sacrifice a permanent is to put it into its owner's graveyard. A player can only sacrifice a permanent they control. Note that this term is separate from other ways permanents can be put into their owners' graveyards, such as destruction (meaning regeneration has no effect on sacrifice) and state-based actions (a creature having 0 toughness, for example). Players are not allowed to sacrifice unless prompted to by a game effect.</x:v>
      </x:c>
      <x:c r="F344" s="26" t="str">
        <x:v>o:"Sacrifice"</x:v>
      </x:c>
      <x:c r="G344" s="26" t="str">
        <x:v>Medium</x:v>
      </x:c>
      <x:c r="H344" s="26" t="str">
        <x:v>Keyword action</x:v>
      </x:c>
      <x:c r="I344" s="26" t="str">
        <x:v>oracle:</x:v>
      </x:c>
      <x:c r="J344" s="26" t="str">
        <x:v>o:"Sacrifice"</x:v>
      </x:c>
      <x:c r="K344" s="26" t="str"/>
      <x:c r="L344" s="26" t="str">
        <x:v>sacrifice</x:v>
      </x:c>
      <x:c r="M344" s="26" t="str">
        <x:v>Translate with wording caveat</x:v>
      </x:c>
      <x:c r="N344" s="26" t="str">
        <x:v>Review</x:v>
      </x:c>
      <x:c r="O344" s="43" t="n">
        <x:v>0.82</x:v>
      </x:c>
      <x:c r="P344" s="26" t="str">
        <x:v>Some action words are ordinary English too; results may need object/context filters.</x:v>
      </x:c>
      <x:c r="Q344" s="26" t="str">
        <x:v>https://scryfall.com/docs/syntax</x:v>
      </x:c>
      <x:c r="R344" s="26" t="str">
        <x:v>2026-08-21</x:v>
      </x:c>
    </x:row>
    <x:row r="345">
      <x:c r="A345" s="26" t="str">
        <x:v>Keywords!A8:C8</x:v>
      </x:c>
      <x:c r="B345" s="26" t="str">
        <x:v>Evergreen Keyword Actions</x:v>
      </x:c>
      <x:c r="C345" s="26" t="str">
        <x:v>Scry</x:v>
      </x:c>
      <x:c r="D345" s="26" t="str">
        <x:v>Keyword reference</x:v>
      </x:c>
      <x:c r="E345" s="26" t="str">
        <x:v>Scry x allows the player to take the top x cards from their deck, examine them, and place any number of them on the bottom of their deck and the rest on top in any order desired. Scry originally appeared in Fifth Dawn as a keyword ability, primarily on instants and sorceries as "Scry 2", though it was designed to allow other values. Future Sight added values 1 through 4 and redefined scry to be a keyword action, allowing it to be placed in the middle of an ability rather than as a "tack-on" to other abilities. Scry then appeared in Magic 2011, becoming the first mechanic to be revisited in a core set. Scry also returned in Theros block before becoming an evergreen keyword in Magic Origins. As of Pro Tour 2015 in Vancouver, the Scry mechanic was introduced to the official tournament rules when taking a mulligan. After all mulligans have resolved, any player whose opening hand contains fewer cards than their starting hand size may Scry 1. This is known colloquially as the "Vancouver mulligan" or "Vancouver rule". However, it has since been changed to a "London mulligan."</x:v>
      </x:c>
      <x:c r="F345" s="26" t="str">
        <x:v>o:"Scry"</x:v>
      </x:c>
      <x:c r="G345" s="26" t="str">
        <x:v>Medium</x:v>
      </x:c>
      <x:c r="H345" s="26" t="str">
        <x:v>Keyword action</x:v>
      </x:c>
      <x:c r="I345" s="26" t="str">
        <x:v>oracle:</x:v>
      </x:c>
      <x:c r="J345" s="26" t="str">
        <x:v>o:"Scry"</x:v>
      </x:c>
      <x:c r="K345" s="26" t="str"/>
      <x:c r="L345" s="26" t="str">
        <x:v>scry</x:v>
      </x:c>
      <x:c r="M345" s="26" t="str">
        <x:v>Translate with wording caveat</x:v>
      </x:c>
      <x:c r="N345" s="26" t="str">
        <x:v>Review</x:v>
      </x:c>
      <x:c r="O345" s="43" t="n">
        <x:v>0.82</x:v>
      </x:c>
      <x:c r="P345" s="26" t="str">
        <x:v>Some action words are ordinary English too; results may need object/context filters.</x:v>
      </x:c>
      <x:c r="Q345" s="26" t="str">
        <x:v>https://scryfall.com/docs/syntax</x:v>
      </x:c>
      <x:c r="R345" s="26" t="str">
        <x:v>2026-08-21</x:v>
      </x:c>
    </x:row>
    <x:row r="346">
      <x:c r="A346" s="26" t="str">
        <x:v>Keywords!A9:C9</x:v>
      </x:c>
      <x:c r="B346" s="26" t="str">
        <x:v>Evergreen Keyword Actions</x:v>
      </x:c>
      <x:c r="C346" s="26" t="str">
        <x:v>Tap/Untap</x:v>
      </x:c>
      <x:c r="D346" s="26" t="str">
        <x:v>Keyword reference</x:v>
      </x:c>
      <x:c r="E346" s="26" t="str">
        <x:v>To tap a permanent is to rotate the card 90 degrees. This indicates it is being used, often as a cost, or to indicate that a creature is attacking (except for creatures with vigilance). Creatures a player controls that have not been under their control since the beginning of their most recent turn are said to have "summoning sickness" and cannot be tapped for their abilities that include the "tap symbol", nor can they attack, but they can be tapped for costs that use the word "tap" (for example, "Tap two untapped creatures you control"). To untap a permanent is to return it to a vertical orientation, allowing it to be tapped again. A tapped permanent must be untapped before it can be tapped again. However, as introduced in the Shadowmoor block, untapping can also be a cost for activated abilities. It has its own special untap symbol (often called "Q"), and is separate from normal untapping. To pay a cost including the untap symbol, the permanent must be already tapped. If that permanent is also a creature, then, as with the tap symbol, that ability can only be used if the creature has been under its controller's control since the beginning of their most recent turn.</x:v>
      </x:c>
      <x:c r="F346" s="26" t="str">
        <x:v>o:"Tap/Untap"</x:v>
      </x:c>
      <x:c r="G346" s="26" t="str">
        <x:v>Medium</x:v>
      </x:c>
      <x:c r="H346" s="26" t="str">
        <x:v>Keyword action</x:v>
      </x:c>
      <x:c r="I346" s="26" t="str">
        <x:v>oracle:</x:v>
      </x:c>
      <x:c r="J346" s="26" t="str">
        <x:v>o:"Tap/Untap"</x:v>
      </x:c>
      <x:c r="K346" s="26" t="str"/>
      <x:c r="L346" s="26" t="str">
        <x:v>tap/untap</x:v>
      </x:c>
      <x:c r="M346" s="26" t="str">
        <x:v>Translate with wording caveat</x:v>
      </x:c>
      <x:c r="N346" s="26" t="str">
        <x:v>Review</x:v>
      </x:c>
      <x:c r="O346" s="43" t="n">
        <x:v>0.82</x:v>
      </x:c>
      <x:c r="P346" s="26" t="str">
        <x:v>Some action words are ordinary English too; results may need object/context filters.</x:v>
      </x:c>
      <x:c r="Q346" s="26" t="str">
        <x:v>https://scryfall.com/docs/syntax</x:v>
      </x:c>
      <x:c r="R346" s="26" t="str">
        <x:v>2026-08-21</x:v>
      </x:c>
    </x:row>
    <x:row r="347">
      <x:c r="A347" s="26" t="str">
        <x:v>Keywords!A10:C10</x:v>
      </x:c>
      <x:c r="B347" s="26" t="str">
        <x:v>Evergreen Keywords</x:v>
      </x:c>
      <x:c r="C347" s="26" t="str">
        <x:v>Deathtouch</x:v>
      </x:c>
      <x:c r="D347" s="26" t="str">
        <x:v>Keyword reference</x:v>
      </x:c>
      <x:c r="E347" s="26" t="str">
        <x:v>Deathtouch is a static ability that causes a creature to be destroyed as a result of having been dealt damage by a source with deathtouch. In this way, for a creature with deathtouch, any nonzero amount of damage it deals to another creature is considered enough to kill it. Deathtouch appears mostly on black cards and green cards, and is often thematically associated with poisonous or cursed creatures. Prior to the introduction of the keyword, similar abilities have appeared mostly on green and black cards, but in most cases those abilities were functionally different (typically triggering on combat damage and/or at end of combat). This ability was first printed on a single timeshifted creature from Future Sight, Thornweald Archer. Older cards with similar or identical abilities, such as Cruel Deceiver, were not changed to gain deathtouch.</x:v>
      </x:c>
      <x:c r="F347" s="26" t="str">
        <x:v>o:"Deathtouch"</x:v>
      </x:c>
      <x:c r="G347" s="26" t="str">
        <x:v>Medium</x:v>
      </x:c>
      <x:c r="H347" s="26" t="str">
        <x:v>Named keyword ability</x:v>
      </x:c>
      <x:c r="I347" s="26" t="str">
        <x:v>keyword:</x:v>
      </x:c>
      <x:c r="J347" s="26" t="str">
        <x:v>kw:Deathtouch</x:v>
      </x:c>
      <x:c r="K347" s="26" t="str">
        <x:v>o:"Deathtouch"</x:v>
      </x:c>
      <x:c r="L347" s="26" t="str">
        <x:v>deathtouch</x:v>
      </x:c>
      <x:c r="M347" s="26" t="str">
        <x:v>Translate directly</x:v>
      </x:c>
      <x:c r="N347" s="26" t="str">
        <x:v>Production-ready</x:v>
      </x:c>
      <x:c r="O347" s="43" t="n">
        <x:v>0.99</x:v>
      </x:c>
      <x:c r="P347" s="26" t="str">
        <x:v>kw: means the card has the keyword; o: may also match cards that merely mention it.</x:v>
      </x:c>
      <x:c r="Q347" s="26" t="str">
        <x:v>https://scryfall.com/docs/syntax</x:v>
      </x:c>
      <x:c r="R347" s="26" t="str">
        <x:v>2026-08-21</x:v>
      </x:c>
    </x:row>
    <x:row r="348">
      <x:c r="A348" s="26" t="str">
        <x:v>Keywords!A11:C11</x:v>
      </x:c>
      <x:c r="B348" s="26" t="str">
        <x:v>Evergreen Keywords</x:v>
      </x:c>
      <x:c r="C348" s="26" t="str">
        <x:v>Defender</x:v>
      </x:c>
      <x:c r="D348" s="26" t="str">
        <x:v>Keyword reference</x:v>
      </x:c>
      <x:c r="E348" s="26" t="str">
        <x:v>Creatures with defender cannot attack. This ability was formerly associated with creature type Wall which had implicit "rules baggage" that prevented attacking. This was simplified with the keyword, which was first used in the Kamigawa block.</x:v>
      </x:c>
      <x:c r="F348" s="26" t="str">
        <x:v>o:"Defender"</x:v>
      </x:c>
      <x:c r="G348" s="26" t="str">
        <x:v>Medium</x:v>
      </x:c>
      <x:c r="H348" s="26" t="str">
        <x:v>Named keyword ability</x:v>
      </x:c>
      <x:c r="I348" s="26" t="str">
        <x:v>keyword:</x:v>
      </x:c>
      <x:c r="J348" s="26" t="str">
        <x:v>kw:Defender</x:v>
      </x:c>
      <x:c r="K348" s="26" t="str">
        <x:v>o:"Defender"</x:v>
      </x:c>
      <x:c r="L348" s="26" t="str">
        <x:v>defender</x:v>
      </x:c>
      <x:c r="M348" s="26" t="str">
        <x:v>Translate directly</x:v>
      </x:c>
      <x:c r="N348" s="26" t="str">
        <x:v>Production-ready</x:v>
      </x:c>
      <x:c r="O348" s="43" t="n">
        <x:v>0.99</x:v>
      </x:c>
      <x:c r="P348" s="26" t="str">
        <x:v>kw: means the card has the keyword; o: may also match cards that merely mention it.</x:v>
      </x:c>
      <x:c r="Q348" s="26" t="str">
        <x:v>https://scryfall.com/docs/syntax</x:v>
      </x:c>
      <x:c r="R348" s="26" t="str">
        <x:v>2026-08-21</x:v>
      </x:c>
    </x:row>
    <x:row r="349">
      <x:c r="A349" s="26" t="str">
        <x:v>Keywords!A12:C12</x:v>
      </x:c>
      <x:c r="B349" s="26" t="str">
        <x:v>Evergreen Keywords</x:v>
      </x:c>
      <x:c r="C349" s="26" t="str">
        <x:v>Double strike</x:v>
      </x:c>
      <x:c r="D349" s="26" t="str">
        <x:v>Keyword reference</x:v>
      </x:c>
      <x:c r="E349" s="26" t="str">
        <x:v>A creature with double strike deals both first strike and normal combat damage. For instance, a creature such as Boros Swiftblade which has 1 power, 2 toughness, and double strike would defeat a creature with 2 power and 1 toughness in combat and survive, unless the latter creature also has first strike or double strike, as the first strike damage would destroy it before it would be able to deal damage. If the latter creature instead has 2 toughness, both creatures will be destroyed as the opposing creature survived the first strike, after which both creatures would simultaneously deal regular combat damage to each other. As with first strike, this keyword appears mostly on red and white cards. It first appeared in Legions and was first used in a Core Set in Tenth Edition.</x:v>
      </x:c>
      <x:c r="F349" s="26" t="str">
        <x:v>o:"Double strike"</x:v>
      </x:c>
      <x:c r="G349" s="26" t="str">
        <x:v>Medium</x:v>
      </x:c>
      <x:c r="H349" s="26" t="str">
        <x:v>Named keyword ability</x:v>
      </x:c>
      <x:c r="I349" s="26" t="str">
        <x:v>keyword:</x:v>
      </x:c>
      <x:c r="J349" s="26" t="str">
        <x:v>kw:"Double strike"</x:v>
      </x:c>
      <x:c r="K349" s="26" t="str">
        <x:v>o:"Double strike"</x:v>
      </x:c>
      <x:c r="L349" s="26" t="str">
        <x:v>double strike</x:v>
      </x:c>
      <x:c r="M349" s="26" t="str">
        <x:v>Translate directly</x:v>
      </x:c>
      <x:c r="N349" s="26" t="str">
        <x:v>Production-ready</x:v>
      </x:c>
      <x:c r="O349" s="43" t="n">
        <x:v>0.99</x:v>
      </x:c>
      <x:c r="P349" s="26" t="str">
        <x:v>kw: means the card has the keyword; o: may also match cards that merely mention it.</x:v>
      </x:c>
      <x:c r="Q349" s="26" t="str">
        <x:v>https://scryfall.com/docs/syntax</x:v>
      </x:c>
      <x:c r="R349" s="26" t="str">
        <x:v>2026-08-21</x:v>
      </x:c>
    </x:row>
    <x:row r="350">
      <x:c r="A350" s="26" t="str">
        <x:v>Keywords!A13:C13</x:v>
      </x:c>
      <x:c r="B350" s="26" t="str">
        <x:v>Evergreen Keywords</x:v>
      </x:c>
      <x:c r="C350" s="26" t="str">
        <x:v>Enchant</x:v>
      </x:c>
      <x:c r="D350" s="26" t="str">
        <x:v>Keyword reference</x:v>
      </x:c>
      <x:c r="E350" s="26" t="str">
        <x:v>This ability is written Enchant (quality) and appears on Auras, a subtype of enchantment spells. An Aura enters the battlefield attached to a permanent spell with the quality of its Enchant ability, and can only be attached to a permanent with that quality. If an Aura is no longer attached to a permanent with the required quality (such as if the object it enchants leaves the battlefield), it is put into its owner's discard pile. Like protection, the quality can be almost anything, but it normally has a permanent type associated with it, such as "Enchant creature". This ability was formerly seen in the type line instead of "Enchantment — Aura"; the wording changed in the Ninth Edition core set, which introduced the Aura subtype.</x:v>
      </x:c>
      <x:c r="F350" s="26" t="str">
        <x:v>o:"Enchant"</x:v>
      </x:c>
      <x:c r="G350" s="26" t="str">
        <x:v>Medium</x:v>
      </x:c>
      <x:c r="H350" s="26" t="str">
        <x:v>Named keyword ability</x:v>
      </x:c>
      <x:c r="I350" s="26" t="str">
        <x:v>keyword:</x:v>
      </x:c>
      <x:c r="J350" s="26" t="str">
        <x:v>kw:Enchant</x:v>
      </x:c>
      <x:c r="K350" s="26" t="str">
        <x:v>o:"Enchant"</x:v>
      </x:c>
      <x:c r="L350" s="26" t="str">
        <x:v>enchant</x:v>
      </x:c>
      <x:c r="M350" s="26" t="str">
        <x:v>Translate directly</x:v>
      </x:c>
      <x:c r="N350" s="26" t="str">
        <x:v>Production-ready</x:v>
      </x:c>
      <x:c r="O350" s="43" t="n">
        <x:v>0.99</x:v>
      </x:c>
      <x:c r="P350" s="26" t="str">
        <x:v>kw: means the card has the keyword; o: may also match cards that merely mention it.</x:v>
      </x:c>
      <x:c r="Q350" s="26" t="str">
        <x:v>https://scryfall.com/docs/syntax</x:v>
      </x:c>
      <x:c r="R350" s="26" t="str">
        <x:v>2026-08-21</x:v>
      </x:c>
    </x:row>
    <x:row r="351">
      <x:c r="A351" s="26" t="str">
        <x:v>Keywords!A14:C14</x:v>
      </x:c>
      <x:c r="B351" s="26" t="str">
        <x:v>Evergreen Keywords</x:v>
      </x:c>
      <x:c r="C351" s="26" t="str">
        <x:v>Equip</x:v>
      </x:c>
      <x:c r="D351" s="26" t="str">
        <x:v>Keyword reference</x:v>
      </x:c>
      <x:c r="E351" s="26" t="str">
        <x:v>This ability is written Equip (cost). It is found only on Equipment, a subtype of artifact spells that first appeared in Mirrodin. A player may pay the Equip cost as a sorcery (only during their own main phase when the stack is empty) to attach it to a creature they control. That creature becomes "equipped" and can then be referenced by the equipment as the "equipped creature". The controller may pay the Equip cost again to move it to another creature. When a creature leaves the battlefield or stops being a creature by some effect, any equipment attached to it "falls off", becoming unattached but remaining on the battlefield. Equipment does not "fall off" if another player gains control of either the creature or the equipment – the player who controls the equipment may pay the Equip cost to move it to a creature they control.</x:v>
      </x:c>
      <x:c r="F351" s="26" t="str">
        <x:v>o:"Equip"</x:v>
      </x:c>
      <x:c r="G351" s="26" t="str">
        <x:v>Medium</x:v>
      </x:c>
      <x:c r="H351" s="26" t="str">
        <x:v>Named keyword ability</x:v>
      </x:c>
      <x:c r="I351" s="26" t="str">
        <x:v>keyword:</x:v>
      </x:c>
      <x:c r="J351" s="26" t="str">
        <x:v>kw:Equip</x:v>
      </x:c>
      <x:c r="K351" s="26" t="str">
        <x:v>o:"Equip"</x:v>
      </x:c>
      <x:c r="L351" s="26" t="str">
        <x:v>equip</x:v>
      </x:c>
      <x:c r="M351" s="26" t="str">
        <x:v>Translate directly</x:v>
      </x:c>
      <x:c r="N351" s="26" t="str">
        <x:v>Production-ready</x:v>
      </x:c>
      <x:c r="O351" s="43" t="n">
        <x:v>0.99</x:v>
      </x:c>
      <x:c r="P351" s="26" t="str">
        <x:v>kw: means the card has the keyword; o: may also match cards that merely mention it.</x:v>
      </x:c>
      <x:c r="Q351" s="26" t="str">
        <x:v>https://scryfall.com/docs/syntax</x:v>
      </x:c>
      <x:c r="R351" s="26" t="str">
        <x:v>2026-08-21</x:v>
      </x:c>
    </x:row>
    <x:row r="352">
      <x:c r="A352" s="26" t="str">
        <x:v>Keywords!A15:C15</x:v>
      </x:c>
      <x:c r="B352" s="26" t="str">
        <x:v>Evergreen Keywords</x:v>
      </x:c>
      <x:c r="C352" s="26" t="str">
        <x:v>First strike</x:v>
      </x:c>
      <x:c r="D352" s="26" t="str">
        <x:v>Keyword reference</x:v>
      </x:c>
      <x:c r="E352" s="26" t="str">
        <x:v>Creatures with first strike deal damage before other creatures in combat. Therefore, if a creature with first strike deals sufficient damage to kill an opposing creature without this ability, it will not suffer any combat damage from that creature in return. First strike is often found on red and white creatures, especially soldiers and knights who carry pikes or lances.</x:v>
      </x:c>
      <x:c r="F352" s="26" t="str">
        <x:v>o:"First strike"</x:v>
      </x:c>
      <x:c r="G352" s="26" t="str">
        <x:v>Medium</x:v>
      </x:c>
      <x:c r="H352" s="26" t="str">
        <x:v>Named keyword ability</x:v>
      </x:c>
      <x:c r="I352" s="26" t="str">
        <x:v>keyword:</x:v>
      </x:c>
      <x:c r="J352" s="26" t="str">
        <x:v>kw:"First strike"</x:v>
      </x:c>
      <x:c r="K352" s="26" t="str">
        <x:v>o:"First strike"</x:v>
      </x:c>
      <x:c r="L352" s="26" t="str">
        <x:v>first strike</x:v>
      </x:c>
      <x:c r="M352" s="26" t="str">
        <x:v>Translate directly</x:v>
      </x:c>
      <x:c r="N352" s="26" t="str">
        <x:v>Production-ready</x:v>
      </x:c>
      <x:c r="O352" s="43" t="n">
        <x:v>0.99</x:v>
      </x:c>
      <x:c r="P352" s="26" t="str">
        <x:v>kw: means the card has the keyword; o: may also match cards that merely mention it.</x:v>
      </x:c>
      <x:c r="Q352" s="26" t="str">
        <x:v>https://scryfall.com/docs/syntax</x:v>
      </x:c>
      <x:c r="R352" s="26" t="str">
        <x:v>2026-08-21</x:v>
      </x:c>
    </x:row>
    <x:row r="353">
      <x:c r="A353" s="26" t="str">
        <x:v>Keywords!A16:C16</x:v>
      </x:c>
      <x:c r="B353" s="26" t="str">
        <x:v>Evergreen Keywords</x:v>
      </x:c>
      <x:c r="C353" s="26" t="str">
        <x:v>Flash</x:v>
      </x:c>
      <x:c r="D353" s="26" t="str">
        <x:v>Keyword reference</x:v>
      </x:c>
      <x:c r="E353" s="26" t="str">
        <x:v>Flash is the keyword of an ability introduced in Mirage. Artifacts, creatures or enchantments with flash may be played any time their controller could play an instant. Older cards with that ability have been updated via rules errata to have flash; this allows them to work with cards such as Mystical Teachings.</x:v>
      </x:c>
      <x:c r="F353" s="26" t="str">
        <x:v>o:"Flash"</x:v>
      </x:c>
      <x:c r="G353" s="26" t="str">
        <x:v>Medium</x:v>
      </x:c>
      <x:c r="H353" s="26" t="str">
        <x:v>Named keyword ability</x:v>
      </x:c>
      <x:c r="I353" s="26" t="str">
        <x:v>keyword:</x:v>
      </x:c>
      <x:c r="J353" s="26" t="str">
        <x:v>kw:Flash</x:v>
      </x:c>
      <x:c r="K353" s="26" t="str">
        <x:v>o:"Flash"</x:v>
      </x:c>
      <x:c r="L353" s="26" t="str">
        <x:v>flash</x:v>
      </x:c>
      <x:c r="M353" s="26" t="str">
        <x:v>Translate directly</x:v>
      </x:c>
      <x:c r="N353" s="26" t="str">
        <x:v>Production-ready</x:v>
      </x:c>
      <x:c r="O353" s="43" t="n">
        <x:v>0.99</x:v>
      </x:c>
      <x:c r="P353" s="26" t="str">
        <x:v>kw: means the card has the keyword; o: may also match cards that merely mention it.</x:v>
      </x:c>
      <x:c r="Q353" s="26" t="str">
        <x:v>https://scryfall.com/docs/syntax</x:v>
      </x:c>
      <x:c r="R353" s="26" t="str">
        <x:v>2026-08-21</x:v>
      </x:c>
    </x:row>
    <x:row r="354">
      <x:c r="A354" s="26" t="str">
        <x:v>Keywords!A17:C17</x:v>
      </x:c>
      <x:c r="B354" s="26" t="str">
        <x:v>Evergreen Keywords</x:v>
      </x:c>
      <x:c r="C354" s="26" t="str">
        <x:v>Flying</x:v>
      </x:c>
      <x:c r="D354" s="26" t="str">
        <x:v>Keyword reference</x:v>
      </x:c>
      <x:c r="E354" s="26" t="str">
        <x:v>Creatures with flying cannot be blocked except by other creatures with flying and/or reach. Flying is the most common keyword, and appears in all five colors, but chiefly in blue and white. Creatures with flying are often Dragons, Angels, Birds, and other creatures that have wings; flying can also be possessed by some monks and the Djinn.</x:v>
      </x:c>
      <x:c r="F354" s="26" t="str">
        <x:v>o:"Flying"</x:v>
      </x:c>
      <x:c r="G354" s="26" t="str">
        <x:v>Medium</x:v>
      </x:c>
      <x:c r="H354" s="26" t="str">
        <x:v>Named keyword ability</x:v>
      </x:c>
      <x:c r="I354" s="26" t="str">
        <x:v>keyword:</x:v>
      </x:c>
      <x:c r="J354" s="26" t="str">
        <x:v>kw:Flying</x:v>
      </x:c>
      <x:c r="K354" s="26" t="str">
        <x:v>o:"Flying"</x:v>
      </x:c>
      <x:c r="L354" s="26" t="str">
        <x:v>flying</x:v>
      </x:c>
      <x:c r="M354" s="26" t="str">
        <x:v>Translate directly</x:v>
      </x:c>
      <x:c r="N354" s="26" t="str">
        <x:v>Production-ready</x:v>
      </x:c>
      <x:c r="O354" s="43" t="n">
        <x:v>0.99</x:v>
      </x:c>
      <x:c r="P354" s="26" t="str">
        <x:v>kw: means the card has the keyword; o: may also match cards that merely mention it.</x:v>
      </x:c>
      <x:c r="Q354" s="26" t="str">
        <x:v>https://scryfall.com/docs/syntax</x:v>
      </x:c>
      <x:c r="R354" s="26" t="str">
        <x:v>2026-08-21</x:v>
      </x:c>
    </x:row>
    <x:row r="355">
      <x:c r="A355" s="26" t="str">
        <x:v>Keywords!A18:C18</x:v>
      </x:c>
      <x:c r="B355" s="26" t="str">
        <x:v>Evergreen Keywords</x:v>
      </x:c>
      <x:c r="C355" s="26" t="str">
        <x:v>Haste</x:v>
      </x:c>
      <x:c r="D355" s="26" t="str">
        <x:v>Keyword reference</x:v>
      </x:c>
      <x:c r="E355" s="26" t="str">
        <x:v>Creatures with the haste ability are able to attack and use abilities that involve the tap symbol on the turn a player gains control of them, instead of waiting until their controller's next turn. (An effect dubbed "summoning sickness" otherwise prevents a creature from attacking or using abilities with the tap symbol unless its controller controlled it since the start of their most recent turn.) Haste is an example of a retroactive keywording, as cards from almost every earlier set have possessed "may attack the turn [they] come into play" or "unaffected by summoning sickness", which was replaced by the word "haste". It was later changed to include untapping to activate abilities as well. Creatures with haste are most often red.</x:v>
      </x:c>
      <x:c r="F355" s="26" t="str">
        <x:v>o:"Haste"</x:v>
      </x:c>
      <x:c r="G355" s="26" t="str">
        <x:v>Medium</x:v>
      </x:c>
      <x:c r="H355" s="26" t="str">
        <x:v>Named keyword ability</x:v>
      </x:c>
      <x:c r="I355" s="26" t="str">
        <x:v>keyword:</x:v>
      </x:c>
      <x:c r="J355" s="26" t="str">
        <x:v>kw:Haste</x:v>
      </x:c>
      <x:c r="K355" s="26" t="str">
        <x:v>o:"Haste"</x:v>
      </x:c>
      <x:c r="L355" s="26" t="str">
        <x:v>haste</x:v>
      </x:c>
      <x:c r="M355" s="26" t="str">
        <x:v>Translate directly</x:v>
      </x:c>
      <x:c r="N355" s="26" t="str">
        <x:v>Production-ready</x:v>
      </x:c>
      <x:c r="O355" s="43" t="n">
        <x:v>0.99</x:v>
      </x:c>
      <x:c r="P355" s="26" t="str">
        <x:v>kw: means the card has the keyword; o: may also match cards that merely mention it.</x:v>
      </x:c>
      <x:c r="Q355" s="26" t="str">
        <x:v>https://scryfall.com/docs/syntax</x:v>
      </x:c>
      <x:c r="R355" s="26" t="str">
        <x:v>2026-08-21</x:v>
      </x:c>
    </x:row>
    <x:row r="356">
      <x:c r="A356" s="26" t="str">
        <x:v>Keywords!A19:C19</x:v>
      </x:c>
      <x:c r="B356" s="26" t="str">
        <x:v>Evergreen Keywords</x:v>
      </x:c>
      <x:c r="C356" s="26" t="str">
        <x:v>Hexproof</x:v>
      </x:c>
      <x:c r="D356" s="26" t="str">
        <x:v>Keyword reference</x:v>
      </x:c>
      <x:c r="E356" s="26" t="str">
        <x:v>A player or permanent with hexproof cannot be the target of spells or abilities controlled by an opponent. This is similar to shroud, but it does not deny the player (or their allies) the ability to target their own hexproof permanents. Cards that previously had or granted this ability were updated via rules errata to have hexproof with the release of the Commander decks. The Dominaria set introduced a variant of this keyword, hexproof from (quality), which (similarly to protection) prevents a permanent or player from being targeted by spells and abilities with listed quality.</x:v>
      </x:c>
      <x:c r="F356" s="26" t="str">
        <x:v>o:"Hexproof"</x:v>
      </x:c>
      <x:c r="G356" s="26" t="str">
        <x:v>Medium</x:v>
      </x:c>
      <x:c r="H356" s="26" t="str">
        <x:v>Named keyword ability</x:v>
      </x:c>
      <x:c r="I356" s="26" t="str">
        <x:v>keyword:</x:v>
      </x:c>
      <x:c r="J356" s="26" t="str">
        <x:v>kw:Hexproof</x:v>
      </x:c>
      <x:c r="K356" s="26" t="str">
        <x:v>o:"Hexproof"</x:v>
      </x:c>
      <x:c r="L356" s="26" t="str">
        <x:v>hexproof</x:v>
      </x:c>
      <x:c r="M356" s="26" t="str">
        <x:v>Translate directly</x:v>
      </x:c>
      <x:c r="N356" s="26" t="str">
        <x:v>Production-ready</x:v>
      </x:c>
      <x:c r="O356" s="43" t="n">
        <x:v>0.99</x:v>
      </x:c>
      <x:c r="P356" s="26" t="str">
        <x:v>kw: means the card has the keyword; o: may also match cards that merely mention it.</x:v>
      </x:c>
      <x:c r="Q356" s="26" t="str">
        <x:v>https://scryfall.com/docs/syntax</x:v>
      </x:c>
      <x:c r="R356" s="26" t="str">
        <x:v>2026-08-21</x:v>
      </x:c>
    </x:row>
    <x:row r="357">
      <x:c r="A357" s="26" t="str">
        <x:v>Keywords!A20:C20</x:v>
      </x:c>
      <x:c r="B357" s="26" t="str">
        <x:v>Evergreen Keywords</x:v>
      </x:c>
      <x:c r="C357" s="26" t="str">
        <x:v>Indestructible</x:v>
      </x:c>
      <x:c r="D357" s="26" t="str">
        <x:v>Keyword reference</x:v>
      </x:c>
      <x:c r="E357" s="26" t="str">
        <x:v>A permanent with indestructible cannot be destroyed by effects that say "Destroy" or by lethal damage. However, they can be countered, exiled, returned to the hand or library, sacrificed, or killed with effects that lower their toughness to zero. Initially appearing as a quality, indestructible was changed to a keyword so that it can be removed from a card to make it susceptible to being destroyed. Indestructible first appeared in Darksteel, chiefly among artifacts made of the titular metal, and has appeared in colored creatures in subsequent sets.</x:v>
      </x:c>
      <x:c r="F357" s="26" t="str">
        <x:v>o:"Indestructible"</x:v>
      </x:c>
      <x:c r="G357" s="26" t="str">
        <x:v>Medium</x:v>
      </x:c>
      <x:c r="H357" s="26" t="str">
        <x:v>Named keyword ability</x:v>
      </x:c>
      <x:c r="I357" s="26" t="str">
        <x:v>keyword:</x:v>
      </x:c>
      <x:c r="J357" s="26" t="str">
        <x:v>kw:Indestructible</x:v>
      </x:c>
      <x:c r="K357" s="26" t="str">
        <x:v>o:"Indestructible"</x:v>
      </x:c>
      <x:c r="L357" s="26" t="str">
        <x:v>indestructible</x:v>
      </x:c>
      <x:c r="M357" s="26" t="str">
        <x:v>Translate directly</x:v>
      </x:c>
      <x:c r="N357" s="26" t="str">
        <x:v>Production-ready</x:v>
      </x:c>
      <x:c r="O357" s="43" t="n">
        <x:v>0.99</x:v>
      </x:c>
      <x:c r="P357" s="26" t="str">
        <x:v>kw: means the card has the keyword; o: may also match cards that merely mention it.</x:v>
      </x:c>
      <x:c r="Q357" s="26" t="str">
        <x:v>https://scryfall.com/docs/syntax</x:v>
      </x:c>
      <x:c r="R357" s="26" t="str">
        <x:v>2026-08-21</x:v>
      </x:c>
    </x:row>
    <x:row r="358">
      <x:c r="A358" s="26" t="str">
        <x:v>Keywords!A21:C21</x:v>
      </x:c>
      <x:c r="B358" s="26" t="str">
        <x:v>Evergreen Keywords</x:v>
      </x:c>
      <x:c r="C358" s="26" t="str">
        <x:v>Lifelink</x:v>
      </x:c>
      <x:c r="D358" s="26" t="str">
        <x:v>Keyword reference</x:v>
      </x:c>
      <x:c r="E358" s="26" t="str">
        <x:v>Permanents with lifelink cause their controller to gain life whenever they deal damage equal to the amount of damage dealt. Lifelink as a keyword was introduced in Future Sight, though the ability had previously existed on numerous cards, with rules errata retroactively changing these to lifelink. Cards with similar abilities were not changed in this way. Lifelink was a triggered ability when it was issued but is now a static ability due to the Magic 2010 rules changes. (Cards that previously had a lifelink-like ability have been issued further errata to return them to their original functionality. The lone exception to this is the Mirrodin card Loxodon Warhammer, which, since it was reprinted in Tenth Edition with the lifelink keyword, retains that rather than the original functionality on all editions). Lifelink is found mostly on white cards, and also on black cards.</x:v>
      </x:c>
      <x:c r="F358" s="26" t="str">
        <x:v>o:"Lifelink"</x:v>
      </x:c>
      <x:c r="G358" s="26" t="str">
        <x:v>Medium</x:v>
      </x:c>
      <x:c r="H358" s="26" t="str">
        <x:v>Named keyword ability</x:v>
      </x:c>
      <x:c r="I358" s="26" t="str">
        <x:v>keyword:</x:v>
      </x:c>
      <x:c r="J358" s="26" t="str">
        <x:v>kw:Lifelink</x:v>
      </x:c>
      <x:c r="K358" s="26" t="str">
        <x:v>o:"Lifelink"</x:v>
      </x:c>
      <x:c r="L358" s="26" t="str">
        <x:v>lifelink</x:v>
      </x:c>
      <x:c r="M358" s="26" t="str">
        <x:v>Translate directly</x:v>
      </x:c>
      <x:c r="N358" s="26" t="str">
        <x:v>Production-ready</x:v>
      </x:c>
      <x:c r="O358" s="43" t="n">
        <x:v>0.99</x:v>
      </x:c>
      <x:c r="P358" s="26" t="str">
        <x:v>kw: means the card has the keyword; o: may also match cards that merely mention it.</x:v>
      </x:c>
      <x:c r="Q358" s="26" t="str">
        <x:v>https://scryfall.com/docs/syntax</x:v>
      </x:c>
      <x:c r="R358" s="26" t="str">
        <x:v>2026-08-21</x:v>
      </x:c>
    </x:row>
    <x:row r="359">
      <x:c r="A359" s="26" t="str">
        <x:v>Keywords!A22:C22</x:v>
      </x:c>
      <x:c r="B359" s="26" t="str">
        <x:v>Evergreen Keywords</x:v>
      </x:c>
      <x:c r="C359" s="26" t="str">
        <x:v>Menace</x:v>
      </x:c>
      <x:c r="D359" s="26" t="str">
        <x:v>Keyword reference</x:v>
      </x:c>
      <x:c r="E359" s="26" t="str">
        <x:v>A creature with menace can only be blocked by two or more creatures. Menace was instituted as a keyword in Magic Origins, and was retroactively applied to previous cards with that ability. Menace appears chiefly on black cards and red cards.</x:v>
      </x:c>
      <x:c r="F359" s="26" t="str">
        <x:v>o:"Menace"</x:v>
      </x:c>
      <x:c r="G359" s="26" t="str">
        <x:v>Medium</x:v>
      </x:c>
      <x:c r="H359" s="26" t="str">
        <x:v>Named keyword ability</x:v>
      </x:c>
      <x:c r="I359" s="26" t="str">
        <x:v>keyword:</x:v>
      </x:c>
      <x:c r="J359" s="26" t="str">
        <x:v>kw:Menace</x:v>
      </x:c>
      <x:c r="K359" s="26" t="str">
        <x:v>o:"Menace"</x:v>
      </x:c>
      <x:c r="L359" s="26" t="str">
        <x:v>menace</x:v>
      </x:c>
      <x:c r="M359" s="26" t="str">
        <x:v>Translate directly</x:v>
      </x:c>
      <x:c r="N359" s="26" t="str">
        <x:v>Production-ready</x:v>
      </x:c>
      <x:c r="O359" s="43" t="n">
        <x:v>0.99</x:v>
      </x:c>
      <x:c r="P359" s="26" t="str">
        <x:v>kw: means the card has the keyword; o: may also match cards that merely mention it.</x:v>
      </x:c>
      <x:c r="Q359" s="26" t="str">
        <x:v>https://scryfall.com/docs/syntax</x:v>
      </x:c>
      <x:c r="R359" s="26" t="str">
        <x:v>2026-08-21</x:v>
      </x:c>
    </x:row>
    <x:row r="360">
      <x:c r="A360" s="26" t="str">
        <x:v>Keywords!A23:C23</x:v>
      </x:c>
      <x:c r="B360" s="26" t="str">
        <x:v>Evergreen Keywords</x:v>
      </x:c>
      <x:c r="C360" s="26" t="str">
        <x:v>Protection</x:v>
      </x:c>
      <x:c r="D360" s="26" t="str">
        <x:v>Keyword reference</x:v>
      </x:c>
      <x:c r="E360" s="26" t="str">
        <x:v>This ability is written as Protection from (quality). A creature with protection from a quality cannot be enchanted, equipped, blocked, or targeted by anything with that quality, and all damage that would be dealt by a source of that quality is prevented, barring exceptions which explicitly state otherwise. For example, a creature with protection from red cannot be enchanted by red auras, blocked by red creatures, targeted by red spells and abilities, or take damage from red sources. A common mnemonic for which effects are prevented by protection is the acronym DEBT, standing for "Damage, Enchant (or Equip), Block, Target". Note that the protection ability does not prevent effects that do not target. If a creature gains protection while some of these effects are present, different things may happen. Any aura, equipment or fortifications attached to it that are no longer legally attached to it "fall off", becoming unattached. Auras that are not attached to anything are then put into their owners' graveyards, while equipment and fortifications stay on the battlefield. Any spells of that quality (or abilities of permanents of that quality) that target it lose that creature as a target (for example, a creature gained protection from red in response to being targeted with Lightning Bolt). If they no longer have any legal targets, the spell "fizzles" and has no effect. However, a creature gaining protection in response to being blocked by a creature does not cause it to become unblocked, though it will prevent all damage that blocking creature would do to the creature with protection. Initially this ability was limited to "Protection from (color)", but was later expanded to allow "Protection from artifacts" in Urza's Legacy, and officially expanded to allow "Protection from (quality)" in Invasion with the printing of Shoreline Raider. In Conflux, a card called Progenitus has "Protection from everything" – it cannot be blocked, cannot be equipped or enchanted, cannot be targeted by spells or abilities, and cannot be dealt damage. Most cards with protection are either white or an enemy color from the color of protection offered (i.e. most cards with protection from blues are red and green).</x:v>
      </x:c>
      <x:c r="F360" s="26" t="str">
        <x:v>o:"Protection"</x:v>
      </x:c>
      <x:c r="G360" s="26" t="str">
        <x:v>Medium</x:v>
      </x:c>
      <x:c r="H360" s="26" t="str">
        <x:v>Named keyword ability</x:v>
      </x:c>
      <x:c r="I360" s="26" t="str">
        <x:v>keyword:</x:v>
      </x:c>
      <x:c r="J360" s="26" t="str">
        <x:v>kw:Protection</x:v>
      </x:c>
      <x:c r="K360" s="26" t="str">
        <x:v>o:"Protection"</x:v>
      </x:c>
      <x:c r="L360" s="26" t="str">
        <x:v>protection</x:v>
      </x:c>
      <x:c r="M360" s="26" t="str">
        <x:v>Translate directly</x:v>
      </x:c>
      <x:c r="N360" s="26" t="str">
        <x:v>Production-ready</x:v>
      </x:c>
      <x:c r="O360" s="43" t="n">
        <x:v>0.99</x:v>
      </x:c>
      <x:c r="P360" s="26" t="str">
        <x:v>kw: means the card has the keyword; o: may also match cards that merely mention it.</x:v>
      </x:c>
      <x:c r="Q360" s="26" t="str">
        <x:v>https://scryfall.com/docs/syntax</x:v>
      </x:c>
      <x:c r="R360" s="26" t="str">
        <x:v>2026-08-21</x:v>
      </x:c>
    </x:row>
    <x:row r="361">
      <x:c r="A361" s="26" t="str">
        <x:v>Keywords!A24:C24</x:v>
      </x:c>
      <x:c r="B361" s="26" t="str">
        <x:v>Evergreen Keywords</x:v>
      </x:c>
      <x:c r="C361" s="26" t="str">
        <x:v>Prowess</x:v>
      </x:c>
      <x:c r="D361" s="26" t="str">
        <x:v>Keyword reference</x:v>
      </x:c>
      <x:c r="E361" s="26" t="str">
        <x:v>Prowess is a triggered ability. A creature with prowess gains +1/+1 (until end of turn) whenever a noncreature spell is cast by its controller. If a creature has multiple instances of prowess, each triggers separately. Prowess was introduced in Khans of Tarkir and became an evergreen keyword with Magic Origins. Prowess appears chiefly on blue cards, and also on red and some white cards. After the release of Hour of Devastation, Prowess is no longer considered Evergreen, and has a Storm scale value of 4, with complications in interactions cited as the cause. As of Core Set 2021, prowess has experienced somewhat of a comeback.</x:v>
      </x:c>
      <x:c r="F361" s="26" t="str">
        <x:v>o:"Prowess"</x:v>
      </x:c>
      <x:c r="G361" s="26" t="str">
        <x:v>Medium</x:v>
      </x:c>
      <x:c r="H361" s="26" t="str">
        <x:v>Named keyword ability</x:v>
      </x:c>
      <x:c r="I361" s="26" t="str">
        <x:v>keyword:</x:v>
      </x:c>
      <x:c r="J361" s="26" t="str">
        <x:v>kw:Prowess</x:v>
      </x:c>
      <x:c r="K361" s="26" t="str">
        <x:v>o:"Prowess"</x:v>
      </x:c>
      <x:c r="L361" s="26" t="str">
        <x:v>prowess</x:v>
      </x:c>
      <x:c r="M361" s="26" t="str">
        <x:v>Translate directly</x:v>
      </x:c>
      <x:c r="N361" s="26" t="str">
        <x:v>Production-ready</x:v>
      </x:c>
      <x:c r="O361" s="43" t="n">
        <x:v>0.99</x:v>
      </x:c>
      <x:c r="P361" s="26" t="str">
        <x:v>kw: means the card has the keyword; o: may also match cards that merely mention it.</x:v>
      </x:c>
      <x:c r="Q361" s="26" t="str">
        <x:v>https://scryfall.com/docs/syntax</x:v>
      </x:c>
      <x:c r="R361" s="26" t="str">
        <x:v>2026-08-21</x:v>
      </x:c>
    </x:row>
    <x:row r="362">
      <x:c r="A362" s="26" t="str">
        <x:v>Keywords!A25:C25</x:v>
      </x:c>
      <x:c r="B362" s="26" t="str">
        <x:v>Evergreen Keywords</x:v>
      </x:c>
      <x:c r="C362" s="26" t="str">
        <x:v>Reach</x:v>
      </x:c>
      <x:c r="D362" s="26" t="str">
        <x:v>Keyword reference</x:v>
      </x:c>
      <x:c r="E362" s="26" t="str">
        <x:v>Reach is a countermeasure to block creatures with flying. Creatures with flying can only be blocked by creatures with flying or reach. The keyword was introduced in Future Sight, and the flying rules themselves were changed to clarify this interaction. Older cards with the ability to "block as though [they] had flying" were issued rules errata to have reach. Reach is found primarily in green creatures, especially Spiders.</x:v>
      </x:c>
      <x:c r="F362" s="26" t="str">
        <x:v>o:"Reach"</x:v>
      </x:c>
      <x:c r="G362" s="26" t="str">
        <x:v>Medium</x:v>
      </x:c>
      <x:c r="H362" s="26" t="str">
        <x:v>Named keyword ability</x:v>
      </x:c>
      <x:c r="I362" s="26" t="str">
        <x:v>keyword:</x:v>
      </x:c>
      <x:c r="J362" s="26" t="str">
        <x:v>kw:Reach</x:v>
      </x:c>
      <x:c r="K362" s="26" t="str">
        <x:v>o:"Reach"</x:v>
      </x:c>
      <x:c r="L362" s="26" t="str">
        <x:v>reach</x:v>
      </x:c>
      <x:c r="M362" s="26" t="str">
        <x:v>Translate directly</x:v>
      </x:c>
      <x:c r="N362" s="26" t="str">
        <x:v>Production-ready</x:v>
      </x:c>
      <x:c r="O362" s="43" t="n">
        <x:v>0.99</x:v>
      </x:c>
      <x:c r="P362" s="26" t="str">
        <x:v>kw: means the card has the keyword; o: may also match cards that merely mention it.</x:v>
      </x:c>
      <x:c r="Q362" s="26" t="str">
        <x:v>https://scryfall.com/docs/syntax</x:v>
      </x:c>
      <x:c r="R362" s="26" t="str">
        <x:v>2026-08-21</x:v>
      </x:c>
    </x:row>
    <x:row r="363">
      <x:c r="A363" s="26" t="str">
        <x:v>Keywords!A26:C26</x:v>
      </x:c>
      <x:c r="B363" s="26" t="str">
        <x:v>Evergreen Keywords</x:v>
      </x:c>
      <x:c r="C363" s="26" t="str">
        <x:v>Trample</x:v>
      </x:c>
      <x:c r="D363" s="26" t="str">
        <x:v>Keyword reference</x:v>
      </x:c>
      <x:c r="E363" s="26" t="str">
        <x:v>An attacking creature with trample which is blocked may deal any excess damage, above what is needed to kill the blocker, directly to the defending player or the next blocker. The choice is made by the attacking player, as circumstances can arise in which "overkilling" the blocking creature is a more advantageous move. Trample is most often found on green or red creatures.</x:v>
      </x:c>
      <x:c r="F363" s="26" t="str">
        <x:v>o:"Trample"</x:v>
      </x:c>
      <x:c r="G363" s="26" t="str">
        <x:v>Medium</x:v>
      </x:c>
      <x:c r="H363" s="26" t="str">
        <x:v>Named keyword ability</x:v>
      </x:c>
      <x:c r="I363" s="26" t="str">
        <x:v>keyword:</x:v>
      </x:c>
      <x:c r="J363" s="26" t="str">
        <x:v>kw:Trample</x:v>
      </x:c>
      <x:c r="K363" s="26" t="str">
        <x:v>o:"Trample"</x:v>
      </x:c>
      <x:c r="L363" s="26" t="str">
        <x:v>trample</x:v>
      </x:c>
      <x:c r="M363" s="26" t="str">
        <x:v>Translate directly</x:v>
      </x:c>
      <x:c r="N363" s="26" t="str">
        <x:v>Production-ready</x:v>
      </x:c>
      <x:c r="O363" s="43" t="n">
        <x:v>0.99</x:v>
      </x:c>
      <x:c r="P363" s="26" t="str">
        <x:v>kw: means the card has the keyword; o: may also match cards that merely mention it.</x:v>
      </x:c>
      <x:c r="Q363" s="26" t="str">
        <x:v>https://scryfall.com/docs/syntax</x:v>
      </x:c>
      <x:c r="R363" s="26" t="str">
        <x:v>2026-08-21</x:v>
      </x:c>
    </x:row>
    <x:row r="364">
      <x:c r="A364" s="26" t="str">
        <x:v>Keywords!A27:C27</x:v>
      </x:c>
      <x:c r="B364" s="26" t="str">
        <x:v>Evergreen Keywords</x:v>
      </x:c>
      <x:c r="C364" s="26" t="str">
        <x:v>Vigilance</x:v>
      </x:c>
      <x:c r="D364" s="26" t="str">
        <x:v>Keyword reference</x:v>
      </x:c>
      <x:c r="E364" s="26" t="str">
        <x:v>Vigilance existed as an ability in Limited Edition Alpha, but was retroactively keyworded beginning with the Kamigawa block. Creatures with vigilance do not tap when attacking (prior to being keyworded, these creatures' rules text read "Attacking doesn't cause this creature to tap"), meaning they can still be used during the opponent's turn to block. Creatures with vigilance are primarily white and secondarily green.</x:v>
      </x:c>
      <x:c r="F364" s="26" t="str">
        <x:v>o:"Vigilance"</x:v>
      </x:c>
      <x:c r="G364" s="26" t="str">
        <x:v>Medium</x:v>
      </x:c>
      <x:c r="H364" s="26" t="str">
        <x:v>Named keyword ability</x:v>
      </x:c>
      <x:c r="I364" s="26" t="str">
        <x:v>keyword:</x:v>
      </x:c>
      <x:c r="J364" s="26" t="str">
        <x:v>kw:Vigilance</x:v>
      </x:c>
      <x:c r="K364" s="26" t="str">
        <x:v>o:"Vigilance"</x:v>
      </x:c>
      <x:c r="L364" s="26" t="str">
        <x:v>vigilance</x:v>
      </x:c>
      <x:c r="M364" s="26" t="str">
        <x:v>Translate directly</x:v>
      </x:c>
      <x:c r="N364" s="26" t="str">
        <x:v>Production-ready</x:v>
      </x:c>
      <x:c r="O364" s="43" t="n">
        <x:v>0.99</x:v>
      </x:c>
      <x:c r="P364" s="26" t="str">
        <x:v>kw: means the card has the keyword; o: may also match cards that merely mention it.</x:v>
      </x:c>
      <x:c r="Q364" s="26" t="str">
        <x:v>https://scryfall.com/docs/syntax</x:v>
      </x:c>
      <x:c r="R364" s="26" t="str">
        <x:v>2026-08-21</x:v>
      </x:c>
    </x:row>
    <x:row r="365">
      <x:c r="A365" s="26" t="str">
        <x:v>Keywords!A28:C28</x:v>
      </x:c>
      <x:c r="B365" s="26" t="str">
        <x:v>Keywords from Expert-Level Expansions</x:v>
      </x:c>
      <x:c r="C365" s="26" t="str">
        <x:v>Absorb</x:v>
      </x:c>
      <x:c r="D365" s="26" t="str">
        <x:v>Keyword reference</x:v>
      </x:c>
      <x:c r="E365" s="26" t="str">
        <x:v>This ability is written Absorb x, where x is a quantity of damage prevented on a creature with the ability. This ability appears on a single timeshifted creature from Future Sight. Older cards with this ability were not changed to grant absorb.</x:v>
      </x:c>
      <x:c r="F365" s="26" t="str">
        <x:v>o:"Absorb"</x:v>
      </x:c>
      <x:c r="G365" s="26" t="str">
        <x:v>Medium</x:v>
      </x:c>
      <x:c r="H365" s="26" t="str">
        <x:v>Named keyword / mechanic</x:v>
      </x:c>
      <x:c r="I365" s="26" t="str">
        <x:v>keyword: preferred</x:v>
      </x:c>
      <x:c r="J365" s="26" t="str">
        <x:v>kw:Absorb</x:v>
      </x:c>
      <x:c r="K365" s="26" t="str">
        <x:v>o:"Absorb"</x:v>
      </x:c>
      <x:c r="L365" s="26" t="str">
        <x:v>absorb</x:v>
      </x:c>
      <x:c r="M365" s="26" t="str">
        <x:v>Translate, but retain fallback</x:v>
      </x:c>
      <x:c r="N365" s="26" t="str">
        <x:v>Review</x:v>
      </x:c>
      <x:c r="O365" s="43" t="n">
        <x:v>0.88</x:v>
      </x:c>
      <x:c r="P365" s="26" t="str">
        <x:v>Mechanic taxonomy evolves; validate edge cases where the source list mixes keyword abilities, actions, or layouts.</x:v>
      </x:c>
      <x:c r="Q365" s="26" t="str">
        <x:v>https://scryfall.com/docs/syntax</x:v>
      </x:c>
      <x:c r="R365" s="26" t="str">
        <x:v>2026-08-21</x:v>
      </x:c>
    </x:row>
    <x:row r="366">
      <x:c r="A366" s="26" t="str">
        <x:v>Keywords!A29:C29</x:v>
      </x:c>
      <x:c r="B366" s="26" t="str">
        <x:v>Keywords from Expert-Level Expansions</x:v>
      </x:c>
      <x:c r="C366" s="26" t="str">
        <x:v>Adapt</x:v>
      </x:c>
      <x:c r="D366" s="26" t="str">
        <x:v>Keyword reference</x:v>
      </x:c>
      <x:c r="E366" s="26" t="str">
        <x:v>This ability is written (cost): Adapt x and is a tweaked version of the monstrosity mechanic. If a creature has no +1/+1 counters on it, the player may pay the adapt cost to put N +1/+1 counters on that creature. In comparison to monstrosity, if a creature somehow loses its +1/+1 counters, it can adapt again and pick up more. Alternatively, one can place counters in response to the activation to stop the creature from getting N counters. This mechanic first appears in Ravnica Allegiance and is usually associated with the Simic Combine.</x:v>
      </x:c>
      <x:c r="F366" s="26" t="str">
        <x:v>o:"Adapt"</x:v>
      </x:c>
      <x:c r="G366" s="26" t="str">
        <x:v>Medium</x:v>
      </x:c>
      <x:c r="H366" s="26" t="str">
        <x:v>Named keyword / mechanic</x:v>
      </x:c>
      <x:c r="I366" s="26" t="str">
        <x:v>keyword: preferred</x:v>
      </x:c>
      <x:c r="J366" s="26" t="str">
        <x:v>kw:Adapt</x:v>
      </x:c>
      <x:c r="K366" s="26" t="str">
        <x:v>o:"Adapt"</x:v>
      </x:c>
      <x:c r="L366" s="26" t="str">
        <x:v>adapt</x:v>
      </x:c>
      <x:c r="M366" s="26" t="str">
        <x:v>Translate, but retain fallback</x:v>
      </x:c>
      <x:c r="N366" s="26" t="str">
        <x:v>Review</x:v>
      </x:c>
      <x:c r="O366" s="43" t="n">
        <x:v>0.88</x:v>
      </x:c>
      <x:c r="P366" s="26" t="str">
        <x:v>Mechanic taxonomy evolves; validate edge cases where the source list mixes keyword abilities, actions, or layouts.</x:v>
      </x:c>
      <x:c r="Q366" s="26" t="str">
        <x:v>https://scryfall.com/docs/syntax</x:v>
      </x:c>
      <x:c r="R366" s="26" t="str">
        <x:v>2026-08-21</x:v>
      </x:c>
    </x:row>
    <x:row r="367">
      <x:c r="A367" s="26" t="str">
        <x:v>Keywords!A30:C30</x:v>
      </x:c>
      <x:c r="B367" s="26" t="str">
        <x:v>Keywords from Expert-Level Expansions</x:v>
      </x:c>
      <x:c r="C367" s="26" t="str">
        <x:v>Affinity</x:v>
      </x:c>
      <x:c r="D367" s="26" t="str">
        <x:v>Keyword reference</x:v>
      </x:c>
      <x:c r="E367" s="26" t="str">
        <x:v>This ability is written Affinity for (quality). A card with affinity costs 1 generic mana less to cast for each permanent with that quality under the caster's control. For instance, an artifact creature that costs 4 generic mana and has 'Affinity for artifacts', would be free if the player casting it controls four or more artifacts, whereas a sorcery with a printed cost of 4 generic mana and 1 blue mana, will cost a single blue mana regardless of whether its caster controls four or five (or more) artifacts. Affinity appeared throughout the Mirrodin block, usually for artifacts. A cycle of five cards in Darksteel had affinity for each of the basic land types.</x:v>
      </x:c>
      <x:c r="F367" s="26" t="str">
        <x:v>o:"Affinity"</x:v>
      </x:c>
      <x:c r="G367" s="26" t="str">
        <x:v>Medium</x:v>
      </x:c>
      <x:c r="H367" s="26" t="str">
        <x:v>Named keyword / mechanic</x:v>
      </x:c>
      <x:c r="I367" s="26" t="str">
        <x:v>keyword: preferred</x:v>
      </x:c>
      <x:c r="J367" s="26" t="str">
        <x:v>kw:Affinity</x:v>
      </x:c>
      <x:c r="K367" s="26" t="str">
        <x:v>o:"Affinity"</x:v>
      </x:c>
      <x:c r="L367" s="26" t="str">
        <x:v>affinity</x:v>
      </x:c>
      <x:c r="M367" s="26" t="str">
        <x:v>Translate, but retain fallback</x:v>
      </x:c>
      <x:c r="N367" s="26" t="str">
        <x:v>Review</x:v>
      </x:c>
      <x:c r="O367" s="43" t="n">
        <x:v>0.88</x:v>
      </x:c>
      <x:c r="P367" s="26" t="str">
        <x:v>Mechanic taxonomy evolves; validate edge cases where the source list mixes keyword abilities, actions, or layouts.</x:v>
      </x:c>
      <x:c r="Q367" s="26" t="str">
        <x:v>https://scryfall.com/docs/syntax</x:v>
      </x:c>
      <x:c r="R367" s="26" t="str">
        <x:v>2026-08-21</x:v>
      </x:c>
    </x:row>
    <x:row r="368">
      <x:c r="A368" s="26" t="str">
        <x:v>Keywords!A31:C31</x:v>
      </x:c>
      <x:c r="B368" s="26" t="str">
        <x:v>Keywords from Expert-Level Expansions</x:v>
      </x:c>
      <x:c r="C368" s="26" t="str">
        <x:v>Afflict</x:v>
      </x:c>
      <x:c r="D368" s="26" t="str">
        <x:v>Keyword reference</x:v>
      </x:c>
      <x:c r="E368" s="26" t="str">
        <x:v>This ability is written Afflict x. When a creature with afflict becomes blocked the defending player loses x life. This was a mechanic from the Hour of Devastation block and was primarily printed on blue, black and red zombie creatures from the set.</x:v>
      </x:c>
      <x:c r="F368" s="26" t="str">
        <x:v>o:"Afflict"</x:v>
      </x:c>
      <x:c r="G368" s="26" t="str">
        <x:v>Medium</x:v>
      </x:c>
      <x:c r="H368" s="26" t="str">
        <x:v>Named keyword / mechanic</x:v>
      </x:c>
      <x:c r="I368" s="26" t="str">
        <x:v>keyword: preferred</x:v>
      </x:c>
      <x:c r="J368" s="26" t="str">
        <x:v>kw:Afflict</x:v>
      </x:c>
      <x:c r="K368" s="26" t="str">
        <x:v>o:"Afflict"</x:v>
      </x:c>
      <x:c r="L368" s="26" t="str">
        <x:v>afflict</x:v>
      </x:c>
      <x:c r="M368" s="26" t="str">
        <x:v>Translate, but retain fallback</x:v>
      </x:c>
      <x:c r="N368" s="26" t="str">
        <x:v>Review</x:v>
      </x:c>
      <x:c r="O368" s="43" t="n">
        <x:v>0.88</x:v>
      </x:c>
      <x:c r="P368" s="26" t="str">
        <x:v>Mechanic taxonomy evolves; validate edge cases where the source list mixes keyword abilities, actions, or layouts.</x:v>
      </x:c>
      <x:c r="Q368" s="26" t="str">
        <x:v>https://scryfall.com/docs/syntax</x:v>
      </x:c>
      <x:c r="R368" s="26" t="str">
        <x:v>2026-08-21</x:v>
      </x:c>
    </x:row>
    <x:row r="369">
      <x:c r="A369" s="26" t="str">
        <x:v>Keywords!A32:C32</x:v>
      </x:c>
      <x:c r="B369" s="26" t="str">
        <x:v>Keywords from Expert-Level Expansions</x:v>
      </x:c>
      <x:c r="C369" s="26" t="str">
        <x:v>Afterlife</x:v>
      </x:c>
      <x:c r="D369" s="26" t="str">
        <x:v>Keyword reference</x:v>
      </x:c>
      <x:c r="E369" s="26" t="str">
        <x:v>This ability is written Afterlife x. When a creature with afterlife dies, its controller creates x 1/1 black and white spirit tokens with flying. This ability first appears in Ravnica Allegiance and is usually associated with the Orzhov Syndicate.</x:v>
      </x:c>
      <x:c r="F369" s="26" t="str">
        <x:v>o:"Afterlife"</x:v>
      </x:c>
      <x:c r="G369" s="26" t="str">
        <x:v>Medium</x:v>
      </x:c>
      <x:c r="H369" s="26" t="str">
        <x:v>Named keyword / mechanic</x:v>
      </x:c>
      <x:c r="I369" s="26" t="str">
        <x:v>keyword: preferred</x:v>
      </x:c>
      <x:c r="J369" s="26" t="str">
        <x:v>kw:Afterlife</x:v>
      </x:c>
      <x:c r="K369" s="26" t="str">
        <x:v>o:"Afterlife"</x:v>
      </x:c>
      <x:c r="L369" s="26" t="str">
        <x:v>afterlife</x:v>
      </x:c>
      <x:c r="M369" s="26" t="str">
        <x:v>Translate, but retain fallback</x:v>
      </x:c>
      <x:c r="N369" s="26" t="str">
        <x:v>Review</x:v>
      </x:c>
      <x:c r="O369" s="43" t="n">
        <x:v>0.88</x:v>
      </x:c>
      <x:c r="P369" s="26" t="str">
        <x:v>Mechanic taxonomy evolves; validate edge cases where the source list mixes keyword abilities, actions, or layouts.</x:v>
      </x:c>
      <x:c r="Q369" s="26" t="str">
        <x:v>https://scryfall.com/docs/syntax</x:v>
      </x:c>
      <x:c r="R369" s="26" t="str">
        <x:v>2026-08-21</x:v>
      </x:c>
    </x:row>
    <x:row r="370">
      <x:c r="A370" s="26" t="str">
        <x:v>Keywords!A33:C33</x:v>
      </x:c>
      <x:c r="B370" s="26" t="str">
        <x:v>Keywords from Expert-Level Expansions</x:v>
      </x:c>
      <x:c r="C370" s="26" t="str">
        <x:v>Aftermath</x:v>
      </x:c>
      <x:c r="D370" s="26" t="str">
        <x:v>Keyword reference</x:v>
      </x:c>
      <x:c r="E370" s="26" t="str">
        <x:v>Aftermath is an ability that appears on instant and sorcery split cards (a card with two separate card images printed on its face next to one another). Only one of the pair of images contains the aftermath ability. The half of the pair without the aftermath ability can be cast from the player's hand as normal. Once the physical card is in the player's graveyard (discard pile), the half of the pair that has the aftermath ability can be cast from the graveyard for the cost printed on the upper right of that card, after which the physical card is exiled. Functionally, this ability is a hybrid of the kicker and flashback abilities. As with kicker, cards with aftermath have a primary effect and a secondary optional effect that can be produced by paying an additional cost. As with flashback, the second effect can be cast from the graveyard at a time of the player's choosing. Aftermath appears in Amonkhet in all five colors, at rarities of uncommon and above.</x:v>
      </x:c>
      <x:c r="F370" s="26" t="str">
        <x:v>o:"Aftermath"</x:v>
      </x:c>
      <x:c r="G370" s="26" t="str">
        <x:v>Medium</x:v>
      </x:c>
      <x:c r="H370" s="26" t="str">
        <x:v>Named keyword / mechanic</x:v>
      </x:c>
      <x:c r="I370" s="26" t="str">
        <x:v>keyword: preferred</x:v>
      </x:c>
      <x:c r="J370" s="26" t="str">
        <x:v>kw:Aftermath</x:v>
      </x:c>
      <x:c r="K370" s="26" t="str">
        <x:v>o:"Aftermath"</x:v>
      </x:c>
      <x:c r="L370" s="26" t="str">
        <x:v>aftermath</x:v>
      </x:c>
      <x:c r="M370" s="26" t="str">
        <x:v>Translate, but retain fallback</x:v>
      </x:c>
      <x:c r="N370" s="26" t="str">
        <x:v>Review</x:v>
      </x:c>
      <x:c r="O370" s="43" t="n">
        <x:v>0.88</x:v>
      </x:c>
      <x:c r="P370" s="26" t="str">
        <x:v>Mechanic taxonomy evolves; validate edge cases where the source list mixes keyword abilities, actions, or layouts.</x:v>
      </x:c>
      <x:c r="Q370" s="26" t="str">
        <x:v>https://scryfall.com/docs/syntax</x:v>
      </x:c>
      <x:c r="R370" s="26" t="str">
        <x:v>2026-08-21</x:v>
      </x:c>
    </x:row>
    <x:row r="371">
      <x:c r="A371" s="26" t="str">
        <x:v>Keywords!A34:C34</x:v>
      </x:c>
      <x:c r="B371" s="26" t="str">
        <x:v>Keywords from Expert-Level Expansions</x:v>
      </x:c>
      <x:c r="C371" s="26" t="str">
        <x:v>Amplify</x:v>
      </x:c>
      <x:c r="D371" s="26" t="str">
        <x:v>Keyword reference</x:v>
      </x:c>
      <x:c r="E371" s="26" t="str">
        <x:v>This ability is written Amplify x. As a creature with amplify enters the battlefield, its controller may reveal any number of creature cards in their hand that share a creature type with the creature. That creature enters the battlefield with x +1/+1 counters on it for each card revealed this way. Amplify only appears in Legions.</x:v>
      </x:c>
      <x:c r="F371" s="26" t="str">
        <x:v>o:"Amplify"</x:v>
      </x:c>
      <x:c r="G371" s="26" t="str">
        <x:v>Medium</x:v>
      </x:c>
      <x:c r="H371" s="26" t="str">
        <x:v>Named keyword / mechanic</x:v>
      </x:c>
      <x:c r="I371" s="26" t="str">
        <x:v>keyword: preferred</x:v>
      </x:c>
      <x:c r="J371" s="26" t="str">
        <x:v>kw:Amplify</x:v>
      </x:c>
      <x:c r="K371" s="26" t="str">
        <x:v>o:"Amplify"</x:v>
      </x:c>
      <x:c r="L371" s="26" t="str">
        <x:v>amplify</x:v>
      </x:c>
      <x:c r="M371" s="26" t="str">
        <x:v>Translate, but retain fallback</x:v>
      </x:c>
      <x:c r="N371" s="26" t="str">
        <x:v>Review</x:v>
      </x:c>
      <x:c r="O371" s="43" t="n">
        <x:v>0.88</x:v>
      </x:c>
      <x:c r="P371" s="26" t="str">
        <x:v>Mechanic taxonomy evolves; validate edge cases where the source list mixes keyword abilities, actions, or layouts.</x:v>
      </x:c>
      <x:c r="Q371" s="26" t="str">
        <x:v>https://scryfall.com/docs/syntax</x:v>
      </x:c>
      <x:c r="R371" s="26" t="str">
        <x:v>2026-08-21</x:v>
      </x:c>
    </x:row>
    <x:row r="372">
      <x:c r="A372" s="26" t="str">
        <x:v>Keywords!A35:C35</x:v>
      </x:c>
      <x:c r="B372" s="26" t="str">
        <x:v>Keywords from Expert-Level Expansions</x:v>
      </x:c>
      <x:c r="C372" s="26" t="str">
        <x:v>Annihilator</x:v>
      </x:c>
      <x:c r="D372" s="26" t="str">
        <x:v>Keyword reference</x:v>
      </x:c>
      <x:c r="E372" s="26" t="str">
        <x:v>This ability is written Annihilator x. Whenever a creature with annihilator attacks, the defending player sacrifices x permanents. Annihilator abilities trigger and resolve during the declare attackers step. The defending player chooses and sacrifices the required number of permanents before they declare blockers. This is a triggered ability that appears exclusively on colorless Eldrazi cards from Rise of the Eldrazi.</x:v>
      </x:c>
      <x:c r="F372" s="26" t="str">
        <x:v>o:"Annihilator"</x:v>
      </x:c>
      <x:c r="G372" s="26" t="str">
        <x:v>Medium</x:v>
      </x:c>
      <x:c r="H372" s="26" t="str">
        <x:v>Named keyword / mechanic</x:v>
      </x:c>
      <x:c r="I372" s="26" t="str">
        <x:v>keyword: preferred</x:v>
      </x:c>
      <x:c r="J372" s="26" t="str">
        <x:v>kw:Annihilator</x:v>
      </x:c>
      <x:c r="K372" s="26" t="str">
        <x:v>o:"Annihilator"</x:v>
      </x:c>
      <x:c r="L372" s="26" t="str">
        <x:v>annihilator</x:v>
      </x:c>
      <x:c r="M372" s="26" t="str">
        <x:v>Translate, but retain fallback</x:v>
      </x:c>
      <x:c r="N372" s="26" t="str">
        <x:v>Review</x:v>
      </x:c>
      <x:c r="O372" s="43" t="n">
        <x:v>0.88</x:v>
      </x:c>
      <x:c r="P372" s="26" t="str">
        <x:v>Mechanic taxonomy evolves; validate edge cases where the source list mixes keyword abilities, actions, or layouts.</x:v>
      </x:c>
      <x:c r="Q372" s="26" t="str">
        <x:v>https://scryfall.com/docs/syntax</x:v>
      </x:c>
      <x:c r="R372" s="26" t="str">
        <x:v>2026-08-21</x:v>
      </x:c>
    </x:row>
    <x:row r="373">
      <x:c r="A373" s="26" t="str">
        <x:v>Keywords!A36:C36</x:v>
      </x:c>
      <x:c r="B373" s="26" t="str">
        <x:v>Keywords from Expert-Level Expansions</x:v>
      </x:c>
      <x:c r="C373" s="26" t="str">
        <x:v>Ascend</x:v>
      </x:c>
      <x:c r="D373" s="26" t="str">
        <x:v>Keyword reference</x:v>
      </x:c>
      <x:c r="E373" s="26" t="str">
        <x:v>Ascend is an ability that checks if the player controls ten or more permanents. On permanent cards, the check is performed constantly; on instants and sorceries, the check is performed as the spell resolves. Regardless of source, if the player passes the check, they gain a unique quality called city blessing for the rest of the game, which empowers all cards with ascend in various ways. This mechanic appears in all colors in Rivals of Ixalan set.</x:v>
      </x:c>
      <x:c r="F373" s="26" t="str">
        <x:v>o:"Ascend"</x:v>
      </x:c>
      <x:c r="G373" s="26" t="str">
        <x:v>Medium</x:v>
      </x:c>
      <x:c r="H373" s="26" t="str">
        <x:v>Named keyword / mechanic</x:v>
      </x:c>
      <x:c r="I373" s="26" t="str">
        <x:v>keyword: preferred</x:v>
      </x:c>
      <x:c r="J373" s="26" t="str">
        <x:v>kw:Ascend</x:v>
      </x:c>
      <x:c r="K373" s="26" t="str">
        <x:v>o:"Ascend"</x:v>
      </x:c>
      <x:c r="L373" s="26" t="str">
        <x:v>ascend</x:v>
      </x:c>
      <x:c r="M373" s="26" t="str">
        <x:v>Translate, but retain fallback</x:v>
      </x:c>
      <x:c r="N373" s="26" t="str">
        <x:v>Review</x:v>
      </x:c>
      <x:c r="O373" s="43" t="n">
        <x:v>0.88</x:v>
      </x:c>
      <x:c r="P373" s="26" t="str">
        <x:v>Mechanic taxonomy evolves; validate edge cases where the source list mixes keyword abilities, actions, or layouts.</x:v>
      </x:c>
      <x:c r="Q373" s="26" t="str">
        <x:v>https://scryfall.com/docs/syntax</x:v>
      </x:c>
      <x:c r="R373" s="26" t="str">
        <x:v>2026-08-21</x:v>
      </x:c>
    </x:row>
    <x:row r="374">
      <x:c r="A374" s="26" t="str">
        <x:v>Keywords!A37:C37</x:v>
      </x:c>
      <x:c r="B374" s="26" t="str">
        <x:v>Keywords from Expert-Level Expansions</x:v>
      </x:c>
      <x:c r="C374" s="26" t="str">
        <x:v>Assist</x:v>
      </x:c>
      <x:c r="D374" s="26" t="str">
        <x:v>Keyword reference</x:v>
      </x:c>
      <x:c r="E374" s="26" t="str">
        <x:v>This ability is written Assist (Another player can pay up to {base ammount of generic mana used to cast spell} of this spell's cost. This keyword can be on any card with a mana cost containing generic mana, but was only ever printed on creature, instant, and sorcery cards. additionally, this keyword was used exclusively in the Battlebond set.</x:v>
      </x:c>
      <x:c r="F374" s="26" t="str">
        <x:v>o:"Assist"</x:v>
      </x:c>
      <x:c r="G374" s="26" t="str">
        <x:v>Medium</x:v>
      </x:c>
      <x:c r="H374" s="26" t="str">
        <x:v>Named keyword / mechanic</x:v>
      </x:c>
      <x:c r="I374" s="26" t="str">
        <x:v>keyword: preferred</x:v>
      </x:c>
      <x:c r="J374" s="26" t="str">
        <x:v>kw:Assist</x:v>
      </x:c>
      <x:c r="K374" s="26" t="str">
        <x:v>o:"Assist"</x:v>
      </x:c>
      <x:c r="L374" s="26" t="str">
        <x:v>assist</x:v>
      </x:c>
      <x:c r="M374" s="26" t="str">
        <x:v>Translate, but retain fallback</x:v>
      </x:c>
      <x:c r="N374" s="26" t="str">
        <x:v>Review</x:v>
      </x:c>
      <x:c r="O374" s="43" t="n">
        <x:v>0.88</x:v>
      </x:c>
      <x:c r="P374" s="26" t="str">
        <x:v>Mechanic taxonomy evolves; validate edge cases where the source list mixes keyword abilities, actions, or layouts.</x:v>
      </x:c>
      <x:c r="Q374" s="26" t="str">
        <x:v>https://scryfall.com/docs/syntax</x:v>
      </x:c>
      <x:c r="R374" s="26" t="str">
        <x:v>2026-08-21</x:v>
      </x:c>
    </x:row>
    <x:row r="375">
      <x:c r="A375" s="26" t="str">
        <x:v>Keywords!A38:C38</x:v>
      </x:c>
      <x:c r="B375" s="26" t="str">
        <x:v>Keywords from Expert-Level Expansions</x:v>
      </x:c>
      <x:c r="C375" s="26" t="str">
        <x:v>Aura swap</x:v>
      </x:c>
      <x:c r="D375" s="26" t="str">
        <x:v>Keyword reference</x:v>
      </x:c>
      <x:c r="E375" s="26" t="str">
        <x:v>This ability is written Aura swap (cost). By paying the aura swap cost, the player may exchange the Aura with this ability with an Aura card in their hand, if they control and own the Aura with aura swap. This ability appears on a single timeshifted Aura, Arcanum Wings, from Future Sight.</x:v>
      </x:c>
      <x:c r="F375" s="26" t="str">
        <x:v>o:"Aura swap"</x:v>
      </x:c>
      <x:c r="G375" s="26" t="str">
        <x:v>Medium</x:v>
      </x:c>
      <x:c r="H375" s="26" t="str">
        <x:v>Named keyword / mechanic</x:v>
      </x:c>
      <x:c r="I375" s="26" t="str">
        <x:v>keyword: preferred</x:v>
      </x:c>
      <x:c r="J375" s="26" t="str">
        <x:v>kw:"Aura swap"</x:v>
      </x:c>
      <x:c r="K375" s="26" t="str">
        <x:v>o:"Aura swap"</x:v>
      </x:c>
      <x:c r="L375" s="26" t="str">
        <x:v>aura swap</x:v>
      </x:c>
      <x:c r="M375" s="26" t="str">
        <x:v>Translate, but retain fallback</x:v>
      </x:c>
      <x:c r="N375" s="26" t="str">
        <x:v>Review</x:v>
      </x:c>
      <x:c r="O375" s="43" t="n">
        <x:v>0.88</x:v>
      </x:c>
      <x:c r="P375" s="26" t="str">
        <x:v>Mechanic taxonomy evolves; validate edge cases where the source list mixes keyword abilities, actions, or layouts.</x:v>
      </x:c>
      <x:c r="Q375" s="26" t="str">
        <x:v>https://scryfall.com/docs/syntax</x:v>
      </x:c>
      <x:c r="R375" s="26" t="str">
        <x:v>2026-08-21</x:v>
      </x:c>
    </x:row>
    <x:row r="376">
      <x:c r="A376" s="26" t="str">
        <x:v>Keywords!A39:C39</x:v>
      </x:c>
      <x:c r="B376" s="26" t="str">
        <x:v>Keywords from Expert-Level Expansions</x:v>
      </x:c>
      <x:c r="C376" s="26" t="str">
        <x:v>Bands with other</x:v>
      </x:c>
      <x:c r="D376" s="26" t="str">
        <x:v>Keyword reference</x:v>
      </x:c>
      <x:c r="E376" s="26" t="str">
        <x:v>This ability is a limited version of banding, written as Bands with other (quality). A creature with this ability has banding, but can only band with creatures that have the same ability; e.g. are of the creature type or sub-type (quality), are of the color (quality), and so on. Unlike normal banding, in an attacking band only one creature is required to have the bands with other (quality) ability, so long as all other creatures in the band have the specified quality. All other banding rules apply. Prior to the rules revisions made with the release of Magic 2010, "bands with other" worked in a significantly different manner. Rather than limiting a creature with this ability to banding with other creatures with the specified quality, the ability instead required all creatures in the band to have the same "bands with other (quality)" ability or regular banding. The limitations (and counter-intuitiveness) of the ability under these rules led to "bands with other" being called "possibly the worst keyworded ability of all time" by Magic rules manager Mark Gottlieb in the article "Absurd or Ridiculous? You Decide". "Bands with other" appears on only nine cards: eight in Legends and one in Unhinged. The only objects that natively have the ability are Wolves of the Hunt tokens created by the card Master of the Hunt and the Unhinged card Old Fogey.</x:v>
      </x:c>
      <x:c r="F376" s="26" t="str">
        <x:v>o:"Bands with other"</x:v>
      </x:c>
      <x:c r="G376" s="26" t="str">
        <x:v>Medium</x:v>
      </x:c>
      <x:c r="H376" s="26" t="str">
        <x:v>Named keyword / mechanic</x:v>
      </x:c>
      <x:c r="I376" s="26" t="str">
        <x:v>keyword: preferred</x:v>
      </x:c>
      <x:c r="J376" s="26" t="str">
        <x:v>kw:"Bands with other"</x:v>
      </x:c>
      <x:c r="K376" s="26" t="str">
        <x:v>o:"Bands with other"</x:v>
      </x:c>
      <x:c r="L376" s="26" t="str">
        <x:v>bands with other</x:v>
      </x:c>
      <x:c r="M376" s="26" t="str">
        <x:v>Translate, but retain fallback</x:v>
      </x:c>
      <x:c r="N376" s="26" t="str">
        <x:v>Review</x:v>
      </x:c>
      <x:c r="O376" s="43" t="n">
        <x:v>0.88</x:v>
      </x:c>
      <x:c r="P376" s="26" t="str">
        <x:v>Mechanic taxonomy evolves; validate edge cases where the source list mixes keyword abilities, actions, or layouts.</x:v>
      </x:c>
      <x:c r="Q376" s="26" t="str">
        <x:v>https://scryfall.com/docs/syntax</x:v>
      </x:c>
      <x:c r="R376" s="26" t="str">
        <x:v>2026-08-21</x:v>
      </x:c>
    </x:row>
    <x:row r="377">
      <x:c r="A377" s="26" t="str">
        <x:v>Keywords!A40:C40</x:v>
      </x:c>
      <x:c r="B377" s="26" t="str">
        <x:v>Keywords from Expert-Level Expansions</x:v>
      </x:c>
      <x:c r="C377" s="26" t="str">
        <x:v>Battle cry</x:v>
      </x:c>
      <x:c r="D377" s="26" t="str">
        <x:v>Keyword reference</x:v>
      </x:c>
      <x:c r="E377" s="26" t="str">
        <x:v>When a creature with battle cry attacks, all other attacking creatures get +1/+0 until the end of the turn. Battle cry was introduced in Mirrodin Besieged and appears on Mirrodin cards.</x:v>
      </x:c>
      <x:c r="F377" s="26" t="str">
        <x:v>o:"Battle cry"</x:v>
      </x:c>
      <x:c r="G377" s="26" t="str">
        <x:v>Medium</x:v>
      </x:c>
      <x:c r="H377" s="26" t="str">
        <x:v>Named keyword / mechanic</x:v>
      </x:c>
      <x:c r="I377" s="26" t="str">
        <x:v>keyword: preferred</x:v>
      </x:c>
      <x:c r="J377" s="26" t="str">
        <x:v>kw:"Battle cry"</x:v>
      </x:c>
      <x:c r="K377" s="26" t="str">
        <x:v>o:"Battle cry"</x:v>
      </x:c>
      <x:c r="L377" s="26" t="str">
        <x:v>battle cry</x:v>
      </x:c>
      <x:c r="M377" s="26" t="str">
        <x:v>Translate, but retain fallback</x:v>
      </x:c>
      <x:c r="N377" s="26" t="str">
        <x:v>Review</x:v>
      </x:c>
      <x:c r="O377" s="43" t="n">
        <x:v>0.88</x:v>
      </x:c>
      <x:c r="P377" s="26" t="str">
        <x:v>Mechanic taxonomy evolves; validate edge cases where the source list mixes keyword abilities, actions, or layouts.</x:v>
      </x:c>
      <x:c r="Q377" s="26" t="str">
        <x:v>https://scryfall.com/docs/syntax</x:v>
      </x:c>
      <x:c r="R377" s="26" t="str">
        <x:v>2026-08-21</x:v>
      </x:c>
    </x:row>
    <x:row r="378">
      <x:c r="A378" s="26" t="str">
        <x:v>Keywords!A41:C41</x:v>
      </x:c>
      <x:c r="B378" s="26" t="str">
        <x:v>Keywords from Expert-Level Expansions</x:v>
      </x:c>
      <x:c r="C378" s="26" t="str">
        <x:v>Bestow</x:v>
      </x:c>
      <x:c r="D378" s="26" t="str">
        <x:v>Keyword reference</x:v>
      </x:c>
      <x:c r="E378" s="26" t="str">
        <x:v>This ability is written Bestow (cost) and appears on enchantment creatures. A creature with bestow gives the player the option to cast it as an Aura that enchants a creature, granting that creature its power, toughness, and abilities. A bestow card cast for its normal cost will enter the stack as a creature spell. By choosing to pay the alternative cost, which is a static ability, it becomes an Enchantment-Aura spell; if the creature it targets leaves the battlefield before the bestow card resolves or while the bestow card is enchanting the creature, the bestow card enters the battlefield as an enchantment creature – unlike a regular aura card which would go to the graveyard. This mechanic first appeared on some enchantment creatures from the Theros block.</x:v>
      </x:c>
      <x:c r="F378" s="26" t="str">
        <x:v>o:"Bestow"</x:v>
      </x:c>
      <x:c r="G378" s="26" t="str">
        <x:v>Medium</x:v>
      </x:c>
      <x:c r="H378" s="26" t="str">
        <x:v>Named keyword / mechanic</x:v>
      </x:c>
      <x:c r="I378" s="26" t="str">
        <x:v>keyword: preferred</x:v>
      </x:c>
      <x:c r="J378" s="26" t="str">
        <x:v>kw:Bestow</x:v>
      </x:c>
      <x:c r="K378" s="26" t="str">
        <x:v>o:"Bestow"</x:v>
      </x:c>
      <x:c r="L378" s="26" t="str">
        <x:v>bestow</x:v>
      </x:c>
      <x:c r="M378" s="26" t="str">
        <x:v>Translate, but retain fallback</x:v>
      </x:c>
      <x:c r="N378" s="26" t="str">
        <x:v>Review</x:v>
      </x:c>
      <x:c r="O378" s="43" t="n">
        <x:v>0.88</x:v>
      </x:c>
      <x:c r="P378" s="26" t="str">
        <x:v>Mechanic taxonomy evolves; validate edge cases where the source list mixes keyword abilities, actions, or layouts.</x:v>
      </x:c>
      <x:c r="Q378" s="26" t="str">
        <x:v>https://scryfall.com/docs/syntax</x:v>
      </x:c>
      <x:c r="R378" s="26" t="str">
        <x:v>2026-08-21</x:v>
      </x:c>
    </x:row>
    <x:row r="379">
      <x:c r="A379" s="26" t="str">
        <x:v>Keywords!A42:C42</x:v>
      </x:c>
      <x:c r="B379" s="26" t="str">
        <x:v>Keywords from Expert-Level Expansions</x:v>
      </x:c>
      <x:c r="C379" s="26" t="str">
        <x:v>Bolster</x:v>
      </x:c>
      <x:c r="D379" s="26" t="str">
        <x:v>Keyword reference</x:v>
      </x:c>
      <x:c r="E379" s="26" t="str">
        <x:v>This is a keyword action, written Bolster x. When a player bolsters, the player chooses one of their creatures with the lowest toughness among them and puts x +1/+1 counters on it. The bolster effect does not target; the choice of creature is made at the resolution of the spell or ability. It first appeared in Fate Reforged.</x:v>
      </x:c>
      <x:c r="F379" s="26" t="str">
        <x:v>o:"Bolster"</x:v>
      </x:c>
      <x:c r="G379" s="26" t="str">
        <x:v>Medium</x:v>
      </x:c>
      <x:c r="H379" s="26" t="str">
        <x:v>Named keyword / mechanic</x:v>
      </x:c>
      <x:c r="I379" s="26" t="str">
        <x:v>keyword: preferred</x:v>
      </x:c>
      <x:c r="J379" s="26" t="str">
        <x:v>kw:Bolster</x:v>
      </x:c>
      <x:c r="K379" s="26" t="str">
        <x:v>o:"Bolster"</x:v>
      </x:c>
      <x:c r="L379" s="26" t="str">
        <x:v>bolster</x:v>
      </x:c>
      <x:c r="M379" s="26" t="str">
        <x:v>Translate, but retain fallback</x:v>
      </x:c>
      <x:c r="N379" s="26" t="str">
        <x:v>Review</x:v>
      </x:c>
      <x:c r="O379" s="43" t="n">
        <x:v>0.88</x:v>
      </x:c>
      <x:c r="P379" s="26" t="str">
        <x:v>Mechanic taxonomy evolves; validate edge cases where the source list mixes keyword abilities, actions, or layouts.</x:v>
      </x:c>
      <x:c r="Q379" s="26" t="str">
        <x:v>https://scryfall.com/docs/syntax</x:v>
      </x:c>
      <x:c r="R379" s="26" t="str">
        <x:v>2026-08-21</x:v>
      </x:c>
    </x:row>
    <x:row r="380">
      <x:c r="A380" s="26" t="str">
        <x:v>Keywords!A43:C43</x:v>
      </x:c>
      <x:c r="B380" s="26" t="str">
        <x:v>Keywords from Expert-Level Expansions</x:v>
      </x:c>
      <x:c r="C380" s="26" t="str">
        <x:v>Bloodthirst</x:v>
      </x:c>
      <x:c r="D380" s="26" t="str">
        <x:v>Keyword reference</x:v>
      </x:c>
      <x:c r="E380" s="26" t="str">
        <x:v>This ability is written Bloodthirst x. A creature with bloodthirst x enters the battlefield with x +1/+1 counters on it if an opponent was damaged during that turn. Bloodthirst appears mainly in the sets Guildpact and Magic 2012, and is mostly associated with the Gruul Clans (green and red colors), though it can be found on some black cards too.</x:v>
      </x:c>
      <x:c r="F380" s="26" t="str">
        <x:v>o:"Bloodthirst"</x:v>
      </x:c>
      <x:c r="G380" s="26" t="str">
        <x:v>Medium</x:v>
      </x:c>
      <x:c r="H380" s="26" t="str">
        <x:v>Named keyword / mechanic</x:v>
      </x:c>
      <x:c r="I380" s="26" t="str">
        <x:v>keyword: preferred</x:v>
      </x:c>
      <x:c r="J380" s="26" t="str">
        <x:v>kw:Bloodthirst</x:v>
      </x:c>
      <x:c r="K380" s="26" t="str">
        <x:v>o:"Bloodthirst"</x:v>
      </x:c>
      <x:c r="L380" s="26" t="str">
        <x:v>bloodthirst</x:v>
      </x:c>
      <x:c r="M380" s="26" t="str">
        <x:v>Translate, but retain fallback</x:v>
      </x:c>
      <x:c r="N380" s="26" t="str">
        <x:v>Review</x:v>
      </x:c>
      <x:c r="O380" s="43" t="n">
        <x:v>0.88</x:v>
      </x:c>
      <x:c r="P380" s="26" t="str">
        <x:v>Mechanic taxonomy evolves; validate edge cases where the source list mixes keyword abilities, actions, or layouts.</x:v>
      </x:c>
      <x:c r="Q380" s="26" t="str">
        <x:v>https://scryfall.com/docs/syntax</x:v>
      </x:c>
      <x:c r="R380" s="26" t="str">
        <x:v>2026-08-21</x:v>
      </x:c>
    </x:row>
    <x:row r="381">
      <x:c r="A381" s="26" t="str">
        <x:v>Keywords!A44:C44</x:v>
      </x:c>
      <x:c r="B381" s="26" t="str">
        <x:v>Keywords from Expert-Level Expansions</x:v>
      </x:c>
      <x:c r="C381" s="26" t="str">
        <x:v>Bushido</x:v>
      </x:c>
      <x:c r="D381" s="26" t="str">
        <x:v>Keyword reference</x:v>
      </x:c>
      <x:c r="E381" s="26" t="str">
        <x:v>This ability is written Bushido x. When a creature with bushido blocks or becomes blocked, it gets +x/+x until end of turn. Bushido appears on all Samurai in the Kamigawa block, and only on Samurai. Earlier cards with this ability were not given errata to have bushido.</x:v>
      </x:c>
      <x:c r="F381" s="26" t="str">
        <x:v>o:"Bushido"</x:v>
      </x:c>
      <x:c r="G381" s="26" t="str">
        <x:v>Medium</x:v>
      </x:c>
      <x:c r="H381" s="26" t="str">
        <x:v>Named keyword / mechanic</x:v>
      </x:c>
      <x:c r="I381" s="26" t="str">
        <x:v>keyword: preferred</x:v>
      </x:c>
      <x:c r="J381" s="26" t="str">
        <x:v>kw:Bushido</x:v>
      </x:c>
      <x:c r="K381" s="26" t="str">
        <x:v>o:"Bushido"</x:v>
      </x:c>
      <x:c r="L381" s="26" t="str">
        <x:v>bushido</x:v>
      </x:c>
      <x:c r="M381" s="26" t="str">
        <x:v>Translate, but retain fallback</x:v>
      </x:c>
      <x:c r="N381" s="26" t="str">
        <x:v>Review</x:v>
      </x:c>
      <x:c r="O381" s="43" t="n">
        <x:v>0.88</x:v>
      </x:c>
      <x:c r="P381" s="26" t="str">
        <x:v>Mechanic taxonomy evolves; validate edge cases where the source list mixes keyword abilities, actions, or layouts.</x:v>
      </x:c>
      <x:c r="Q381" s="26" t="str">
        <x:v>https://scryfall.com/docs/syntax</x:v>
      </x:c>
      <x:c r="R381" s="26" t="str">
        <x:v>2026-08-21</x:v>
      </x:c>
    </x:row>
    <x:row r="382">
      <x:c r="A382" s="26" t="str">
        <x:v>Keywords!A45:C45</x:v>
      </x:c>
      <x:c r="B382" s="26" t="str">
        <x:v>Keywords from Expert-Level Expansions</x:v>
      </x:c>
      <x:c r="C382" s="26" t="str">
        <x:v>Buyback</x:v>
      </x:c>
      <x:c r="D382" s="26" t="str">
        <x:v>Keyword reference</x:v>
      </x:c>
      <x:c r="E382" s="26" t="str">
        <x:v>This ability is written Buyback (cost). It appears on instants and sorceries and is an additional, optional cost when casting the card. If the buyback cost was paid, the card returns to its owner's hand upon resolving, instead of going to the graveyard. Buyback first appears in the Tempest block.</x:v>
      </x:c>
      <x:c r="F382" s="26" t="str">
        <x:v>o:"Buyback"</x:v>
      </x:c>
      <x:c r="G382" s="26" t="str">
        <x:v>Medium</x:v>
      </x:c>
      <x:c r="H382" s="26" t="str">
        <x:v>Named keyword / mechanic</x:v>
      </x:c>
      <x:c r="I382" s="26" t="str">
        <x:v>keyword: preferred</x:v>
      </x:c>
      <x:c r="J382" s="26" t="str">
        <x:v>kw:Buyback</x:v>
      </x:c>
      <x:c r="K382" s="26" t="str">
        <x:v>o:"Buyback"</x:v>
      </x:c>
      <x:c r="L382" s="26" t="str">
        <x:v>buyback</x:v>
      </x:c>
      <x:c r="M382" s="26" t="str">
        <x:v>Translate, but retain fallback</x:v>
      </x:c>
      <x:c r="N382" s="26" t="str">
        <x:v>Review</x:v>
      </x:c>
      <x:c r="O382" s="43" t="n">
        <x:v>0.88</x:v>
      </x:c>
      <x:c r="P382" s="26" t="str">
        <x:v>Mechanic taxonomy evolves; validate edge cases where the source list mixes keyword abilities, actions, or layouts.</x:v>
      </x:c>
      <x:c r="Q382" s="26" t="str">
        <x:v>https://scryfall.com/docs/syntax</x:v>
      </x:c>
      <x:c r="R382" s="26" t="str">
        <x:v>2026-08-21</x:v>
      </x:c>
    </x:row>
    <x:row r="383">
      <x:c r="A383" s="26" t="str">
        <x:v>Keywords!A46:C46</x:v>
      </x:c>
      <x:c r="B383" s="26" t="str">
        <x:v>Keywords from Expert-Level Expansions</x:v>
      </x:c>
      <x:c r="C383" s="26" t="str">
        <x:v>Cascade</x:v>
      </x:c>
      <x:c r="D383" s="26" t="str">
        <x:v>Keyword reference</x:v>
      </x:c>
      <x:c r="E383" s="26" t="str">
        <x:v>When a spell with cascade is cast, its controller reveals cards from the top of their deck until a non-land card that has a lower converted mana cost is revealed. That player may then (in addition to the original spell) cast the revealed spell without paying its mana cost; all other revealed cards are put on the bottom of the deck in a random order. Cascade was introduced in Alara Reborn and is the main feature of the "Chaos Reigns" deck from the Planechase 2012 expansion.</x:v>
      </x:c>
      <x:c r="F383" s="26" t="str">
        <x:v>o:"Cascade"</x:v>
      </x:c>
      <x:c r="G383" s="26" t="str">
        <x:v>Medium</x:v>
      </x:c>
      <x:c r="H383" s="26" t="str">
        <x:v>Named keyword / mechanic</x:v>
      </x:c>
      <x:c r="I383" s="26" t="str">
        <x:v>keyword: preferred</x:v>
      </x:c>
      <x:c r="J383" s="26" t="str">
        <x:v>kw:Cascade</x:v>
      </x:c>
      <x:c r="K383" s="26" t="str">
        <x:v>o:"Cascade"</x:v>
      </x:c>
      <x:c r="L383" s="26" t="str">
        <x:v>cascade</x:v>
      </x:c>
      <x:c r="M383" s="26" t="str">
        <x:v>Translate, but retain fallback</x:v>
      </x:c>
      <x:c r="N383" s="26" t="str">
        <x:v>Review</x:v>
      </x:c>
      <x:c r="O383" s="43" t="n">
        <x:v>0.88</x:v>
      </x:c>
      <x:c r="P383" s="26" t="str">
        <x:v>Mechanic taxonomy evolves; validate edge cases where the source list mixes keyword abilities, actions, or layouts.</x:v>
      </x:c>
      <x:c r="Q383" s="26" t="str">
        <x:v>https://scryfall.com/docs/syntax</x:v>
      </x:c>
      <x:c r="R383" s="26" t="str">
        <x:v>2026-08-21</x:v>
      </x:c>
    </x:row>
    <x:row r="384">
      <x:c r="A384" s="26" t="str">
        <x:v>Keywords!A47:C47</x:v>
      </x:c>
      <x:c r="B384" s="26" t="str">
        <x:v>Keywords from Expert-Level Expansions</x:v>
      </x:c>
      <x:c r="C384" s="26" t="str">
        <x:v>Champion</x:v>
      </x:c>
      <x:c r="D384" s="26" t="str">
        <x:v>Keyword reference</x:v>
      </x:c>
      <x:c r="E384" s="26" t="str">
        <x:v>This ability is written Champion a (type). It is an evolution-style mechanic that mimics a creature changing into a "new improved version". When a creature with champion enters the battlefield, its controller must exile a card they control of the appropriate type, or sacrifice the champion. When the creature with champion leaves the battlefield, the creature it "championed" (the exiled card) is returned to the battlefield. Most creatures with champion replace a creature that shares their own creature type, but those with the changeling ability have the generic "Champion a creature". Champion was introduced in Lorwyn.</x:v>
      </x:c>
      <x:c r="F384" s="26" t="str">
        <x:v>o:"Champion"</x:v>
      </x:c>
      <x:c r="G384" s="26" t="str">
        <x:v>Medium</x:v>
      </x:c>
      <x:c r="H384" s="26" t="str">
        <x:v>Named keyword / mechanic</x:v>
      </x:c>
      <x:c r="I384" s="26" t="str">
        <x:v>keyword: preferred</x:v>
      </x:c>
      <x:c r="J384" s="26" t="str">
        <x:v>kw:Champion</x:v>
      </x:c>
      <x:c r="K384" s="26" t="str">
        <x:v>o:"Champion"</x:v>
      </x:c>
      <x:c r="L384" s="26" t="str">
        <x:v>champion</x:v>
      </x:c>
      <x:c r="M384" s="26" t="str">
        <x:v>Translate, but retain fallback</x:v>
      </x:c>
      <x:c r="N384" s="26" t="str">
        <x:v>Review</x:v>
      </x:c>
      <x:c r="O384" s="43" t="n">
        <x:v>0.88</x:v>
      </x:c>
      <x:c r="P384" s="26" t="str">
        <x:v>Mechanic taxonomy evolves; validate edge cases where the source list mixes keyword abilities, actions, or layouts.</x:v>
      </x:c>
      <x:c r="Q384" s="26" t="str">
        <x:v>https://scryfall.com/docs/syntax</x:v>
      </x:c>
      <x:c r="R384" s="26" t="str">
        <x:v>2026-08-21</x:v>
      </x:c>
    </x:row>
    <x:row r="385">
      <x:c r="A385" s="26" t="str">
        <x:v>Keywords!A48:C48</x:v>
      </x:c>
      <x:c r="B385" s="26" t="str">
        <x:v>Keywords from Expert-Level Expansions</x:v>
      </x:c>
      <x:c r="C385" s="26" t="str">
        <x:v>Changeling</x:v>
      </x:c>
      <x:c r="D385" s="26" t="str">
        <x:v>Keyword reference</x:v>
      </x:c>
      <x:c r="E385" s="26" t="str">
        <x:v>Changeling is a keyword that gives a card all possible creature types, similar to the ability of Mistform Ultimus. It appears on certain shapeshifter creatures and tribal spells in Lorwyn.</x:v>
      </x:c>
      <x:c r="F385" s="26" t="str">
        <x:v>o:"Changeling"</x:v>
      </x:c>
      <x:c r="G385" s="26" t="str">
        <x:v>Medium</x:v>
      </x:c>
      <x:c r="H385" s="26" t="str">
        <x:v>Named keyword / mechanic</x:v>
      </x:c>
      <x:c r="I385" s="26" t="str">
        <x:v>keyword: preferred</x:v>
      </x:c>
      <x:c r="J385" s="26" t="str">
        <x:v>kw:Changeling</x:v>
      </x:c>
      <x:c r="K385" s="26" t="str">
        <x:v>o:"Changeling"</x:v>
      </x:c>
      <x:c r="L385" s="26" t="str">
        <x:v>changeling</x:v>
      </x:c>
      <x:c r="M385" s="26" t="str">
        <x:v>Translate, but retain fallback</x:v>
      </x:c>
      <x:c r="N385" s="26" t="str">
        <x:v>Review</x:v>
      </x:c>
      <x:c r="O385" s="43" t="n">
        <x:v>0.88</x:v>
      </x:c>
      <x:c r="P385" s="26" t="str">
        <x:v>Mechanic taxonomy evolves; validate edge cases where the source list mixes keyword abilities, actions, or layouts.</x:v>
      </x:c>
      <x:c r="Q385" s="26" t="str">
        <x:v>https://scryfall.com/docs/syntax</x:v>
      </x:c>
      <x:c r="R385" s="26" t="str">
        <x:v>2026-08-21</x:v>
      </x:c>
    </x:row>
    <x:row r="386">
      <x:c r="A386" s="26" t="str">
        <x:v>Keywords!A49:C49</x:v>
      </x:c>
      <x:c r="B386" s="26" t="str">
        <x:v>Keywords from Expert-Level Expansions</x:v>
      </x:c>
      <x:c r="C386" s="26" t="str">
        <x:v>Cipher</x:v>
      </x:c>
      <x:c r="D386" s="26" t="str">
        <x:v>Keyword reference</x:v>
      </x:c>
      <x:c r="E386" s="26" t="str">
        <x:v>Cipher is printed on sorceries and represents two effects. When a spell with cipher resolves, its controller may exile the spell "encoded" on a creature they control. Then, whenever that creature deals combat damage to an opponent, its controller can cast a free copy of the encoded spell. Cipher appears in Gatecrash as the guild keyword of House Dimir.</x:v>
      </x:c>
      <x:c r="F386" s="26" t="str">
        <x:v>o:"Cipher"</x:v>
      </x:c>
      <x:c r="G386" s="26" t="str">
        <x:v>Medium</x:v>
      </x:c>
      <x:c r="H386" s="26" t="str">
        <x:v>Named keyword / mechanic</x:v>
      </x:c>
      <x:c r="I386" s="26" t="str">
        <x:v>keyword: preferred</x:v>
      </x:c>
      <x:c r="J386" s="26" t="str">
        <x:v>kw:Cipher</x:v>
      </x:c>
      <x:c r="K386" s="26" t="str">
        <x:v>o:"Cipher"</x:v>
      </x:c>
      <x:c r="L386" s="26" t="str">
        <x:v>cipher</x:v>
      </x:c>
      <x:c r="M386" s="26" t="str">
        <x:v>Translate, but retain fallback</x:v>
      </x:c>
      <x:c r="N386" s="26" t="str">
        <x:v>Review</x:v>
      </x:c>
      <x:c r="O386" s="43" t="n">
        <x:v>0.88</x:v>
      </x:c>
      <x:c r="P386" s="26" t="str">
        <x:v>Mechanic taxonomy evolves; validate edge cases where the source list mixes keyword abilities, actions, or layouts.</x:v>
      </x:c>
      <x:c r="Q386" s="26" t="str">
        <x:v>https://scryfall.com/docs/syntax</x:v>
      </x:c>
      <x:c r="R386" s="26" t="str">
        <x:v>2026-08-21</x:v>
      </x:c>
    </x:row>
    <x:row r="387">
      <x:c r="A387" s="26" t="str">
        <x:v>Keywords!A50:C50</x:v>
      </x:c>
      <x:c r="B387" s="26" t="str">
        <x:v>Keywords from Expert-Level Expansions</x:v>
      </x:c>
      <x:c r="C387" s="26" t="str">
        <x:v>Clash</x:v>
      </x:c>
      <x:c r="D387" s="26" t="str">
        <x:v>Keyword reference</x:v>
      </x:c>
      <x:c r="E387" s="26" t="str">
        <x:v>Clash is a keyword action that determines the results of a spell or ability. When a card says to clash, its controller chooses an opponent to clash with, and each player involved in the clash reveals the top card of their deck, then puts it on the top or bottom of that deck. The winner of the clash is the player who revealed the card with the highest converted mana cost. If there is a tie, there is no winner. All cards with clash grant a bonus effect if their controller wins the clash. Clash was introduced in Lorwyn.</x:v>
      </x:c>
      <x:c r="F387" s="26" t="str">
        <x:v>o:"Clash"</x:v>
      </x:c>
      <x:c r="G387" s="26" t="str">
        <x:v>Medium</x:v>
      </x:c>
      <x:c r="H387" s="26" t="str">
        <x:v>Named keyword / mechanic</x:v>
      </x:c>
      <x:c r="I387" s="26" t="str">
        <x:v>keyword: preferred</x:v>
      </x:c>
      <x:c r="J387" s="26" t="str">
        <x:v>kw:Clash</x:v>
      </x:c>
      <x:c r="K387" s="26" t="str">
        <x:v>o:"Clash"</x:v>
      </x:c>
      <x:c r="L387" s="26" t="str">
        <x:v>clash</x:v>
      </x:c>
      <x:c r="M387" s="26" t="str">
        <x:v>Translate, but retain fallback</x:v>
      </x:c>
      <x:c r="N387" s="26" t="str">
        <x:v>Review</x:v>
      </x:c>
      <x:c r="O387" s="43" t="n">
        <x:v>0.88</x:v>
      </x:c>
      <x:c r="P387" s="26" t="str">
        <x:v>Mechanic taxonomy evolves; validate edge cases where the source list mixes keyword abilities, actions, or layouts.</x:v>
      </x:c>
      <x:c r="Q387" s="26" t="str">
        <x:v>https://scryfall.com/docs/syntax</x:v>
      </x:c>
      <x:c r="R387" s="26" t="str">
        <x:v>2026-08-21</x:v>
      </x:c>
    </x:row>
    <x:row r="388">
      <x:c r="A388" s="26" t="str">
        <x:v>Keywords!A51:C51</x:v>
      </x:c>
      <x:c r="B388" s="26" t="str">
        <x:v>Keywords from Expert-Level Expansions</x:v>
      </x:c>
      <x:c r="C388" s="26" t="str">
        <x:v>Conspire</x:v>
      </x:c>
      <x:c r="D388" s="26" t="str">
        <x:v>Keyword reference</x:v>
      </x:c>
      <x:c r="E388" s="26" t="str">
        <x:v>As a player casts a spell with conspire, they may pay the optional, additional cost of tapping two creatures that share a color with the spell. They then copy the spell and may choose new targets for the copy. Conspire appears on instants and sorceries in Shadowmoor.</x:v>
      </x:c>
      <x:c r="F388" s="26" t="str">
        <x:v>o:"Conspire"</x:v>
      </x:c>
      <x:c r="G388" s="26" t="str">
        <x:v>Medium</x:v>
      </x:c>
      <x:c r="H388" s="26" t="str">
        <x:v>Named keyword / mechanic</x:v>
      </x:c>
      <x:c r="I388" s="26" t="str">
        <x:v>keyword: preferred</x:v>
      </x:c>
      <x:c r="J388" s="26" t="str">
        <x:v>kw:Conspire</x:v>
      </x:c>
      <x:c r="K388" s="26" t="str">
        <x:v>o:"Conspire"</x:v>
      </x:c>
      <x:c r="L388" s="26" t="str">
        <x:v>conspire</x:v>
      </x:c>
      <x:c r="M388" s="26" t="str">
        <x:v>Translate, but retain fallback</x:v>
      </x:c>
      <x:c r="N388" s="26" t="str">
        <x:v>Review</x:v>
      </x:c>
      <x:c r="O388" s="43" t="n">
        <x:v>0.88</x:v>
      </x:c>
      <x:c r="P388" s="26" t="str">
        <x:v>Mechanic taxonomy evolves; validate edge cases where the source list mixes keyword abilities, actions, or layouts.</x:v>
      </x:c>
      <x:c r="Q388" s="26" t="str">
        <x:v>https://scryfall.com/docs/syntax</x:v>
      </x:c>
      <x:c r="R388" s="26" t="str">
        <x:v>2026-08-21</x:v>
      </x:c>
    </x:row>
    <x:row r="389">
      <x:c r="A389" s="26" t="str">
        <x:v>Keywords!A52:C52</x:v>
      </x:c>
      <x:c r="B389" s="26" t="str">
        <x:v>Keywords from Expert-Level Expansions</x:v>
      </x:c>
      <x:c r="C389" s="26" t="str">
        <x:v>Convoke</x:v>
      </x:c>
      <x:c r="D389" s="26" t="str">
        <x:v>Keyword reference</x:v>
      </x:c>
      <x:c r="E389" s="26" t="str">
        <x:v>As a spell with convoke is cast, its controller may tap any number of creatures. Each creature tapped reduces the card's mana cost by 1 generic mana or 1 mana of the tapped creature's color. For example, a player may pay for Conclave's Blessing, which costs 3 generic and 1 white mana, by tapping four creatures, at least one of which must be white. Convoke appears in Ravnica: City of Guilds and Guilds of Ravnica and is the ability associated with the Selesnya Conclave. Convoke is also the returning keyword mechanic for the Magic 2015 core set, where it appears in all colors.</x:v>
      </x:c>
      <x:c r="F389" s="26" t="str">
        <x:v>o:"Convoke"</x:v>
      </x:c>
      <x:c r="G389" s="26" t="str">
        <x:v>Medium</x:v>
      </x:c>
      <x:c r="H389" s="26" t="str">
        <x:v>Named keyword / mechanic</x:v>
      </x:c>
      <x:c r="I389" s="26" t="str">
        <x:v>keyword: preferred</x:v>
      </x:c>
      <x:c r="J389" s="26" t="str">
        <x:v>kw:Convoke</x:v>
      </x:c>
      <x:c r="K389" s="26" t="str">
        <x:v>o:"Convoke"</x:v>
      </x:c>
      <x:c r="L389" s="26" t="str">
        <x:v>convoke</x:v>
      </x:c>
      <x:c r="M389" s="26" t="str">
        <x:v>Translate, but retain fallback</x:v>
      </x:c>
      <x:c r="N389" s="26" t="str">
        <x:v>Review</x:v>
      </x:c>
      <x:c r="O389" s="43" t="n">
        <x:v>0.88</x:v>
      </x:c>
      <x:c r="P389" s="26" t="str">
        <x:v>Mechanic taxonomy evolves; validate edge cases where the source list mixes keyword abilities, actions, or layouts.</x:v>
      </x:c>
      <x:c r="Q389" s="26" t="str">
        <x:v>https://scryfall.com/docs/syntax</x:v>
      </x:c>
      <x:c r="R389" s="26" t="str">
        <x:v>2026-08-21</x:v>
      </x:c>
    </x:row>
    <x:row r="390">
      <x:c r="A390" s="26" t="str">
        <x:v>Keywords!A53:C53</x:v>
      </x:c>
      <x:c r="B390" s="26" t="str">
        <x:v>Keywords from Expert-Level Expansions</x:v>
      </x:c>
      <x:c r="C390" s="26" t="str">
        <x:v>Crew</x:v>
      </x:c>
      <x:c r="D390" s="26" t="str">
        <x:v>Keyword reference</x:v>
      </x:c>
      <x:c r="E390" s="26" t="str">
        <x:v>This ability is written as Crew x. It appears only on vehicles, a new subtype of artifacts introduced during the Kaladesh block. Vehicles are not creatures by default, but have a power and toughness printed in a different colour. A vehicle's controller can pay the crew cost by tapping any number of creatures with total power greater than or equal to x, which turns the vehicle into an artifact creature until end of turn.</x:v>
      </x:c>
      <x:c r="F390" s="26" t="str">
        <x:v>o:"Crew"</x:v>
      </x:c>
      <x:c r="G390" s="26" t="str">
        <x:v>Medium</x:v>
      </x:c>
      <x:c r="H390" s="26" t="str">
        <x:v>Named keyword / mechanic</x:v>
      </x:c>
      <x:c r="I390" s="26" t="str">
        <x:v>keyword: preferred</x:v>
      </x:c>
      <x:c r="J390" s="26" t="str">
        <x:v>kw:Crew</x:v>
      </x:c>
      <x:c r="K390" s="26" t="str">
        <x:v>o:"Crew"</x:v>
      </x:c>
      <x:c r="L390" s="26" t="str">
        <x:v>crew</x:v>
      </x:c>
      <x:c r="M390" s="26" t="str">
        <x:v>Translate, but retain fallback</x:v>
      </x:c>
      <x:c r="N390" s="26" t="str">
        <x:v>Review</x:v>
      </x:c>
      <x:c r="O390" s="43" t="n">
        <x:v>0.88</x:v>
      </x:c>
      <x:c r="P390" s="26" t="str">
        <x:v>Mechanic taxonomy evolves; validate edge cases where the source list mixes keyword abilities, actions, or layouts.</x:v>
      </x:c>
      <x:c r="Q390" s="26" t="str">
        <x:v>https://scryfall.com/docs/syntax</x:v>
      </x:c>
      <x:c r="R390" s="26" t="str">
        <x:v>2026-08-21</x:v>
      </x:c>
    </x:row>
    <x:row r="391">
      <x:c r="A391" s="26" t="str">
        <x:v>Keywords!A54:C54</x:v>
      </x:c>
      <x:c r="B391" s="26" t="str">
        <x:v>Keywords from Expert-Level Expansions</x:v>
      </x:c>
      <x:c r="C391" s="26" t="str">
        <x:v>Cumulative upkeep</x:v>
      </x:c>
      <x:c r="D391" s="26" t="str">
        <x:v>Keyword reference</x:v>
      </x:c>
      <x:c r="E391" s="26" t="str">
        <x:v>This ability is written Cumulative upkeep (cost). At the beginning of each of its controller's upkeeps, an "age counter" is put on the card. The player must then either pay the cumulative upkeep cost for each age counter on the permanent, or sacrifice it. The ability was originally designed to represent an ever-climbing cost, eventually forcing the player to sacrifice the card and lose its benefits, although later incarnations provide a benefit for the number of age counters on the card. The ability first appeared on the card Cyclone from Arabian Nights, and was first keyworded in Ice Age. The mechanic also appeared in Mirage block, with Weatherlight offering a number of twists on the upkeep cost, and in Coldsnap.</x:v>
      </x:c>
      <x:c r="F391" s="26" t="str">
        <x:v>o:"Cumulative upkeep"</x:v>
      </x:c>
      <x:c r="G391" s="26" t="str">
        <x:v>Medium</x:v>
      </x:c>
      <x:c r="H391" s="26" t="str">
        <x:v>Named keyword / mechanic</x:v>
      </x:c>
      <x:c r="I391" s="26" t="str">
        <x:v>keyword: preferred</x:v>
      </x:c>
      <x:c r="J391" s="26" t="str">
        <x:v>kw:"Cumulative upkeep"</x:v>
      </x:c>
      <x:c r="K391" s="26" t="str">
        <x:v>o:"Cumulative upkeep"</x:v>
      </x:c>
      <x:c r="L391" s="26" t="str">
        <x:v>cumulative upkeep</x:v>
      </x:c>
      <x:c r="M391" s="26" t="str">
        <x:v>Translate, but retain fallback</x:v>
      </x:c>
      <x:c r="N391" s="26" t="str">
        <x:v>Review</x:v>
      </x:c>
      <x:c r="O391" s="43" t="n">
        <x:v>0.88</x:v>
      </x:c>
      <x:c r="P391" s="26" t="str">
        <x:v>Mechanic taxonomy evolves; validate edge cases where the source list mixes keyword abilities, actions, or layouts.</x:v>
      </x:c>
      <x:c r="Q391" s="26" t="str">
        <x:v>https://scryfall.com/docs/syntax</x:v>
      </x:c>
      <x:c r="R391" s="26" t="str">
        <x:v>2026-08-21</x:v>
      </x:c>
    </x:row>
    <x:row r="392">
      <x:c r="A392" s="26" t="str">
        <x:v>Keywords!A55:C55</x:v>
      </x:c>
      <x:c r="B392" s="26" t="str">
        <x:v>Keywords from Expert-Level Expansions</x:v>
      </x:c>
      <x:c r="C392" s="26" t="str">
        <x:v>Cycling</x:v>
      </x:c>
      <x:c r="D392" s="26" t="str">
        <x:v>Keyword reference</x:v>
      </x:c>
      <x:c r="E392" s="26" t="str">
        <x:v>This ability is written Cycling (cost). A player with a card with cycling in hand may pay the cycling cost, discard the card, and draw a new card. Cycling cards appeared in the Urza block, the Onslaught block, the Alara block, and the Amonkhet block. A variant of this keyword is typecycling. Future Sight introduced the first cards with unusual Cycling cost, like discarding a card or paying life.</x:v>
      </x:c>
      <x:c r="F392" s="26" t="str">
        <x:v>o:"Cycling"</x:v>
      </x:c>
      <x:c r="G392" s="26" t="str">
        <x:v>Medium</x:v>
      </x:c>
      <x:c r="H392" s="26" t="str">
        <x:v>Named keyword / mechanic</x:v>
      </x:c>
      <x:c r="I392" s="26" t="str">
        <x:v>keyword: preferred</x:v>
      </x:c>
      <x:c r="J392" s="26" t="str">
        <x:v>kw:Cycling</x:v>
      </x:c>
      <x:c r="K392" s="26" t="str">
        <x:v>o:"Cycling"</x:v>
      </x:c>
      <x:c r="L392" s="26" t="str">
        <x:v>cycling</x:v>
      </x:c>
      <x:c r="M392" s="26" t="str">
        <x:v>Translate, but retain fallback</x:v>
      </x:c>
      <x:c r="N392" s="26" t="str">
        <x:v>Review</x:v>
      </x:c>
      <x:c r="O392" s="43" t="n">
        <x:v>0.88</x:v>
      </x:c>
      <x:c r="P392" s="26" t="str">
        <x:v>Mechanic taxonomy evolves; validate edge cases where the source list mixes keyword abilities, actions, or layouts.</x:v>
      </x:c>
      <x:c r="Q392" s="26" t="str">
        <x:v>https://scryfall.com/docs/syntax</x:v>
      </x:c>
      <x:c r="R392" s="26" t="str">
        <x:v>2026-08-21</x:v>
      </x:c>
    </x:row>
    <x:row r="393">
      <x:c r="A393" s="26" t="str">
        <x:v>Keywords!A56:C56</x:v>
      </x:c>
      <x:c r="B393" s="26" t="str">
        <x:v>Keywords from Expert-Level Expansions</x:v>
      </x:c>
      <x:c r="C393" s="26" t="str">
        <x:v>Dash</x:v>
      </x:c>
      <x:c r="D393" s="26" t="str">
        <x:v>Keyword reference</x:v>
      </x:c>
      <x:c r="E393" s="26" t="str">
        <x:v>This ability is written Dash (cost) on creature spells. A player casting a card with Dash may opt to pay its Dash cost instead of the normal cost. If the Dash cost is chosen, the creature gains Haste until the end of turn, and is returned to its owner's hand at the end of turn. The mechanic first appeared in Fate Reforged.</x:v>
      </x:c>
      <x:c r="F393" s="26" t="str">
        <x:v>o:"Dash"</x:v>
      </x:c>
      <x:c r="G393" s="26" t="str">
        <x:v>Medium</x:v>
      </x:c>
      <x:c r="H393" s="26" t="str">
        <x:v>Named keyword / mechanic</x:v>
      </x:c>
      <x:c r="I393" s="26" t="str">
        <x:v>keyword: preferred</x:v>
      </x:c>
      <x:c r="J393" s="26" t="str">
        <x:v>kw:Dash</x:v>
      </x:c>
      <x:c r="K393" s="26" t="str">
        <x:v>o:"Dash"</x:v>
      </x:c>
      <x:c r="L393" s="26" t="str">
        <x:v>dash</x:v>
      </x:c>
      <x:c r="M393" s="26" t="str">
        <x:v>Translate, but retain fallback</x:v>
      </x:c>
      <x:c r="N393" s="26" t="str">
        <x:v>Review</x:v>
      </x:c>
      <x:c r="O393" s="43" t="n">
        <x:v>0.88</x:v>
      </x:c>
      <x:c r="P393" s="26" t="str">
        <x:v>Mechanic taxonomy evolves; validate edge cases where the source list mixes keyword abilities, actions, or layouts.</x:v>
      </x:c>
      <x:c r="Q393" s="26" t="str">
        <x:v>https://scryfall.com/docs/syntax</x:v>
      </x:c>
      <x:c r="R393" s="26" t="str">
        <x:v>2026-08-21</x:v>
      </x:c>
    </x:row>
    <x:row r="394">
      <x:c r="A394" s="26" t="str">
        <x:v>Keywords!A57:C57</x:v>
      </x:c>
      <x:c r="B394" s="26" t="str">
        <x:v>Keywords from Expert-Level Expansions</x:v>
      </x:c>
      <x:c r="C394" s="26" t="str">
        <x:v>Daybound &amp; Nightbound</x:v>
      </x:c>
      <x:c r="D394" s="26" t="str">
        <x:v>Keyword reference</x:v>
      </x:c>
      <x:c r="E394" s="26" t="str">
        <x:v>This mechanic was introduced in the Innistrad Midnight Hunt set. Cards featuring daybound and nightbound will transform when certain rules are met. If it is day, to transform to night the active player must not cast any spells during their turn. To transform back to day, the active player must cast two or more spells during their last turn. Cards featuring this new mechanic can be flipped to either side depending if it is day or night.</x:v>
      </x:c>
      <x:c r="F394" s="26" t="str">
        <x:v>o:"Daybound &amp; Nightbound"</x:v>
      </x:c>
      <x:c r="G394" s="26" t="str">
        <x:v>Medium</x:v>
      </x:c>
      <x:c r="H394" s="26" t="str">
        <x:v>Named keyword / mechanic</x:v>
      </x:c>
      <x:c r="I394" s="26" t="str">
        <x:v>keyword: preferred</x:v>
      </x:c>
      <x:c r="J394" s="26" t="str">
        <x:v>(kw:daybound or kw:nightbound)</x:v>
      </x:c>
      <x:c r="K394" s="26" t="str">
        <x:v>o:"Daybound &amp; Nightbound"</x:v>
      </x:c>
      <x:c r="L394" s="26" t="str">
        <x:v>daybound &amp; nightbound</x:v>
      </x:c>
      <x:c r="M394" s="26" t="str">
        <x:v>Translate, but retain fallback</x:v>
      </x:c>
      <x:c r="N394" s="26" t="str">
        <x:v>Review</x:v>
      </x:c>
      <x:c r="O394" s="43" t="n">
        <x:v>0.88</x:v>
      </x:c>
      <x:c r="P394" s="26" t="str">
        <x:v>Mechanic taxonomy evolves; validate edge cases where the source list mixes keyword abilities, actions, or layouts.</x:v>
      </x:c>
      <x:c r="Q394" s="26" t="str">
        <x:v>https://scryfall.com/docs/syntax</x:v>
      </x:c>
      <x:c r="R394" s="26" t="str">
        <x:v>2026-08-21</x:v>
      </x:c>
    </x:row>
    <x:row r="395">
      <x:c r="A395" s="26" t="str">
        <x:v>Keywords!A58:C58</x:v>
      </x:c>
      <x:c r="B395" s="26" t="str">
        <x:v>Keywords from Expert-Level Expansions</x:v>
      </x:c>
      <x:c r="C395" s="26" t="str">
        <x:v>Delve</x:v>
      </x:c>
      <x:c r="D395" s="26" t="str">
        <x:v>Keyword reference</x:v>
      </x:c>
      <x:c r="E395" s="26" t="str">
        <x:v>When playing a card with delve, its controller may exile any number of cards in their graveyard. For each card exiled, the spell costs 1 colorless mana less to play. This ability first appeared on timeshifted cards from Future Sight, and returned in the set Khans of Tarkir.</x:v>
      </x:c>
      <x:c r="F395" s="26" t="str">
        <x:v>o:"Delve"</x:v>
      </x:c>
      <x:c r="G395" s="26" t="str">
        <x:v>Medium</x:v>
      </x:c>
      <x:c r="H395" s="26" t="str">
        <x:v>Named keyword / mechanic</x:v>
      </x:c>
      <x:c r="I395" s="26" t="str">
        <x:v>keyword: preferred</x:v>
      </x:c>
      <x:c r="J395" s="26" t="str">
        <x:v>kw:Delve</x:v>
      </x:c>
      <x:c r="K395" s="26" t="str">
        <x:v>o:"Delve"</x:v>
      </x:c>
      <x:c r="L395" s="26" t="str">
        <x:v>delve</x:v>
      </x:c>
      <x:c r="M395" s="26" t="str">
        <x:v>Translate, but retain fallback</x:v>
      </x:c>
      <x:c r="N395" s="26" t="str">
        <x:v>Review</x:v>
      </x:c>
      <x:c r="O395" s="43" t="n">
        <x:v>0.88</x:v>
      </x:c>
      <x:c r="P395" s="26" t="str">
        <x:v>Mechanic taxonomy evolves; validate edge cases where the source list mixes keyword abilities, actions, or layouts.</x:v>
      </x:c>
      <x:c r="Q395" s="26" t="str">
        <x:v>https://scryfall.com/docs/syntax</x:v>
      </x:c>
      <x:c r="R395" s="26" t="str">
        <x:v>2026-08-21</x:v>
      </x:c>
    </x:row>
    <x:row r="396">
      <x:c r="A396" s="26" t="str">
        <x:v>Keywords!A59:C59</x:v>
      </x:c>
      <x:c r="B396" s="26" t="str">
        <x:v>Keywords from Expert-Level Expansions</x:v>
      </x:c>
      <x:c r="C396" s="26" t="str">
        <x:v>Detain</x:v>
      </x:c>
      <x:c r="D396" s="26" t="str">
        <x:v>Keyword reference</x:v>
      </x:c>
      <x:c r="E396" s="26" t="str">
        <x:v>Detain is a keyword action introduced in Return to Ravnica that appears on blue and white cards of the Azorius guild. When a player detains a permanent, the detained permanent cannot attack, block, or activate abilities until the start of the player's next turn.</x:v>
      </x:c>
      <x:c r="F396" s="26" t="str">
        <x:v>o:"Detain"</x:v>
      </x:c>
      <x:c r="G396" s="26" t="str">
        <x:v>Medium</x:v>
      </x:c>
      <x:c r="H396" s="26" t="str">
        <x:v>Named keyword / mechanic</x:v>
      </x:c>
      <x:c r="I396" s="26" t="str">
        <x:v>keyword: preferred</x:v>
      </x:c>
      <x:c r="J396" s="26" t="str">
        <x:v>kw:Detain</x:v>
      </x:c>
      <x:c r="K396" s="26" t="str">
        <x:v>o:"Detain"</x:v>
      </x:c>
      <x:c r="L396" s="26" t="str">
        <x:v>detain</x:v>
      </x:c>
      <x:c r="M396" s="26" t="str">
        <x:v>Translate, but retain fallback</x:v>
      </x:c>
      <x:c r="N396" s="26" t="str">
        <x:v>Review</x:v>
      </x:c>
      <x:c r="O396" s="43" t="n">
        <x:v>0.88</x:v>
      </x:c>
      <x:c r="P396" s="26" t="str">
        <x:v>Mechanic taxonomy evolves; validate edge cases where the source list mixes keyword abilities, actions, or layouts.</x:v>
      </x:c>
      <x:c r="Q396" s="26" t="str">
        <x:v>https://scryfall.com/docs/syntax</x:v>
      </x:c>
      <x:c r="R396" s="26" t="str">
        <x:v>2026-08-21</x:v>
      </x:c>
    </x:row>
    <x:row r="397">
      <x:c r="A397" s="26" t="str">
        <x:v>Keywords!A60:C60</x:v>
      </x:c>
      <x:c r="B397" s="26" t="str">
        <x:v>Keywords from Expert-Level Expansions</x:v>
      </x:c>
      <x:c r="C397" s="26" t="str">
        <x:v>Devour</x:v>
      </x:c>
      <x:c r="D397" s="26" t="str">
        <x:v>Keyword reference</x:v>
      </x:c>
      <x:c r="E397" s="26" t="str">
        <x:v>This ability is written Devour x. As a creature with devour enters the battlefield, its controller may sacrifice any number of creatures in order to put x +1/+1 counters on the devouring creature for each creature sacrificed. Devour appears on Jund cards in the Alara block.</x:v>
      </x:c>
      <x:c r="F397" s="26" t="str">
        <x:v>o:"Devour"</x:v>
      </x:c>
      <x:c r="G397" s="26" t="str">
        <x:v>Medium</x:v>
      </x:c>
      <x:c r="H397" s="26" t="str">
        <x:v>Named keyword / mechanic</x:v>
      </x:c>
      <x:c r="I397" s="26" t="str">
        <x:v>keyword: preferred</x:v>
      </x:c>
      <x:c r="J397" s="26" t="str">
        <x:v>kw:Devour</x:v>
      </x:c>
      <x:c r="K397" s="26" t="str">
        <x:v>o:"Devour"</x:v>
      </x:c>
      <x:c r="L397" s="26" t="str">
        <x:v>devour</x:v>
      </x:c>
      <x:c r="M397" s="26" t="str">
        <x:v>Translate, but retain fallback</x:v>
      </x:c>
      <x:c r="N397" s="26" t="str">
        <x:v>Review</x:v>
      </x:c>
      <x:c r="O397" s="43" t="n">
        <x:v>0.88</x:v>
      </x:c>
      <x:c r="P397" s="26" t="str">
        <x:v>Mechanic taxonomy evolves; validate edge cases where the source list mixes keyword abilities, actions, or layouts.</x:v>
      </x:c>
      <x:c r="Q397" s="26" t="str">
        <x:v>https://scryfall.com/docs/syntax</x:v>
      </x:c>
      <x:c r="R397" s="26" t="str">
        <x:v>2026-08-21</x:v>
      </x:c>
    </x:row>
    <x:row r="398">
      <x:c r="A398" s="26" t="str">
        <x:v>Keywords!A61:C61</x:v>
      </x:c>
      <x:c r="B398" s="26" t="str">
        <x:v>Keywords from Expert-Level Expansions</x:v>
      </x:c>
      <x:c r="C398" s="26" t="str">
        <x:v>Dredge</x:v>
      </x:c>
      <x:c r="D398" s="26" t="str">
        <x:v>Keyword reference</x:v>
      </x:c>
      <x:c r="E398" s="26" t="str">
        <x:v>This ability is written Dredge x. If a card with dredge is in the player's graveyard, that player may put the top x cards of their deck into their graveyard and return the card with dredge to their hand, instead of drawing a card from their deck. A player cannot do this if there are fewer than x cards in their library. Dredge appears in Ravnica: City of Guilds and is the ability associated with the Golgari Swarm.</x:v>
      </x:c>
      <x:c r="F398" s="26" t="str">
        <x:v>o:"Dredge"</x:v>
      </x:c>
      <x:c r="G398" s="26" t="str">
        <x:v>Medium</x:v>
      </x:c>
      <x:c r="H398" s="26" t="str">
        <x:v>Named keyword / mechanic</x:v>
      </x:c>
      <x:c r="I398" s="26" t="str">
        <x:v>keyword: preferred</x:v>
      </x:c>
      <x:c r="J398" s="26" t="str">
        <x:v>kw:Dredge</x:v>
      </x:c>
      <x:c r="K398" s="26" t="str">
        <x:v>o:"Dredge"</x:v>
      </x:c>
      <x:c r="L398" s="26" t="str">
        <x:v>dredge</x:v>
      </x:c>
      <x:c r="M398" s="26" t="str">
        <x:v>Translate, but retain fallback</x:v>
      </x:c>
      <x:c r="N398" s="26" t="str">
        <x:v>Review</x:v>
      </x:c>
      <x:c r="O398" s="43" t="n">
        <x:v>0.88</x:v>
      </x:c>
      <x:c r="P398" s="26" t="str">
        <x:v>Mechanic taxonomy evolves; validate edge cases where the source list mixes keyword abilities, actions, or layouts.</x:v>
      </x:c>
      <x:c r="Q398" s="26" t="str">
        <x:v>https://scryfall.com/docs/syntax</x:v>
      </x:c>
      <x:c r="R398" s="26" t="str">
        <x:v>2026-08-21</x:v>
      </x:c>
    </x:row>
    <x:row r="399">
      <x:c r="A399" s="26" t="str">
        <x:v>Keywords!A62:C62</x:v>
      </x:c>
      <x:c r="B399" s="26" t="str">
        <x:v>Keywords from Expert-Level Expansions</x:v>
      </x:c>
      <x:c r="C399" s="26" t="str">
        <x:v>Echo</x:v>
      </x:c>
      <x:c r="D399" s="26" t="str">
        <x:v>Keyword reference</x:v>
      </x:c>
      <x:c r="E399" s="26" t="str">
        <x:v>This ability is written Echo (cost). Cards with echo require their echo cost to be paid at the beginning of their controller's upkeep, the turn after the card was played or gained control of. If the echo cost is not paid, then the card is sacrificed. In the Urza block, this ability was written only as "Echo" with the echo cost always equal to the card's mana cost. The rules were altered for echo's return in Time Spiral to be written as echo (cost) instead, and all previous echo cards were issued rules errata to have their echo cost equal to their mana cost. Additionally, although all echo cards in Time Spiral had echo costs equal to their mana costs, Planar Chaos introduced permanents with echo costs different from their mana costs, and Future Sight introduced echo costs that are not simply mana payments.</x:v>
      </x:c>
      <x:c r="F399" s="26" t="str">
        <x:v>o:"Echo"</x:v>
      </x:c>
      <x:c r="G399" s="26" t="str">
        <x:v>Medium</x:v>
      </x:c>
      <x:c r="H399" s="26" t="str">
        <x:v>Named keyword / mechanic</x:v>
      </x:c>
      <x:c r="I399" s="26" t="str">
        <x:v>keyword: preferred</x:v>
      </x:c>
      <x:c r="J399" s="26" t="str">
        <x:v>kw:Echo</x:v>
      </x:c>
      <x:c r="K399" s="26" t="str">
        <x:v>o:"Echo"</x:v>
      </x:c>
      <x:c r="L399" s="26" t="str">
        <x:v>echo</x:v>
      </x:c>
      <x:c r="M399" s="26" t="str">
        <x:v>Translate, but retain fallback</x:v>
      </x:c>
      <x:c r="N399" s="26" t="str">
        <x:v>Review</x:v>
      </x:c>
      <x:c r="O399" s="43" t="n">
        <x:v>0.88</x:v>
      </x:c>
      <x:c r="P399" s="26" t="str">
        <x:v>Mechanic taxonomy evolves; validate edge cases where the source list mixes keyword abilities, actions, or layouts.</x:v>
      </x:c>
      <x:c r="Q399" s="26" t="str">
        <x:v>https://scryfall.com/docs/syntax</x:v>
      </x:c>
      <x:c r="R399" s="26" t="str">
        <x:v>2026-08-21</x:v>
      </x:c>
    </x:row>
    <x:row r="400">
      <x:c r="A400" s="26" t="str">
        <x:v>Keywords!A63:C63</x:v>
      </x:c>
      <x:c r="B400" s="26" t="str">
        <x:v>Keywords from Expert-Level Expansions</x:v>
      </x:c>
      <x:c r="C400" s="26" t="str">
        <x:v>Embalm</x:v>
      </x:c>
      <x:c r="D400" s="26" t="str">
        <x:v>Keyword reference</x:v>
      </x:c>
      <x:c r="E400" s="26" t="str">
        <x:v>This ability is written Embalm (cost) and appears on creature cards. When a card with this ability is in a player's graveyard, that player may pay its embalm cost to exile the card and put a token into play that is a zombie copy of the creature, in addition to the creature's other creature types (e.g., a Zombie Angel instead of an Angel). This allows a player to gain a second use from a card with benefits from other cards that interact with zombie creatures. Embalm is an activated ability (the token is created, not cast) and may be played only when the player could cast a sorcery. This keyword is similar to flashback, but is found on creature cards rather than instant and sorcery cards. Embalm appears in Amonkhet, primarily appears on blue and white cards. Each card with embalm has its own printed token card, with an alternate artwork showing a mummified version of the original creature.</x:v>
      </x:c>
      <x:c r="F400" s="26" t="str">
        <x:v>o:"Embalm"</x:v>
      </x:c>
      <x:c r="G400" s="26" t="str">
        <x:v>Medium</x:v>
      </x:c>
      <x:c r="H400" s="26" t="str">
        <x:v>Named keyword / mechanic</x:v>
      </x:c>
      <x:c r="I400" s="26" t="str">
        <x:v>keyword: preferred</x:v>
      </x:c>
      <x:c r="J400" s="26" t="str">
        <x:v>kw:Embalm</x:v>
      </x:c>
      <x:c r="K400" s="26" t="str">
        <x:v>o:"Embalm"</x:v>
      </x:c>
      <x:c r="L400" s="26" t="str">
        <x:v>embalm</x:v>
      </x:c>
      <x:c r="M400" s="26" t="str">
        <x:v>Translate, but retain fallback</x:v>
      </x:c>
      <x:c r="N400" s="26" t="str">
        <x:v>Review</x:v>
      </x:c>
      <x:c r="O400" s="43" t="n">
        <x:v>0.88</x:v>
      </x:c>
      <x:c r="P400" s="26" t="str">
        <x:v>Mechanic taxonomy evolves; validate edge cases where the source list mixes keyword abilities, actions, or layouts.</x:v>
      </x:c>
      <x:c r="Q400" s="26" t="str">
        <x:v>https://scryfall.com/docs/syntax</x:v>
      </x:c>
      <x:c r="R400" s="26" t="str">
        <x:v>2026-08-21</x:v>
      </x:c>
    </x:row>
    <x:row r="401">
      <x:c r="A401" s="26" t="str">
        <x:v>Keywords!A64:C64</x:v>
      </x:c>
      <x:c r="B401" s="26" t="str">
        <x:v>Keywords from Expert-Level Expansions</x:v>
      </x:c>
      <x:c r="C401" s="26" t="str">
        <x:v>Emerge</x:v>
      </x:c>
      <x:c r="D401" s="26" t="str">
        <x:v>Keyword reference</x:v>
      </x:c>
      <x:c r="E401" s="26" t="str">
        <x:v>Emerge is an ability allowing the player to pay an alternate mana cost by sacrificing a creature and paying the difference between the Emerge cost and the sacrificed creature's converted mana cost. It appears in Shadows over Innistrad on Eldrazi creatures.</x:v>
      </x:c>
      <x:c r="F401" s="26" t="str">
        <x:v>o:"Emerge"</x:v>
      </x:c>
      <x:c r="G401" s="26" t="str">
        <x:v>Medium</x:v>
      </x:c>
      <x:c r="H401" s="26" t="str">
        <x:v>Named keyword / mechanic</x:v>
      </x:c>
      <x:c r="I401" s="26" t="str">
        <x:v>keyword: preferred</x:v>
      </x:c>
      <x:c r="J401" s="26" t="str">
        <x:v>kw:Emerge</x:v>
      </x:c>
      <x:c r="K401" s="26" t="str">
        <x:v>o:"Emerge"</x:v>
      </x:c>
      <x:c r="L401" s="26" t="str">
        <x:v>emerge</x:v>
      </x:c>
      <x:c r="M401" s="26" t="str">
        <x:v>Translate, but retain fallback</x:v>
      </x:c>
      <x:c r="N401" s="26" t="str">
        <x:v>Review</x:v>
      </x:c>
      <x:c r="O401" s="43" t="n">
        <x:v>0.88</x:v>
      </x:c>
      <x:c r="P401" s="26" t="str">
        <x:v>Mechanic taxonomy evolves; validate edge cases where the source list mixes keyword abilities, actions, or layouts.</x:v>
      </x:c>
      <x:c r="Q401" s="26" t="str">
        <x:v>https://scryfall.com/docs/syntax</x:v>
      </x:c>
      <x:c r="R401" s="26" t="str">
        <x:v>2026-08-21</x:v>
      </x:c>
    </x:row>
    <x:row r="402">
      <x:c r="A402" s="26" t="str">
        <x:v>Keywords!A65:C65</x:v>
      </x:c>
      <x:c r="B402" s="26" t="str">
        <x:v>Keywords from Expert-Level Expansions</x:v>
      </x:c>
      <x:c r="C402" s="26" t="str">
        <x:v>Entwine</x:v>
      </x:c>
      <x:c r="D402" s="26" t="str">
        <x:v>Keyword reference</x:v>
      </x:c>
      <x:c r="E402" s="26" t="str">
        <x:v>This ability is written Entwine (cost). All cards with entwine are modal spells with two choices. Normally, a player chooses one mode or the other. If the card's entwine cost is paid in addition to its regular cost, both effects happen. Entwine appears in the Mirrodin block.</x:v>
      </x:c>
      <x:c r="F402" s="26" t="str">
        <x:v>o:"Entwine"</x:v>
      </x:c>
      <x:c r="G402" s="26" t="str">
        <x:v>Medium</x:v>
      </x:c>
      <x:c r="H402" s="26" t="str">
        <x:v>Named keyword / mechanic</x:v>
      </x:c>
      <x:c r="I402" s="26" t="str">
        <x:v>keyword: preferred</x:v>
      </x:c>
      <x:c r="J402" s="26" t="str">
        <x:v>kw:Entwine</x:v>
      </x:c>
      <x:c r="K402" s="26" t="str">
        <x:v>o:"Entwine"</x:v>
      </x:c>
      <x:c r="L402" s="26" t="str">
        <x:v>entwine</x:v>
      </x:c>
      <x:c r="M402" s="26" t="str">
        <x:v>Translate, but retain fallback</x:v>
      </x:c>
      <x:c r="N402" s="26" t="str">
        <x:v>Review</x:v>
      </x:c>
      <x:c r="O402" s="43" t="n">
        <x:v>0.88</x:v>
      </x:c>
      <x:c r="P402" s="26" t="str">
        <x:v>Mechanic taxonomy evolves; validate edge cases where the source list mixes keyword abilities, actions, or layouts.</x:v>
      </x:c>
      <x:c r="Q402" s="26" t="str">
        <x:v>https://scryfall.com/docs/syntax</x:v>
      </x:c>
      <x:c r="R402" s="26" t="str">
        <x:v>2026-08-21</x:v>
      </x:c>
    </x:row>
    <x:row r="403">
      <x:c r="A403" s="26" t="str">
        <x:v>Keywords!A66:C66</x:v>
      </x:c>
      <x:c r="B403" s="26" t="str">
        <x:v>Keywords from Expert-Level Expansions</x:v>
      </x:c>
      <x:c r="C403" s="26" t="str">
        <x:v>Epic</x:v>
      </x:c>
      <x:c r="D403" s="26" t="str">
        <x:v>Keyword reference</x:v>
      </x:c>
      <x:c r="E403" s="26" t="str">
        <x:v>Epic has two effects: first, after a player casts a spell with epic, once that spell resolves, they can no longer cast spells for the remainder of the game. However, at the beginning of each of their upkeeps for the rest of the game, the player puts a new copy of the epic spell on the stack. This does not count as "casting" it (so it does not become a useless ability) and no mana payment is required. Epic appears only on a cycle of five rare sorceries in Saviors of Kamigawa.</x:v>
      </x:c>
      <x:c r="F403" s="26" t="str">
        <x:v>o:"Epic"</x:v>
      </x:c>
      <x:c r="G403" s="26" t="str">
        <x:v>Medium</x:v>
      </x:c>
      <x:c r="H403" s="26" t="str">
        <x:v>Named keyword / mechanic</x:v>
      </x:c>
      <x:c r="I403" s="26" t="str">
        <x:v>keyword: preferred</x:v>
      </x:c>
      <x:c r="J403" s="26" t="str">
        <x:v>kw:Epic</x:v>
      </x:c>
      <x:c r="K403" s="26" t="str">
        <x:v>o:"Epic"</x:v>
      </x:c>
      <x:c r="L403" s="26" t="str">
        <x:v>epic</x:v>
      </x:c>
      <x:c r="M403" s="26" t="str">
        <x:v>Translate, but retain fallback</x:v>
      </x:c>
      <x:c r="N403" s="26" t="str">
        <x:v>Review</x:v>
      </x:c>
      <x:c r="O403" s="43" t="n">
        <x:v>0.88</x:v>
      </x:c>
      <x:c r="P403" s="26" t="str">
        <x:v>Mechanic taxonomy evolves; validate edge cases where the source list mixes keyword abilities, actions, or layouts.</x:v>
      </x:c>
      <x:c r="Q403" s="26" t="str">
        <x:v>https://scryfall.com/docs/syntax</x:v>
      </x:c>
      <x:c r="R403" s="26" t="str">
        <x:v>2026-08-21</x:v>
      </x:c>
    </x:row>
    <x:row r="404">
      <x:c r="A404" s="26" t="str">
        <x:v>Keywords!A67:C67</x:v>
      </x:c>
      <x:c r="B404" s="26" t="str">
        <x:v>Keywords from Expert-Level Expansions</x:v>
      </x:c>
      <x:c r="C404" s="26" t="str">
        <x:v>Evolve</x:v>
      </x:c>
      <x:c r="D404" s="26" t="str">
        <x:v>Keyword reference</x:v>
      </x:c>
      <x:c r="E404" s="26" t="str">
        <x:v>Evolve is a keyword on creatures which allows them to grow larger. Whenever a creature enters the battlefield under the player's control, if that creature has larger power or toughness than the creature with evolve, that player puts a +1/+1 counter on the creature with evolve. Evolve was designed by a contestant during The Great Designer Search II and appears in Gatecrash as the guild keyword of the Simic Combine.</x:v>
      </x:c>
      <x:c r="F404" s="26" t="str">
        <x:v>o:"Evolve"</x:v>
      </x:c>
      <x:c r="G404" s="26" t="str">
        <x:v>Medium</x:v>
      </x:c>
      <x:c r="H404" s="26" t="str">
        <x:v>Named keyword / mechanic</x:v>
      </x:c>
      <x:c r="I404" s="26" t="str">
        <x:v>keyword: preferred</x:v>
      </x:c>
      <x:c r="J404" s="26" t="str">
        <x:v>kw:Evolve</x:v>
      </x:c>
      <x:c r="K404" s="26" t="str">
        <x:v>o:"Evolve"</x:v>
      </x:c>
      <x:c r="L404" s="26" t="str">
        <x:v>evolve</x:v>
      </x:c>
      <x:c r="M404" s="26" t="str">
        <x:v>Translate, but retain fallback</x:v>
      </x:c>
      <x:c r="N404" s="26" t="str">
        <x:v>Review</x:v>
      </x:c>
      <x:c r="O404" s="43" t="n">
        <x:v>0.88</x:v>
      </x:c>
      <x:c r="P404" s="26" t="str">
        <x:v>Mechanic taxonomy evolves; validate edge cases where the source list mixes keyword abilities, actions, or layouts.</x:v>
      </x:c>
      <x:c r="Q404" s="26" t="str">
        <x:v>https://scryfall.com/docs/syntax</x:v>
      </x:c>
      <x:c r="R404" s="26" t="str">
        <x:v>2026-08-21</x:v>
      </x:c>
    </x:row>
    <x:row r="405">
      <x:c r="A405" s="26" t="str">
        <x:v>Keywords!A68:C68</x:v>
      </x:c>
      <x:c r="B405" s="26" t="str">
        <x:v>Keywords from Expert-Level Expansions</x:v>
      </x:c>
      <x:c r="C405" s="26" t="str">
        <x:v>Evoke</x:v>
      </x:c>
      <x:c r="D405" s="26" t="str">
        <x:v>Keyword reference</x:v>
      </x:c>
      <x:c r="E405" s="26" t="str">
        <x:v>This ability is written as Evoke (cost) and is an alternate cost for a creature, generally far lower, with the condition that the creature must be sacrificed upon entering the battlefield. All cards with evoke have additional effects upon entering or leaving the battlefield. The creature's controller may choose whether the sacrifice occurs before or after the additional effect(s). Evoke appears in Lorwyn and Morningtide.</x:v>
      </x:c>
      <x:c r="F405" s="26" t="str">
        <x:v>o:"Evoke"</x:v>
      </x:c>
      <x:c r="G405" s="26" t="str">
        <x:v>Medium</x:v>
      </x:c>
      <x:c r="H405" s="26" t="str">
        <x:v>Named keyword / mechanic</x:v>
      </x:c>
      <x:c r="I405" s="26" t="str">
        <x:v>keyword: preferred</x:v>
      </x:c>
      <x:c r="J405" s="26" t="str">
        <x:v>kw:Evoke</x:v>
      </x:c>
      <x:c r="K405" s="26" t="str">
        <x:v>o:"Evoke"</x:v>
      </x:c>
      <x:c r="L405" s="26" t="str">
        <x:v>evoke</x:v>
      </x:c>
      <x:c r="M405" s="26" t="str">
        <x:v>Translate, but retain fallback</x:v>
      </x:c>
      <x:c r="N405" s="26" t="str">
        <x:v>Review</x:v>
      </x:c>
      <x:c r="O405" s="43" t="n">
        <x:v>0.88</x:v>
      </x:c>
      <x:c r="P405" s="26" t="str">
        <x:v>Mechanic taxonomy evolves; validate edge cases where the source list mixes keyword abilities, actions, or layouts.</x:v>
      </x:c>
      <x:c r="Q405" s="26" t="str">
        <x:v>https://scryfall.com/docs/syntax</x:v>
      </x:c>
      <x:c r="R405" s="26" t="str">
        <x:v>2026-08-21</x:v>
      </x:c>
    </x:row>
    <x:row r="406">
      <x:c r="A406" s="26" t="str">
        <x:v>Keywords!A69:C69</x:v>
      </x:c>
      <x:c r="B406" s="26" t="str">
        <x:v>Keywords from Expert-Level Expansions</x:v>
      </x:c>
      <x:c r="C406" s="26" t="str">
        <x:v>Exalted</x:v>
      </x:c>
      <x:c r="D406" s="26" t="str">
        <x:v>Keyword reference</x:v>
      </x:c>
      <x:c r="E406" s="26" t="str">
        <x:v>Exalted originally appeared on cards within the Bant colors in the Alara block. When it reoccurred in Magic 2013, 5 black cards were given the mechanic. When any creature a player controls attacks alone, it receives +1/+1 until end of turn for each permanent with the exalted keyword that player controls.</x:v>
      </x:c>
      <x:c r="F406" s="26" t="str">
        <x:v>o:"Exalted"</x:v>
      </x:c>
      <x:c r="G406" s="26" t="str">
        <x:v>Medium</x:v>
      </x:c>
      <x:c r="H406" s="26" t="str">
        <x:v>Named keyword / mechanic</x:v>
      </x:c>
      <x:c r="I406" s="26" t="str">
        <x:v>keyword: preferred</x:v>
      </x:c>
      <x:c r="J406" s="26" t="str">
        <x:v>kw:Exalted</x:v>
      </x:c>
      <x:c r="K406" s="26" t="str">
        <x:v>o:"Exalted"</x:v>
      </x:c>
      <x:c r="L406" s="26" t="str">
        <x:v>exalted</x:v>
      </x:c>
      <x:c r="M406" s="26" t="str">
        <x:v>Translate, but retain fallback</x:v>
      </x:c>
      <x:c r="N406" s="26" t="str">
        <x:v>Review</x:v>
      </x:c>
      <x:c r="O406" s="43" t="n">
        <x:v>0.88</x:v>
      </x:c>
      <x:c r="P406" s="26" t="str">
        <x:v>Mechanic taxonomy evolves; validate edge cases where the source list mixes keyword abilities, actions, or layouts.</x:v>
      </x:c>
      <x:c r="Q406" s="26" t="str">
        <x:v>https://scryfall.com/docs/syntax</x:v>
      </x:c>
      <x:c r="R406" s="26" t="str">
        <x:v>2026-08-21</x:v>
      </x:c>
    </x:row>
    <x:row r="407">
      <x:c r="A407" s="26" t="str">
        <x:v>Keywords!A70:C70</x:v>
      </x:c>
      <x:c r="B407" s="26" t="str">
        <x:v>Keywords from Expert-Level Expansions</x:v>
      </x:c>
      <x:c r="C407" s="26" t="str">
        <x:v>Exert</x:v>
      </x:c>
      <x:c r="D407" s="26" t="str">
        <x:v>Keyword reference</x:v>
      </x:c>
      <x:c r="E407" s="26" t="str">
        <x:v>Exert is an ability that appears on creature cards. Each card with Exert has a unique activated or triggered ability that asks you to exert the card in exchange for a positive effect. An exerted card does not untap during its controller's next untap step. Exert appears in both sets of the Amonkhet block, exclusively on green, red, and white cards.</x:v>
      </x:c>
      <x:c r="F407" s="26" t="str">
        <x:v>o:"Exert"</x:v>
      </x:c>
      <x:c r="G407" s="26" t="str">
        <x:v>Medium</x:v>
      </x:c>
      <x:c r="H407" s="26" t="str">
        <x:v>Named keyword / mechanic</x:v>
      </x:c>
      <x:c r="I407" s="26" t="str">
        <x:v>keyword: preferred</x:v>
      </x:c>
      <x:c r="J407" s="26" t="str">
        <x:v>kw:Exert</x:v>
      </x:c>
      <x:c r="K407" s="26" t="str">
        <x:v>o:"Exert"</x:v>
      </x:c>
      <x:c r="L407" s="26" t="str">
        <x:v>exert</x:v>
      </x:c>
      <x:c r="M407" s="26" t="str">
        <x:v>Translate, but retain fallback</x:v>
      </x:c>
      <x:c r="N407" s="26" t="str">
        <x:v>Review</x:v>
      </x:c>
      <x:c r="O407" s="43" t="n">
        <x:v>0.88</x:v>
      </x:c>
      <x:c r="P407" s="26" t="str">
        <x:v>Mechanic taxonomy evolves; validate edge cases where the source list mixes keyword abilities, actions, or layouts.</x:v>
      </x:c>
      <x:c r="Q407" s="26" t="str">
        <x:v>https://scryfall.com/docs/syntax</x:v>
      </x:c>
      <x:c r="R407" s="26" t="str">
        <x:v>2026-08-21</x:v>
      </x:c>
    </x:row>
    <x:row r="408">
      <x:c r="A408" s="26" t="str">
        <x:v>Keywords!A71:C71</x:v>
      </x:c>
      <x:c r="B408" s="26" t="str">
        <x:v>Keywords from Expert-Level Expansions</x:v>
      </x:c>
      <x:c r="C408" s="26" t="str">
        <x:v>Exploit</x:v>
      </x:c>
      <x:c r="D408" s="26" t="str">
        <x:v>Keyword reference</x:v>
      </x:c>
      <x:c r="E408" s="26" t="str">
        <x:v>Exploit is an ability that appears on creatures. It gives the player who casts it the option to sacrifice a creature they control when it enters the battlefield, so that a specified ability will trigger. Exploit appears in Dragons of Tarkir and in Innistrad: Crimson Vow</x:v>
      </x:c>
      <x:c r="F408" s="26" t="str">
        <x:v>o:"Exploit"</x:v>
      </x:c>
      <x:c r="G408" s="26" t="str">
        <x:v>Medium</x:v>
      </x:c>
      <x:c r="H408" s="26" t="str">
        <x:v>Named keyword / mechanic</x:v>
      </x:c>
      <x:c r="I408" s="26" t="str">
        <x:v>keyword: preferred</x:v>
      </x:c>
      <x:c r="J408" s="26" t="str">
        <x:v>kw:Exploit</x:v>
      </x:c>
      <x:c r="K408" s="26" t="str">
        <x:v>o:"Exploit"</x:v>
      </x:c>
      <x:c r="L408" s="26" t="str">
        <x:v>exploit</x:v>
      </x:c>
      <x:c r="M408" s="26" t="str">
        <x:v>Translate, but retain fallback</x:v>
      </x:c>
      <x:c r="N408" s="26" t="str">
        <x:v>Review</x:v>
      </x:c>
      <x:c r="O408" s="43" t="n">
        <x:v>0.88</x:v>
      </x:c>
      <x:c r="P408" s="26" t="str">
        <x:v>Mechanic taxonomy evolves; validate edge cases where the source list mixes keyword abilities, actions, or layouts.</x:v>
      </x:c>
      <x:c r="Q408" s="26" t="str">
        <x:v>https://scryfall.com/docs/syntax</x:v>
      </x:c>
      <x:c r="R408" s="26" t="str">
        <x:v>2026-08-21</x:v>
      </x:c>
    </x:row>
    <x:row r="409">
      <x:c r="A409" s="26" t="str">
        <x:v>Keywords!A72:C72</x:v>
      </x:c>
      <x:c r="B409" s="26" t="str">
        <x:v>Keywords from Expert-Level Expansions</x:v>
      </x:c>
      <x:c r="C409" s="26" t="str">
        <x:v>Explore</x:v>
      </x:c>
      <x:c r="D409" s="26" t="str">
        <x:v>Keyword reference</x:v>
      </x:c>
      <x:c r="E409" s="26" t="str">
        <x:v>Explore is a keyword action associated with creatures. When a creature explores, its controller reveals the top card of their library. If it is a land card, they put it in their hand; otherwise, they put a +1/+1 counter on that creature and can choose to leave that card on top or send it to their graveyard. Explore appears in both sets of Ixalan block in all five colors.</x:v>
      </x:c>
      <x:c r="F409" s="26" t="str">
        <x:v>o:"Explore"</x:v>
      </x:c>
      <x:c r="G409" s="26" t="str">
        <x:v>Medium</x:v>
      </x:c>
      <x:c r="H409" s="26" t="str">
        <x:v>Named keyword / mechanic</x:v>
      </x:c>
      <x:c r="I409" s="26" t="str">
        <x:v>keyword: preferred</x:v>
      </x:c>
      <x:c r="J409" s="26" t="str">
        <x:v>kw:Explore</x:v>
      </x:c>
      <x:c r="K409" s="26" t="str">
        <x:v>o:"Explore"</x:v>
      </x:c>
      <x:c r="L409" s="26" t="str">
        <x:v>explore</x:v>
      </x:c>
      <x:c r="M409" s="26" t="str">
        <x:v>Translate, but retain fallback</x:v>
      </x:c>
      <x:c r="N409" s="26" t="str">
        <x:v>Review</x:v>
      </x:c>
      <x:c r="O409" s="43" t="n">
        <x:v>0.88</x:v>
      </x:c>
      <x:c r="P409" s="26" t="str">
        <x:v>Mechanic taxonomy evolves; validate edge cases where the source list mixes keyword abilities, actions, or layouts.</x:v>
      </x:c>
      <x:c r="Q409" s="26" t="str">
        <x:v>https://scryfall.com/docs/syntax</x:v>
      </x:c>
      <x:c r="R409" s="26" t="str">
        <x:v>2026-08-21</x:v>
      </x:c>
    </x:row>
    <x:row r="410">
      <x:c r="A410" s="26" t="str">
        <x:v>Keywords!A73:C73</x:v>
      </x:c>
      <x:c r="B410" s="26" t="str">
        <x:v>Keywords from Expert-Level Expansions</x:v>
      </x:c>
      <x:c r="C410" s="26" t="str">
        <x:v>Extort</x:v>
      </x:c>
      <x:c r="D410" s="26" t="str">
        <x:v>Keyword reference</x:v>
      </x:c>
      <x:c r="E410" s="26" t="str">
        <x:v>Extort is a keyword which allows a player to slowly drain life from opponent(s). When casting a spell, the player may pay one white or black mana. If they do, then each opponent loses one life and the player gains one life for each point of life their opponent(s) lost. Extort appeared in Gatecrash as the guild keyword for the Orzhov Syndicate.</x:v>
      </x:c>
      <x:c r="F410" s="26" t="str">
        <x:v>o:"Extort"</x:v>
      </x:c>
      <x:c r="G410" s="26" t="str">
        <x:v>Medium</x:v>
      </x:c>
      <x:c r="H410" s="26" t="str">
        <x:v>Named keyword / mechanic</x:v>
      </x:c>
      <x:c r="I410" s="26" t="str">
        <x:v>keyword: preferred</x:v>
      </x:c>
      <x:c r="J410" s="26" t="str">
        <x:v>kw:Extort</x:v>
      </x:c>
      <x:c r="K410" s="26" t="str">
        <x:v>o:"Extort"</x:v>
      </x:c>
      <x:c r="L410" s="26" t="str">
        <x:v>extort</x:v>
      </x:c>
      <x:c r="M410" s="26" t="str">
        <x:v>Translate, but retain fallback</x:v>
      </x:c>
      <x:c r="N410" s="26" t="str">
        <x:v>Review</x:v>
      </x:c>
      <x:c r="O410" s="43" t="n">
        <x:v>0.88</x:v>
      </x:c>
      <x:c r="P410" s="26" t="str">
        <x:v>Mechanic taxonomy evolves; validate edge cases where the source list mixes keyword abilities, actions, or layouts.</x:v>
      </x:c>
      <x:c r="Q410" s="26" t="str">
        <x:v>https://scryfall.com/docs/syntax</x:v>
      </x:c>
      <x:c r="R410" s="26" t="str">
        <x:v>2026-08-21</x:v>
      </x:c>
    </x:row>
    <x:row r="411">
      <x:c r="A411" s="26" t="str">
        <x:v>Keywords!A74:C74</x:v>
      </x:c>
      <x:c r="B411" s="26" t="str">
        <x:v>Keywords from Expert-Level Expansions</x:v>
      </x:c>
      <x:c r="C411" s="26" t="str">
        <x:v>Fabricate</x:v>
      </x:c>
      <x:c r="D411" s="26" t="str">
        <x:v>Keyword reference</x:v>
      </x:c>
      <x:c r="E411" s="26" t="str">
        <x:v>This creature ability is written as Fabricate x. When a creature with fabricate enters the battlefield, its controller either puts x +1/+1 counters on it or creates x 1/1 colorless Servo artifact creature tokens. Fabricate appears in Kaladesh</x:v>
      </x:c>
      <x:c r="F411" s="26" t="str">
        <x:v>o:"Fabricate"</x:v>
      </x:c>
      <x:c r="G411" s="26" t="str">
        <x:v>Medium</x:v>
      </x:c>
      <x:c r="H411" s="26" t="str">
        <x:v>Named keyword / mechanic</x:v>
      </x:c>
      <x:c r="I411" s="26" t="str">
        <x:v>keyword: preferred</x:v>
      </x:c>
      <x:c r="J411" s="26" t="str">
        <x:v>kw:Fabricate</x:v>
      </x:c>
      <x:c r="K411" s="26" t="str">
        <x:v>o:"Fabricate"</x:v>
      </x:c>
      <x:c r="L411" s="26" t="str">
        <x:v>fabricate</x:v>
      </x:c>
      <x:c r="M411" s="26" t="str">
        <x:v>Translate, but retain fallback</x:v>
      </x:c>
      <x:c r="N411" s="26" t="str">
        <x:v>Review</x:v>
      </x:c>
      <x:c r="O411" s="43" t="n">
        <x:v>0.88</x:v>
      </x:c>
      <x:c r="P411" s="26" t="str">
        <x:v>Mechanic taxonomy evolves; validate edge cases where the source list mixes keyword abilities, actions, or layouts.</x:v>
      </x:c>
      <x:c r="Q411" s="26" t="str">
        <x:v>https://scryfall.com/docs/syntax</x:v>
      </x:c>
      <x:c r="R411" s="26" t="str">
        <x:v>2026-08-21</x:v>
      </x:c>
    </x:row>
    <x:row r="412">
      <x:c r="A412" s="26" t="str">
        <x:v>Keywords!A75:C75</x:v>
      </x:c>
      <x:c r="B412" s="26" t="str">
        <x:v>Keywords from Expert-Level Expansions</x:v>
      </x:c>
      <x:c r="C412" s="26" t="str">
        <x:v>Fading</x:v>
      </x:c>
      <x:c r="D412" s="26" t="str">
        <x:v>Keyword reference</x:v>
      </x:c>
      <x:c r="E412" s="26" t="str">
        <x:v>This ability is written as Fading x. A permanent with fading enters the battlefield with x fade counters on it. At the beginning of its controller's upkeep, a fade counter is removed; if a counter cannot be removed, the card is sacrificed. Fading is exclusive to Nemesis. It is extremely similar to the Planar Chaos keyword vanishing.</x:v>
      </x:c>
      <x:c r="F412" s="26" t="str">
        <x:v>o:"Fading"</x:v>
      </x:c>
      <x:c r="G412" s="26" t="str">
        <x:v>Medium</x:v>
      </x:c>
      <x:c r="H412" s="26" t="str">
        <x:v>Named keyword / mechanic</x:v>
      </x:c>
      <x:c r="I412" s="26" t="str">
        <x:v>keyword: preferred</x:v>
      </x:c>
      <x:c r="J412" s="26" t="str">
        <x:v>kw:Fading</x:v>
      </x:c>
      <x:c r="K412" s="26" t="str">
        <x:v>o:"Fading"</x:v>
      </x:c>
      <x:c r="L412" s="26" t="str">
        <x:v>fading</x:v>
      </x:c>
      <x:c r="M412" s="26" t="str">
        <x:v>Translate, but retain fallback</x:v>
      </x:c>
      <x:c r="N412" s="26" t="str">
        <x:v>Review</x:v>
      </x:c>
      <x:c r="O412" s="43" t="n">
        <x:v>0.88</x:v>
      </x:c>
      <x:c r="P412" s="26" t="str">
        <x:v>Mechanic taxonomy evolves; validate edge cases where the source list mixes keyword abilities, actions, or layouts.</x:v>
      </x:c>
      <x:c r="Q412" s="26" t="str">
        <x:v>https://scryfall.com/docs/syntax</x:v>
      </x:c>
      <x:c r="R412" s="26" t="str">
        <x:v>2026-08-21</x:v>
      </x:c>
    </x:row>
    <x:row r="413">
      <x:c r="A413" s="26" t="str">
        <x:v>Keywords!A76:C76</x:v>
      </x:c>
      <x:c r="B413" s="26" t="str">
        <x:v>Keywords from Expert-Level Expansions</x:v>
      </x:c>
      <x:c r="C413" s="26" t="str">
        <x:v>Fateseal</x:v>
      </x:c>
      <x:c r="D413" s="26" t="str">
        <x:v>Keyword reference</x:v>
      </x:c>
      <x:c r="E413" s="26" t="str">
        <x:v>This keyword action is written Fateseal x. To fateseal, a player looks at the top x cards of an opponent's deck and may put any number of those cards on the bottom of that player's deck. Thus, this ability is functionally a scry on the opponent's deck; fateseal was dubbed "evil scry" while in design. Fateseal exclusively appears on timeshifted cards from Future Sight.</x:v>
      </x:c>
      <x:c r="F413" s="26" t="str">
        <x:v>o:"Fateseal"</x:v>
      </x:c>
      <x:c r="G413" s="26" t="str">
        <x:v>Medium</x:v>
      </x:c>
      <x:c r="H413" s="26" t="str">
        <x:v>Named keyword / mechanic</x:v>
      </x:c>
      <x:c r="I413" s="26" t="str">
        <x:v>keyword: preferred</x:v>
      </x:c>
      <x:c r="J413" s="26" t="str">
        <x:v>kw:Fateseal</x:v>
      </x:c>
      <x:c r="K413" s="26" t="str">
        <x:v>o:"Fateseal"</x:v>
      </x:c>
      <x:c r="L413" s="26" t="str">
        <x:v>fateseal</x:v>
      </x:c>
      <x:c r="M413" s="26" t="str">
        <x:v>Translate, but retain fallback</x:v>
      </x:c>
      <x:c r="N413" s="26" t="str">
        <x:v>Review</x:v>
      </x:c>
      <x:c r="O413" s="43" t="n">
        <x:v>0.88</x:v>
      </x:c>
      <x:c r="P413" s="26" t="str">
        <x:v>Mechanic taxonomy evolves; validate edge cases where the source list mixes keyword abilities, actions, or layouts.</x:v>
      </x:c>
      <x:c r="Q413" s="26" t="str">
        <x:v>https://scryfall.com/docs/syntax</x:v>
      </x:c>
      <x:c r="R413" s="26" t="str">
        <x:v>2026-08-21</x:v>
      </x:c>
    </x:row>
    <x:row r="414">
      <x:c r="A414" s="26" t="str">
        <x:v>Keywords!A77:C77</x:v>
      </x:c>
      <x:c r="B414" s="26" t="str">
        <x:v>Keywords from Expert-Level Expansions</x:v>
      </x:c>
      <x:c r="C414" s="26" t="str">
        <x:v>Flanking</x:v>
      </x:c>
      <x:c r="D414" s="26" t="str">
        <x:v>Keyword reference</x:v>
      </x:c>
      <x:c r="E414" s="26" t="str">
        <x:v>When a creature with flanking is blocked by a creature without this ability, the blocking creature gets −1/−1 until end of turn. The effect is cumulative; multiple instances of flanking will effect a greater penalty, though a blocking creature only needs one instance to avoid the effect. Flanking first appears in the Mirage block.</x:v>
      </x:c>
      <x:c r="F414" s="26" t="str">
        <x:v>o:"Flanking"</x:v>
      </x:c>
      <x:c r="G414" s="26" t="str">
        <x:v>Medium</x:v>
      </x:c>
      <x:c r="H414" s="26" t="str">
        <x:v>Named keyword / mechanic</x:v>
      </x:c>
      <x:c r="I414" s="26" t="str">
        <x:v>keyword: preferred</x:v>
      </x:c>
      <x:c r="J414" s="26" t="str">
        <x:v>kw:Flanking</x:v>
      </x:c>
      <x:c r="K414" s="26" t="str">
        <x:v>o:"Flanking"</x:v>
      </x:c>
      <x:c r="L414" s="26" t="str">
        <x:v>flanking</x:v>
      </x:c>
      <x:c r="M414" s="26" t="str">
        <x:v>Translate, but retain fallback</x:v>
      </x:c>
      <x:c r="N414" s="26" t="str">
        <x:v>Review</x:v>
      </x:c>
      <x:c r="O414" s="43" t="n">
        <x:v>0.88</x:v>
      </x:c>
      <x:c r="P414" s="26" t="str">
        <x:v>Mechanic taxonomy evolves; validate edge cases where the source list mixes keyword abilities, actions, or layouts.</x:v>
      </x:c>
      <x:c r="Q414" s="26" t="str">
        <x:v>https://scryfall.com/docs/syntax</x:v>
      </x:c>
      <x:c r="R414" s="26" t="str">
        <x:v>2026-08-21</x:v>
      </x:c>
    </x:row>
    <x:row r="415">
      <x:c r="A415" s="26" t="str">
        <x:v>Keywords!A78:C78</x:v>
      </x:c>
      <x:c r="B415" s="26" t="str">
        <x:v>Keywords from Expert-Level Expansions</x:v>
      </x:c>
      <x:c r="C415" s="26" t="str">
        <x:v>Flashback</x:v>
      </x:c>
      <x:c r="D415" s="26" t="str">
        <x:v>Keyword reference</x:v>
      </x:c>
      <x:c r="E415" s="26" t="str">
        <x:v>This ability is written Flashback (cost) and appears on instants and sorceries. When a card with this ability is in a player's graveyard, that player may pay its flashback cost and cast the card from the graveyard. The card is then exiled. This allows a player to get a second use from a card. Flashback was introduced in the Odyssey block, where cards with an ability that acted from the graveyard have small headstone markers in front of their names. They reappeared in Time Spiral and Innistrad blocks (without the headstone marker).</x:v>
      </x:c>
      <x:c r="F415" s="26" t="str">
        <x:v>o:"Flashback"</x:v>
      </x:c>
      <x:c r="G415" s="26" t="str">
        <x:v>Medium</x:v>
      </x:c>
      <x:c r="H415" s="26" t="str">
        <x:v>Named keyword / mechanic</x:v>
      </x:c>
      <x:c r="I415" s="26" t="str">
        <x:v>keyword: preferred</x:v>
      </x:c>
      <x:c r="J415" s="26" t="str">
        <x:v>kw:Flashback</x:v>
      </x:c>
      <x:c r="K415" s="26" t="str">
        <x:v>o:"Flashback"</x:v>
      </x:c>
      <x:c r="L415" s="26" t="str">
        <x:v>flashback</x:v>
      </x:c>
      <x:c r="M415" s="26" t="str">
        <x:v>Translate, but retain fallback</x:v>
      </x:c>
      <x:c r="N415" s="26" t="str">
        <x:v>Review</x:v>
      </x:c>
      <x:c r="O415" s="43" t="n">
        <x:v>0.88</x:v>
      </x:c>
      <x:c r="P415" s="26" t="str">
        <x:v>Mechanic taxonomy evolves; validate edge cases where the source list mixes keyword abilities, actions, or layouts.</x:v>
      </x:c>
      <x:c r="Q415" s="26" t="str">
        <x:v>https://scryfall.com/docs/syntax</x:v>
      </x:c>
      <x:c r="R415" s="26" t="str">
        <x:v>2026-08-21</x:v>
      </x:c>
    </x:row>
    <x:row r="416">
      <x:c r="A416" s="26" t="str">
        <x:v>Keywords!A79:C79</x:v>
      </x:c>
      <x:c r="B416" s="26" t="str">
        <x:v>Keywords from Expert-Level Expansions</x:v>
      </x:c>
      <x:c r="C416" s="26" t="str">
        <x:v>Flip</x:v>
      </x:c>
      <x:c r="D416" s="26" t="str">
        <x:v>Keyword reference</x:v>
      </x:c>
      <x:c r="E416" s="26" t="str">
        <x:v>Flip is a keyword action that deals with specially printed cards known as "flip cards". Each of these cards has two sets of normal card attributes (e.g. name, rules text, power and toughness): one right-side-up above the card's image and one upside-down (with no mana cost) below the image. Flip cards enter the battlefield unflipped, with only the former set of attributes applying. Once certain conditions are met, the player flips the card (rotating it 180 degrees) and the second set of attributes come into effect. Once flipped, a card cannot be unflipped (except by leaving the battlefield and returning), and effects that would "flip" a card that is already "flipped" do nothing. Flip cards appear in the Kamigawa block. Although "flipping" is often colloquially used to refer to morphing and transforming cards, they are distinct mechanics.</x:v>
      </x:c>
      <x:c r="F416" s="26" t="str">
        <x:v>o:"Flip"</x:v>
      </x:c>
      <x:c r="G416" s="26" t="str">
        <x:v>Medium</x:v>
      </x:c>
      <x:c r="H416" s="26" t="str">
        <x:v>Named keyword / mechanic</x:v>
      </x:c>
      <x:c r="I416" s="26" t="str">
        <x:v>keyword: preferred</x:v>
      </x:c>
      <x:c r="J416" s="26" t="str">
        <x:v>is:flip</x:v>
      </x:c>
      <x:c r="K416" s="26" t="str">
        <x:v>o:"Flip"</x:v>
      </x:c>
      <x:c r="L416" s="26" t="str">
        <x:v>flip</x:v>
      </x:c>
      <x:c r="M416" s="26" t="str">
        <x:v>Translate, but retain fallback</x:v>
      </x:c>
      <x:c r="N416" s="26" t="str">
        <x:v>Review</x:v>
      </x:c>
      <x:c r="O416" s="43" t="n">
        <x:v>0.88</x:v>
      </x:c>
      <x:c r="P416" s="26" t="str">
        <x:v>Mechanic taxonomy evolves; validate edge cases where the source list mixes keyword abilities, actions, or layouts.</x:v>
      </x:c>
      <x:c r="Q416" s="26" t="str">
        <x:v>https://scryfall.com/docs/syntax</x:v>
      </x:c>
      <x:c r="R416" s="26" t="str">
        <x:v>2026-08-21</x:v>
      </x:c>
    </x:row>
    <x:row r="417">
      <x:c r="A417" s="26" t="str">
        <x:v>Keywords!A80:C80</x:v>
      </x:c>
      <x:c r="B417" s="26" t="str">
        <x:v>Keywords from Expert-Level Expansions</x:v>
      </x:c>
      <x:c r="C417" s="26" t="str">
        <x:v>Forecast</x:v>
      </x:c>
      <x:c r="D417" s="26" t="str">
        <x:v>Keyword reference</x:v>
      </x:c>
      <x:c r="E417" s="26" t="str">
        <x:v>This ability is written Forecast — Cost: Effect. During a player's upkeep, if they have a card with forecast in their hand, they may pay the forecast cost to activate its forecast ability. The cost always includes revealing the card until the end of the upkeep. A player can only do this once per turn per forecast card. Forecast appears in Dissension and is the ability associated with the Azorius Senate.</x:v>
      </x:c>
      <x:c r="F417" s="26" t="str">
        <x:v>o:"Forecast"</x:v>
      </x:c>
      <x:c r="G417" s="26" t="str">
        <x:v>Medium</x:v>
      </x:c>
      <x:c r="H417" s="26" t="str">
        <x:v>Named keyword / mechanic</x:v>
      </x:c>
      <x:c r="I417" s="26" t="str">
        <x:v>keyword: preferred</x:v>
      </x:c>
      <x:c r="J417" s="26" t="str">
        <x:v>kw:Forecast</x:v>
      </x:c>
      <x:c r="K417" s="26" t="str">
        <x:v>o:"Forecast"</x:v>
      </x:c>
      <x:c r="L417" s="26" t="str">
        <x:v>forecast</x:v>
      </x:c>
      <x:c r="M417" s="26" t="str">
        <x:v>Translate, but retain fallback</x:v>
      </x:c>
      <x:c r="N417" s="26" t="str">
        <x:v>Review</x:v>
      </x:c>
      <x:c r="O417" s="43" t="n">
        <x:v>0.88</x:v>
      </x:c>
      <x:c r="P417" s="26" t="str">
        <x:v>Mechanic taxonomy evolves; validate edge cases where the source list mixes keyword abilities, actions, or layouts.</x:v>
      </x:c>
      <x:c r="Q417" s="26" t="str">
        <x:v>https://scryfall.com/docs/syntax</x:v>
      </x:c>
      <x:c r="R417" s="26" t="str">
        <x:v>2026-08-21</x:v>
      </x:c>
    </x:row>
    <x:row r="418">
      <x:c r="A418" s="26" t="str">
        <x:v>Keywords!A81:C81</x:v>
      </x:c>
      <x:c r="B418" s="26" t="str">
        <x:v>Keywords from Expert-Level Expansions</x:v>
      </x:c>
      <x:c r="C418" s="26" t="str">
        <x:v>Foretell</x:v>
      </x:c>
      <x:c r="D418" s="26" t="str">
        <x:v>Keyword reference</x:v>
      </x:c>
      <x:c r="E418" s="26" t="str">
        <x:v>To foretell a card, a player pays two mana (of any combination of colors) and then exiles the card with foretell ability faced down. In any future turns, they can cast the card from exile by paying the foretell costs (this is the mana cost listed on the card) rather than paying the mana cost of the card. They may not cast the card from exile on the same turn that it was exiled.</x:v>
      </x:c>
      <x:c r="F418" s="26" t="str">
        <x:v>o:"Foretell"</x:v>
      </x:c>
      <x:c r="G418" s="26" t="str">
        <x:v>Medium</x:v>
      </x:c>
      <x:c r="H418" s="26" t="str">
        <x:v>Named keyword / mechanic</x:v>
      </x:c>
      <x:c r="I418" s="26" t="str">
        <x:v>keyword: preferred</x:v>
      </x:c>
      <x:c r="J418" s="26" t="str">
        <x:v>kw:Foretell</x:v>
      </x:c>
      <x:c r="K418" s="26" t="str">
        <x:v>o:"Foretell"</x:v>
      </x:c>
      <x:c r="L418" s="26" t="str">
        <x:v>foretell</x:v>
      </x:c>
      <x:c r="M418" s="26" t="str">
        <x:v>Translate, but retain fallback</x:v>
      </x:c>
      <x:c r="N418" s="26" t="str">
        <x:v>Review</x:v>
      </x:c>
      <x:c r="O418" s="43" t="n">
        <x:v>0.88</x:v>
      </x:c>
      <x:c r="P418" s="26" t="str">
        <x:v>Mechanic taxonomy evolves; validate edge cases where the source list mixes keyword abilities, actions, or layouts.</x:v>
      </x:c>
      <x:c r="Q418" s="26" t="str">
        <x:v>https://scryfall.com/docs/syntax</x:v>
      </x:c>
      <x:c r="R418" s="26" t="str">
        <x:v>2026-08-21</x:v>
      </x:c>
    </x:row>
    <x:row r="419">
      <x:c r="A419" s="26" t="str">
        <x:v>Keywords!A82:C82</x:v>
      </x:c>
      <x:c r="B419" s="26" t="str">
        <x:v>Keywords from Expert-Level Expansions</x:v>
      </x:c>
      <x:c r="C419" s="26" t="str">
        <x:v>Fortify</x:v>
      </x:c>
      <x:c r="D419" s="26" t="str">
        <x:v>Keyword reference</x:v>
      </x:c>
      <x:c r="E419" s="26" t="str">
        <x:v>This ability is written Fortify (cost). It is found only on fortifications, a subtype of artifacts. A player pays the fortify cost as a sorcery (only during their own main phase when the stack is empty) and attaches it to a land they control. That land becomes "fortified" and can then be referenced by the fortification as the "fortified land". Other than attaching to lands instead of creatures, the rules for fortifications are similar to those for equipment. Fortify appears on a timeshifted artifact from Future Sight, and an artifact from the Fallout set.</x:v>
      </x:c>
      <x:c r="F419" s="26" t="str">
        <x:v>o:"Fortify"</x:v>
      </x:c>
      <x:c r="G419" s="26" t="str">
        <x:v>Medium</x:v>
      </x:c>
      <x:c r="H419" s="26" t="str">
        <x:v>Named keyword / mechanic</x:v>
      </x:c>
      <x:c r="I419" s="26" t="str">
        <x:v>keyword: preferred</x:v>
      </x:c>
      <x:c r="J419" s="26" t="str">
        <x:v>kw:Fortify</x:v>
      </x:c>
      <x:c r="K419" s="26" t="str">
        <x:v>o:"Fortify"</x:v>
      </x:c>
      <x:c r="L419" s="26" t="str">
        <x:v>fortify</x:v>
      </x:c>
      <x:c r="M419" s="26" t="str">
        <x:v>Translate, but retain fallback</x:v>
      </x:c>
      <x:c r="N419" s="26" t="str">
        <x:v>Review</x:v>
      </x:c>
      <x:c r="O419" s="43" t="n">
        <x:v>0.88</x:v>
      </x:c>
      <x:c r="P419" s="26" t="str">
        <x:v>Mechanic taxonomy evolves; validate edge cases where the source list mixes keyword abilities, actions, or layouts.</x:v>
      </x:c>
      <x:c r="Q419" s="26" t="str">
        <x:v>https://scryfall.com/docs/syntax</x:v>
      </x:c>
      <x:c r="R419" s="26" t="str">
        <x:v>2026-08-21</x:v>
      </x:c>
    </x:row>
    <x:row r="420">
      <x:c r="A420" s="26" t="str">
        <x:v>Keywords!A83:C83</x:v>
      </x:c>
      <x:c r="B420" s="26" t="str">
        <x:v>Keywords from Expert-Level Expansions</x:v>
      </x:c>
      <x:c r="C420" s="26" t="str">
        <x:v>Frenzy</x:v>
      </x:c>
      <x:c r="D420" s="26" t="str">
        <x:v>Keyword reference</x:v>
      </x:c>
      <x:c r="E420" s="26" t="str">
        <x:v>This ability is written Frenzy x. When a creature with frenzy attacks and is not blocked, it gets +x/+0 until end of turn. This ability appears on a single timeshifted creature from Future Sight, Frenzy Sliver.</x:v>
      </x:c>
      <x:c r="F420" s="26" t="str">
        <x:v>o:"Frenzy"</x:v>
      </x:c>
      <x:c r="G420" s="26" t="str">
        <x:v>Medium</x:v>
      </x:c>
      <x:c r="H420" s="26" t="str">
        <x:v>Named keyword / mechanic</x:v>
      </x:c>
      <x:c r="I420" s="26" t="str">
        <x:v>keyword: preferred</x:v>
      </x:c>
      <x:c r="J420" s="26" t="str">
        <x:v>kw:Frenzy</x:v>
      </x:c>
      <x:c r="K420" s="26" t="str">
        <x:v>o:"Frenzy"</x:v>
      </x:c>
      <x:c r="L420" s="26" t="str">
        <x:v>frenzy</x:v>
      </x:c>
      <x:c r="M420" s="26" t="str">
        <x:v>Translate, but retain fallback</x:v>
      </x:c>
      <x:c r="N420" s="26" t="str">
        <x:v>Review</x:v>
      </x:c>
      <x:c r="O420" s="43" t="n">
        <x:v>0.88</x:v>
      </x:c>
      <x:c r="P420" s="26" t="str">
        <x:v>Mechanic taxonomy evolves; validate edge cases where the source list mixes keyword abilities, actions, or layouts.</x:v>
      </x:c>
      <x:c r="Q420" s="26" t="str">
        <x:v>https://scryfall.com/docs/syntax</x:v>
      </x:c>
      <x:c r="R420" s="26" t="str">
        <x:v>2026-08-21</x:v>
      </x:c>
    </x:row>
    <x:row r="421">
      <x:c r="A421" s="26" t="str">
        <x:v>Keywords!A84:C84</x:v>
      </x:c>
      <x:c r="B421" s="26" t="str">
        <x:v>Keywords from Expert-Level Expansions</x:v>
      </x:c>
      <x:c r="C421" s="26" t="str">
        <x:v>Graft</x:v>
      </x:c>
      <x:c r="D421" s="26" t="str">
        <x:v>Keyword reference</x:v>
      </x:c>
      <x:c r="E421" s="26" t="str">
        <x:v>This ability is written Graft x. All creatures with graft are 0/0 creatures that enter the battlefield with x +1/+1 counters on them. Whenever another creature enters the battlefield, a player may move one +1/+1 counter from any number of creatures with graft they control onto that creature. Graft appears in Dissension and is the ability associated with the Simic Combine.</x:v>
      </x:c>
      <x:c r="F421" s="26" t="str">
        <x:v>o:"Graft"</x:v>
      </x:c>
      <x:c r="G421" s="26" t="str">
        <x:v>Medium</x:v>
      </x:c>
      <x:c r="H421" s="26" t="str">
        <x:v>Named keyword / mechanic</x:v>
      </x:c>
      <x:c r="I421" s="26" t="str">
        <x:v>keyword: preferred</x:v>
      </x:c>
      <x:c r="J421" s="26" t="str">
        <x:v>kw:Graft</x:v>
      </x:c>
      <x:c r="K421" s="26" t="str">
        <x:v>o:"Graft"</x:v>
      </x:c>
      <x:c r="L421" s="26" t="str">
        <x:v>graft</x:v>
      </x:c>
      <x:c r="M421" s="26" t="str">
        <x:v>Translate, but retain fallback</x:v>
      </x:c>
      <x:c r="N421" s="26" t="str">
        <x:v>Review</x:v>
      </x:c>
      <x:c r="O421" s="43" t="n">
        <x:v>0.88</x:v>
      </x:c>
      <x:c r="P421" s="26" t="str">
        <x:v>Mechanic taxonomy evolves; validate edge cases where the source list mixes keyword abilities, actions, or layouts.</x:v>
      </x:c>
      <x:c r="Q421" s="26" t="str">
        <x:v>https://scryfall.com/docs/syntax</x:v>
      </x:c>
      <x:c r="R421" s="26" t="str">
        <x:v>2026-08-21</x:v>
      </x:c>
    </x:row>
    <x:row r="422">
      <x:c r="A422" s="26" t="str">
        <x:v>Keywords!A85:C85</x:v>
      </x:c>
      <x:c r="B422" s="26" t="str">
        <x:v>Keywords from Expert-Level Expansions</x:v>
      </x:c>
      <x:c r="C422" s="26" t="str">
        <x:v>Gravestorm</x:v>
      </x:c>
      <x:c r="D422" s="26" t="str">
        <x:v>Keyword reference</x:v>
      </x:c>
      <x:c r="E422" s="26" t="str">
        <x:v>When a player casts a spell with gravestorm, they put a copy of that spell on the stack for each permanent that was previously put into a graveyard that turn. This ability is similar to storm and appears on two cards, one from Future Sight called Bitter ordeal, and one from Murders at Karlov Manor Commander, called Follow The Bodies.</x:v>
      </x:c>
      <x:c r="F422" s="26" t="str">
        <x:v>o:"Gravestorm"</x:v>
      </x:c>
      <x:c r="G422" s="26" t="str">
        <x:v>Medium</x:v>
      </x:c>
      <x:c r="H422" s="26" t="str">
        <x:v>Named keyword / mechanic</x:v>
      </x:c>
      <x:c r="I422" s="26" t="str">
        <x:v>keyword: preferred</x:v>
      </x:c>
      <x:c r="J422" s="26" t="str">
        <x:v>kw:Gravestorm</x:v>
      </x:c>
      <x:c r="K422" s="26" t="str">
        <x:v>o:"Gravestorm"</x:v>
      </x:c>
      <x:c r="L422" s="26" t="str">
        <x:v>gravestorm</x:v>
      </x:c>
      <x:c r="M422" s="26" t="str">
        <x:v>Translate, but retain fallback</x:v>
      </x:c>
      <x:c r="N422" s="26" t="str">
        <x:v>Review</x:v>
      </x:c>
      <x:c r="O422" s="43" t="n">
        <x:v>0.88</x:v>
      </x:c>
      <x:c r="P422" s="26" t="str">
        <x:v>Mechanic taxonomy evolves; validate edge cases where the source list mixes keyword abilities, actions, or layouts.</x:v>
      </x:c>
      <x:c r="Q422" s="26" t="str">
        <x:v>https://scryfall.com/docs/syntax</x:v>
      </x:c>
      <x:c r="R422" s="26" t="str">
        <x:v>2026-08-21</x:v>
      </x:c>
    </x:row>
    <x:row r="423">
      <x:c r="A423" s="26" t="str">
        <x:v>Keywords!A86:C86</x:v>
      </x:c>
      <x:c r="B423" s="26" t="str">
        <x:v>Keywords from Expert-Level Expansions</x:v>
      </x:c>
      <x:c r="C423" s="26" t="str">
        <x:v>Haunt</x:v>
      </x:c>
      <x:c r="D423" s="26" t="str">
        <x:v>Keyword reference</x:v>
      </x:c>
      <x:c r="E423" s="26" t="str">
        <x:v>Haunt appears on creatures, instants, and sorceries. When a creature with haunt dies or when an instant or sorcery with haunt resolves, the ability triggers causing the card to be exiled "haunting" a creature. Haunt allows a player to use an effect twice: once when the spell is played (or the creature enters the battlefield), and once when the creature it haunts is put into a graveyard. Haunt appears in Guildpact and is the ability associated with the Orzhov Syndicate.</x:v>
      </x:c>
      <x:c r="F423" s="26" t="str">
        <x:v>o:"Haunt"</x:v>
      </x:c>
      <x:c r="G423" s="26" t="str">
        <x:v>Medium</x:v>
      </x:c>
      <x:c r="H423" s="26" t="str">
        <x:v>Named keyword / mechanic</x:v>
      </x:c>
      <x:c r="I423" s="26" t="str">
        <x:v>keyword: preferred</x:v>
      </x:c>
      <x:c r="J423" s="26" t="str">
        <x:v>kw:Haunt</x:v>
      </x:c>
      <x:c r="K423" s="26" t="str">
        <x:v>o:"Haunt"</x:v>
      </x:c>
      <x:c r="L423" s="26" t="str">
        <x:v>haunt</x:v>
      </x:c>
      <x:c r="M423" s="26" t="str">
        <x:v>Translate, but retain fallback</x:v>
      </x:c>
      <x:c r="N423" s="26" t="str">
        <x:v>Review</x:v>
      </x:c>
      <x:c r="O423" s="43" t="n">
        <x:v>0.88</x:v>
      </x:c>
      <x:c r="P423" s="26" t="str">
        <x:v>Mechanic taxonomy evolves; validate edge cases where the source list mixes keyword abilities, actions, or layouts.</x:v>
      </x:c>
      <x:c r="Q423" s="26" t="str">
        <x:v>https://scryfall.com/docs/syntax</x:v>
      </x:c>
      <x:c r="R423" s="26" t="str">
        <x:v>2026-08-21</x:v>
      </x:c>
    </x:row>
    <x:row r="424">
      <x:c r="A424" s="26" t="str">
        <x:v>Keywords!A87:C87</x:v>
      </x:c>
      <x:c r="B424" s="26" t="str">
        <x:v>Keywords from Expert-Level Expansions</x:v>
      </x:c>
      <x:c r="C424" s="26" t="str">
        <x:v>Hideaway</x:v>
      </x:c>
      <x:c r="D424" s="26" t="str">
        <x:v>Keyword reference</x:v>
      </x:c>
      <x:c r="E424" s="26" t="str">
        <x:v>When a card with hideaway enters the battlefield, its controller chooses one card from the top four of their library and exiles that card face-down. Each card with hideaway also has another ability that allows its controller to play the "hidden" card, without paying its mana cost, under certain conditions. Hideaway appears only on a cycle of lands from Lorwyn, along with a creature from Modern Horizons, and more recently on a cycle of enchantments from Streets of New Capenna.</x:v>
      </x:c>
      <x:c r="F424" s="26" t="str">
        <x:v>o:"Hideaway"</x:v>
      </x:c>
      <x:c r="G424" s="26" t="str">
        <x:v>Medium</x:v>
      </x:c>
      <x:c r="H424" s="26" t="str">
        <x:v>Named keyword / mechanic</x:v>
      </x:c>
      <x:c r="I424" s="26" t="str">
        <x:v>keyword: preferred</x:v>
      </x:c>
      <x:c r="J424" s="26" t="str">
        <x:v>kw:Hideaway</x:v>
      </x:c>
      <x:c r="K424" s="26" t="str">
        <x:v>o:"Hideaway"</x:v>
      </x:c>
      <x:c r="L424" s="26" t="str">
        <x:v>hideaway</x:v>
      </x:c>
      <x:c r="M424" s="26" t="str">
        <x:v>Translate, but retain fallback</x:v>
      </x:c>
      <x:c r="N424" s="26" t="str">
        <x:v>Review</x:v>
      </x:c>
      <x:c r="O424" s="43" t="n">
        <x:v>0.88</x:v>
      </x:c>
      <x:c r="P424" s="26" t="str">
        <x:v>Mechanic taxonomy evolves; validate edge cases where the source list mixes keyword abilities, actions, or layouts.</x:v>
      </x:c>
      <x:c r="Q424" s="26" t="str">
        <x:v>https://scryfall.com/docs/syntax</x:v>
      </x:c>
      <x:c r="R424" s="26" t="str">
        <x:v>2026-08-21</x:v>
      </x:c>
    </x:row>
    <x:row r="425">
      <x:c r="A425" s="26" t="str">
        <x:v>Keywords!A88:C88</x:v>
      </x:c>
      <x:c r="B425" s="26" t="str">
        <x:v>Keywords from Expert-Level Expansions</x:v>
      </x:c>
      <x:c r="C425" s="26" t="str">
        <x:v>Horsemanship</x:v>
      </x:c>
      <x:c r="D425" s="26" t="str">
        <x:v>Keyword reference</x:v>
      </x:c>
      <x:c r="E425" s="26" t="str">
        <x:v>Horsemanship parallels flying in that creatures with horsemanship can only be blocked by other creatures with horsemanship. There is no exception analogous to reach. Horsemanship is mostly unique to the Portal Three Kingdoms set, so very few cards make use of the keyword.</x:v>
      </x:c>
      <x:c r="F425" s="26" t="str">
        <x:v>o:"Horsemanship"</x:v>
      </x:c>
      <x:c r="G425" s="26" t="str">
        <x:v>Medium</x:v>
      </x:c>
      <x:c r="H425" s="26" t="str">
        <x:v>Named keyword / mechanic</x:v>
      </x:c>
      <x:c r="I425" s="26" t="str">
        <x:v>keyword: preferred</x:v>
      </x:c>
      <x:c r="J425" s="26" t="str">
        <x:v>kw:Horsemanship</x:v>
      </x:c>
      <x:c r="K425" s="26" t="str">
        <x:v>o:"Horsemanship"</x:v>
      </x:c>
      <x:c r="L425" s="26" t="str">
        <x:v>horsemanship</x:v>
      </x:c>
      <x:c r="M425" s="26" t="str">
        <x:v>Translate, but retain fallback</x:v>
      </x:c>
      <x:c r="N425" s="26" t="str">
        <x:v>Review</x:v>
      </x:c>
      <x:c r="O425" s="43" t="n">
        <x:v>0.88</x:v>
      </x:c>
      <x:c r="P425" s="26" t="str">
        <x:v>Mechanic taxonomy evolves; validate edge cases where the source list mixes keyword abilities, actions, or layouts.</x:v>
      </x:c>
      <x:c r="Q425" s="26" t="str">
        <x:v>https://scryfall.com/docs/syntax</x:v>
      </x:c>
      <x:c r="R425" s="26" t="str">
        <x:v>2026-08-21</x:v>
      </x:c>
    </x:row>
    <x:row r="426">
      <x:c r="A426" s="26" t="str">
        <x:v>Keywords!A89:C89</x:v>
      </x:c>
      <x:c r="B426" s="26" t="str">
        <x:v>Keywords from Expert-Level Expansions</x:v>
      </x:c>
      <x:c r="C426" s="26" t="str">
        <x:v>Infect</x:v>
      </x:c>
      <x:c r="D426" s="26" t="str">
        <x:v>Keyword reference</x:v>
      </x:c>
      <x:c r="E426" s="26" t="str">
        <x:v>Creatures with infect deal damage to other creatures in the form of −1/−1 counters, similar to wither, and to players in the form of poison counters. A player who receives 10 poison counters loses the game. Infect appears on Phyrexian cards in the Scars of Mirrodin block.</x:v>
      </x:c>
      <x:c r="F426" s="26" t="str">
        <x:v>o:"Infect"</x:v>
      </x:c>
      <x:c r="G426" s="26" t="str">
        <x:v>Medium</x:v>
      </x:c>
      <x:c r="H426" s="26" t="str">
        <x:v>Named keyword / mechanic</x:v>
      </x:c>
      <x:c r="I426" s="26" t="str">
        <x:v>keyword: preferred</x:v>
      </x:c>
      <x:c r="J426" s="26" t="str">
        <x:v>kw:Infect</x:v>
      </x:c>
      <x:c r="K426" s="26" t="str">
        <x:v>o:"Infect"</x:v>
      </x:c>
      <x:c r="L426" s="26" t="str">
        <x:v>infect</x:v>
      </x:c>
      <x:c r="M426" s="26" t="str">
        <x:v>Translate, but retain fallback</x:v>
      </x:c>
      <x:c r="N426" s="26" t="str">
        <x:v>Review</x:v>
      </x:c>
      <x:c r="O426" s="43" t="n">
        <x:v>0.88</x:v>
      </x:c>
      <x:c r="P426" s="26" t="str">
        <x:v>Mechanic taxonomy evolves; validate edge cases where the source list mixes keyword abilities, actions, or layouts.</x:v>
      </x:c>
      <x:c r="Q426" s="26" t="str">
        <x:v>https://scryfall.com/docs/syntax</x:v>
      </x:c>
      <x:c r="R426" s="26" t="str">
        <x:v>2026-08-21</x:v>
      </x:c>
    </x:row>
    <x:row r="427">
      <x:c r="A427" s="26" t="str">
        <x:v>Keywords!A90:C90</x:v>
      </x:c>
      <x:c r="B427" s="26" t="str">
        <x:v>Keywords from Expert-Level Expansions</x:v>
      </x:c>
      <x:c r="C427" s="26" t="str">
        <x:v>Jump-start</x:v>
      </x:c>
      <x:c r="D427" s="26" t="str">
        <x:v>Keyword reference</x:v>
      </x:c>
      <x:c r="E427" s="26" t="str">
        <x:v>Spells with jump-start can be cast from the graveyard with the additional cost of discarding a card. After the spell leaves the stack, it is exiled. Jump-start appears in Guilds of Ravnica and is associated with the Izzet League.</x:v>
      </x:c>
      <x:c r="F427" s="26" t="str">
        <x:v>o:"Jump-start"</x:v>
      </x:c>
      <x:c r="G427" s="26" t="str">
        <x:v>Medium</x:v>
      </x:c>
      <x:c r="H427" s="26" t="str">
        <x:v>Named keyword / mechanic</x:v>
      </x:c>
      <x:c r="I427" s="26" t="str">
        <x:v>keyword: preferred</x:v>
      </x:c>
      <x:c r="J427" s="26" t="str">
        <x:v>kw:"Jump-start"</x:v>
      </x:c>
      <x:c r="K427" s="26" t="str">
        <x:v>o:"Jump-start"</x:v>
      </x:c>
      <x:c r="L427" s="26" t="str">
        <x:v>jump-start</x:v>
      </x:c>
      <x:c r="M427" s="26" t="str">
        <x:v>Translate, but retain fallback</x:v>
      </x:c>
      <x:c r="N427" s="26" t="str">
        <x:v>Review</x:v>
      </x:c>
      <x:c r="O427" s="43" t="n">
        <x:v>0.88</x:v>
      </x:c>
      <x:c r="P427" s="26" t="str">
        <x:v>Mechanic taxonomy evolves; validate edge cases where the source list mixes keyword abilities, actions, or layouts.</x:v>
      </x:c>
      <x:c r="Q427" s="26" t="str">
        <x:v>https://scryfall.com/docs/syntax</x:v>
      </x:c>
      <x:c r="R427" s="26" t="str">
        <x:v>2026-08-21</x:v>
      </x:c>
    </x:row>
    <x:row r="428">
      <x:c r="A428" s="26" t="str">
        <x:v>Keywords!A91:C91</x:v>
      </x:c>
      <x:c r="B428" s="26" t="str">
        <x:v>Keywords from Expert-Level Expansions</x:v>
      </x:c>
      <x:c r="C428" s="26" t="str">
        <x:v>Kicker</x:v>
      </x:c>
      <x:c r="D428" s="26" t="str">
        <x:v>Keyword reference</x:v>
      </x:c>
      <x:c r="E428" s="26" t="str">
        <x:v>This ability is written Kicker (cost). The kicker cost is an additional and optional cost that can be paid when the card is cast. If the card is "kicked", an ability of the card takes effect. Some cards have multiple kicker abilities; a player may choose to pay any, all, or none of these. Kicker was introduced in the Invasion block and is the returning mechanic in the Zendikar and Dominaria blocks.</x:v>
      </x:c>
      <x:c r="F428" s="26" t="str">
        <x:v>o:"Kicker"</x:v>
      </x:c>
      <x:c r="G428" s="26" t="str">
        <x:v>Medium</x:v>
      </x:c>
      <x:c r="H428" s="26" t="str">
        <x:v>Named keyword / mechanic</x:v>
      </x:c>
      <x:c r="I428" s="26" t="str">
        <x:v>keyword: preferred</x:v>
      </x:c>
      <x:c r="J428" s="26" t="str">
        <x:v>kw:Kicker</x:v>
      </x:c>
      <x:c r="K428" s="26" t="str">
        <x:v>o:"Kicker"</x:v>
      </x:c>
      <x:c r="L428" s="26" t="str">
        <x:v>kicker</x:v>
      </x:c>
      <x:c r="M428" s="26" t="str">
        <x:v>Translate, but retain fallback</x:v>
      </x:c>
      <x:c r="N428" s="26" t="str">
        <x:v>Review</x:v>
      </x:c>
      <x:c r="O428" s="43" t="n">
        <x:v>0.88</x:v>
      </x:c>
      <x:c r="P428" s="26" t="str">
        <x:v>Mechanic taxonomy evolves; validate edge cases where the source list mixes keyword abilities, actions, or layouts.</x:v>
      </x:c>
      <x:c r="Q428" s="26" t="str">
        <x:v>https://scryfall.com/docs/syntax</x:v>
      </x:c>
      <x:c r="R428" s="26" t="str">
        <x:v>2026-08-21</x:v>
      </x:c>
    </x:row>
    <x:row r="429">
      <x:c r="A429" s="26" t="str">
        <x:v>Keywords!A92:C92</x:v>
      </x:c>
      <x:c r="B429" s="26" t="str">
        <x:v>Keywords from Expert-Level Expansions</x:v>
      </x:c>
      <x:c r="C429" s="26" t="str">
        <x:v>Level up</x:v>
      </x:c>
      <x:c r="D429" s="26" t="str">
        <x:v>Keyword reference</x:v>
      </x:c>
      <x:c r="E429" s="26" t="str">
        <x:v>This ability is written Level up (cost). Any time they could cast a sorcery, a player may activate the level up ability of a "leveler" creature to put a level counter on it. Leveler creatures increase in power and gain new abilities as they accumulate level counters, as indicated by the three striped bands in the text box. Level up appears in Rise of the Eldrazi.</x:v>
      </x:c>
      <x:c r="F429" s="26" t="str">
        <x:v>o:"Level up"</x:v>
      </x:c>
      <x:c r="G429" s="26" t="str">
        <x:v>Medium</x:v>
      </x:c>
      <x:c r="H429" s="26" t="str">
        <x:v>Named keyword / mechanic</x:v>
      </x:c>
      <x:c r="I429" s="26" t="str">
        <x:v>keyword: preferred</x:v>
      </x:c>
      <x:c r="J429" s="26" t="str">
        <x:v>kw:"Level up"</x:v>
      </x:c>
      <x:c r="K429" s="26" t="str">
        <x:v>o:"Level up"</x:v>
      </x:c>
      <x:c r="L429" s="26" t="str">
        <x:v>level up</x:v>
      </x:c>
      <x:c r="M429" s="26" t="str">
        <x:v>Translate, but retain fallback</x:v>
      </x:c>
      <x:c r="N429" s="26" t="str">
        <x:v>Review</x:v>
      </x:c>
      <x:c r="O429" s="43" t="n">
        <x:v>0.88</x:v>
      </x:c>
      <x:c r="P429" s="26" t="str">
        <x:v>Mechanic taxonomy evolves; validate edge cases where the source list mixes keyword abilities, actions, or layouts.</x:v>
      </x:c>
      <x:c r="Q429" s="26" t="str">
        <x:v>https://scryfall.com/docs/syntax</x:v>
      </x:c>
      <x:c r="R429" s="26" t="str">
        <x:v>2026-08-21</x:v>
      </x:c>
    </x:row>
    <x:row r="430">
      <x:c r="A430" s="26" t="str">
        <x:v>Keywords!A93:C93</x:v>
      </x:c>
      <x:c r="B430" s="26" t="str">
        <x:v>Keywords from Expert-Level Expansions</x:v>
      </x:c>
      <x:c r="C430" s="26" t="str">
        <x:v>Living weapon</x:v>
      </x:c>
      <x:c r="D430" s="26" t="str">
        <x:v>Keyword reference</x:v>
      </x:c>
      <x:c r="E430" s="26" t="str">
        <x:v>When an equipment with living weapon enters the battlefield, its controller puts a 0/0 black Germ creature token onto the battlefield then attaches that equipment to the token. All cards with living weapon give the equipped creature a toughness increase to compensate for the Germ's 0 toughness; the player may attach the equipment to a different creature, but the Germ will be instantly sent to the graveyard. Living weapon was introduced in Mirrodin Besieged and appears on Phyrexian cards.</x:v>
      </x:c>
      <x:c r="F430" s="26" t="str">
        <x:v>o:"Living weapon"</x:v>
      </x:c>
      <x:c r="G430" s="26" t="str">
        <x:v>Medium</x:v>
      </x:c>
      <x:c r="H430" s="26" t="str">
        <x:v>Named keyword / mechanic</x:v>
      </x:c>
      <x:c r="I430" s="26" t="str">
        <x:v>keyword: preferred</x:v>
      </x:c>
      <x:c r="J430" s="26" t="str">
        <x:v>kw:"Living weapon"</x:v>
      </x:c>
      <x:c r="K430" s="26" t="str">
        <x:v>o:"Living weapon"</x:v>
      </x:c>
      <x:c r="L430" s="26" t="str">
        <x:v>living weapon</x:v>
      </x:c>
      <x:c r="M430" s="26" t="str">
        <x:v>Translate, but retain fallback</x:v>
      </x:c>
      <x:c r="N430" s="26" t="str">
        <x:v>Review</x:v>
      </x:c>
      <x:c r="O430" s="43" t="n">
        <x:v>0.88</x:v>
      </x:c>
      <x:c r="P430" s="26" t="str">
        <x:v>Mechanic taxonomy evolves; validate edge cases where the source list mixes keyword abilities, actions, or layouts.</x:v>
      </x:c>
      <x:c r="Q430" s="26" t="str">
        <x:v>https://scryfall.com/docs/syntax</x:v>
      </x:c>
      <x:c r="R430" s="26" t="str">
        <x:v>2026-08-21</x:v>
      </x:c>
    </x:row>
    <x:row r="431">
      <x:c r="A431" s="26" t="str">
        <x:v>Keywords!A94:C94</x:v>
      </x:c>
      <x:c r="B431" s="26" t="str">
        <x:v>Keywords from Expert-Level Expansions</x:v>
      </x:c>
      <x:c r="C431" s="26" t="str">
        <x:v>Madness</x:v>
      </x:c>
      <x:c r="D431" s="26" t="str">
        <x:v>Keyword reference</x:v>
      </x:c>
      <x:c r="E431" s="26" t="str">
        <x:v>This ability is written Madness (cost). At the time a player discards a card with madness, they may pay its madness cost and cast the card. Madness first appeared in Torment, and the rules for madness were subtly shifted for its reappearance in Time Spiral block, where the vast majority of madness cards were black. A madness cost is usually cheaper than the normal mana cost of a card (but the Future Sight set introduced Ichor Slick whose madness cost is more expensive than its normal cost). The rules for madness were changed again when it was reintroduced for Shadows over Innistrad.</x:v>
      </x:c>
      <x:c r="F431" s="26" t="str">
        <x:v>o:"Madness"</x:v>
      </x:c>
      <x:c r="G431" s="26" t="str">
        <x:v>Medium</x:v>
      </x:c>
      <x:c r="H431" s="26" t="str">
        <x:v>Named keyword / mechanic</x:v>
      </x:c>
      <x:c r="I431" s="26" t="str">
        <x:v>keyword: preferred</x:v>
      </x:c>
      <x:c r="J431" s="26" t="str">
        <x:v>kw:Madness</x:v>
      </x:c>
      <x:c r="K431" s="26" t="str">
        <x:v>o:"Madness"</x:v>
      </x:c>
      <x:c r="L431" s="26" t="str">
        <x:v>madness</x:v>
      </x:c>
      <x:c r="M431" s="26" t="str">
        <x:v>Translate, but retain fallback</x:v>
      </x:c>
      <x:c r="N431" s="26" t="str">
        <x:v>Review</x:v>
      </x:c>
      <x:c r="O431" s="43" t="n">
        <x:v>0.88</x:v>
      </x:c>
      <x:c r="P431" s="26" t="str">
        <x:v>Mechanic taxonomy evolves; validate edge cases where the source list mixes keyword abilities, actions, or layouts.</x:v>
      </x:c>
      <x:c r="Q431" s="26" t="str">
        <x:v>https://scryfall.com/docs/syntax</x:v>
      </x:c>
      <x:c r="R431" s="26" t="str">
        <x:v>2026-08-21</x:v>
      </x:c>
    </x:row>
    <x:row r="432">
      <x:c r="A432" s="26" t="str">
        <x:v>Keywords!A95:C95</x:v>
      </x:c>
      <x:c r="B432" s="26" t="str">
        <x:v>Keywords from Expert-Level Expansions</x:v>
      </x:c>
      <x:c r="C432" s="26" t="str">
        <x:v>Manifest</x:v>
      </x:c>
      <x:c r="D432" s="26" t="str">
        <x:v>Keyword reference</x:v>
      </x:c>
      <x:c r="E432" s="26" t="str">
        <x:v>This ability is written Manifest [one or more cards], most frequently manifest the top card of your library. When the player manifests a card, the player puts it onto the battlefield face down, disguising its true identity from their opponents. While face down, it's a 2/2 colorless creature with no name, no abilities, and no creature types. Face-down cards act as creatures: they can attack and block, be targeted by spells and abilities affecting creatures, and be modified with auras and equipment. However, if the face-down card is a creature card then it can be turned face-up for its full mana cost whether it has this ability on its own or not. If the card has the morph ability, the controller can use this ability to turn the card face-up, regardless of the card's type; megamorph is treated the same way. These uses of morph and megamorph are considered 'special actions' and do not hit the stack. As always, any face-down card must be revealed at the end of the game or when it is moved to any zone other than the battlefield, including exile. Also, manifested cards are treated identically to morph cards in that they are distinct from one another and must be distinguishable from other manifested cards throughout the game.</x:v>
      </x:c>
      <x:c r="F432" s="26" t="str">
        <x:v>o:"Manifest"</x:v>
      </x:c>
      <x:c r="G432" s="26" t="str">
        <x:v>Medium</x:v>
      </x:c>
      <x:c r="H432" s="26" t="str">
        <x:v>Named keyword / mechanic</x:v>
      </x:c>
      <x:c r="I432" s="26" t="str">
        <x:v>keyword: preferred</x:v>
      </x:c>
      <x:c r="J432" s="26" t="str">
        <x:v>kw:Manifest</x:v>
      </x:c>
      <x:c r="K432" s="26" t="str">
        <x:v>o:"Manifest"</x:v>
      </x:c>
      <x:c r="L432" s="26" t="str">
        <x:v>manifest</x:v>
      </x:c>
      <x:c r="M432" s="26" t="str">
        <x:v>Translate, but retain fallback</x:v>
      </x:c>
      <x:c r="N432" s="26" t="str">
        <x:v>Review</x:v>
      </x:c>
      <x:c r="O432" s="43" t="n">
        <x:v>0.88</x:v>
      </x:c>
      <x:c r="P432" s="26" t="str">
        <x:v>Mechanic taxonomy evolves; validate edge cases where the source list mixes keyword abilities, actions, or layouts.</x:v>
      </x:c>
      <x:c r="Q432" s="26" t="str">
        <x:v>https://scryfall.com/docs/syntax</x:v>
      </x:c>
      <x:c r="R432" s="26" t="str">
        <x:v>2026-08-21</x:v>
      </x:c>
    </x:row>
    <x:row r="433">
      <x:c r="A433" s="26" t="str">
        <x:v>Keywords!A96:C96</x:v>
      </x:c>
      <x:c r="B433" s="26" t="str">
        <x:v>Keywords from Expert-Level Expansions</x:v>
      </x:c>
      <x:c r="C433" s="26" t="str">
        <x:v>Meld</x:v>
      </x:c>
      <x:c r="D433" s="26" t="str">
        <x:v>Keyword reference</x:v>
      </x:c>
      <x:c r="E433" s="26" t="str">
        <x:v>Meld is a keyword action where two specific cards can be exiled and then returned to the battlefield combined into a single creature. This mechanic is featured in the Eldritch Moon set expansion, among others.</x:v>
      </x:c>
      <x:c r="F433" s="26" t="str">
        <x:v>o:"Meld"</x:v>
      </x:c>
      <x:c r="G433" s="26" t="str">
        <x:v>Medium</x:v>
      </x:c>
      <x:c r="H433" s="26" t="str">
        <x:v>Named keyword / mechanic</x:v>
      </x:c>
      <x:c r="I433" s="26" t="str">
        <x:v>keyword: preferred</x:v>
      </x:c>
      <x:c r="J433" s="26" t="str">
        <x:v>kw:Meld</x:v>
      </x:c>
      <x:c r="K433" s="26" t="str">
        <x:v>o:"Meld"</x:v>
      </x:c>
      <x:c r="L433" s="26" t="str">
        <x:v>meld</x:v>
      </x:c>
      <x:c r="M433" s="26" t="str">
        <x:v>Translate, but retain fallback</x:v>
      </x:c>
      <x:c r="N433" s="26" t="str">
        <x:v>Review</x:v>
      </x:c>
      <x:c r="O433" s="43" t="n">
        <x:v>0.88</x:v>
      </x:c>
      <x:c r="P433" s="26" t="str">
        <x:v>Mechanic taxonomy evolves; validate edge cases where the source list mixes keyword abilities, actions, or layouts.</x:v>
      </x:c>
      <x:c r="Q433" s="26" t="str">
        <x:v>https://scryfall.com/docs/syntax</x:v>
      </x:c>
      <x:c r="R433" s="26" t="str">
        <x:v>2026-08-21</x:v>
      </x:c>
    </x:row>
    <x:row r="434">
      <x:c r="A434" s="26" t="str">
        <x:v>Keywords!A97:C97</x:v>
      </x:c>
      <x:c r="B434" s="26" t="str">
        <x:v>Keywords from Expert-Level Expansions</x:v>
      </x:c>
      <x:c r="C434" s="26" t="str">
        <x:v>Mentor</x:v>
      </x:c>
      <x:c r="D434" s="26" t="str">
        <x:v>Keyword reference</x:v>
      </x:c>
      <x:c r="E434" s="26" t="str">
        <x:v>Whenever a creature with mentor attacks, a +1/+1 counter may be placed on another attacking creature with lesser power. If a creature has multiple instances of mentor, each triggers separately. This ability is featured in the Guilds of Ravnica expansion and is associated with the Boros Legion.</x:v>
      </x:c>
      <x:c r="F434" s="26" t="str">
        <x:v>o:"Mentor"</x:v>
      </x:c>
      <x:c r="G434" s="26" t="str">
        <x:v>Medium</x:v>
      </x:c>
      <x:c r="H434" s="26" t="str">
        <x:v>Named keyword / mechanic</x:v>
      </x:c>
      <x:c r="I434" s="26" t="str">
        <x:v>keyword: preferred</x:v>
      </x:c>
      <x:c r="J434" s="26" t="str">
        <x:v>kw:Mentor</x:v>
      </x:c>
      <x:c r="K434" s="26" t="str">
        <x:v>o:"Mentor"</x:v>
      </x:c>
      <x:c r="L434" s="26" t="str">
        <x:v>mentor</x:v>
      </x:c>
      <x:c r="M434" s="26" t="str">
        <x:v>Translate, but retain fallback</x:v>
      </x:c>
      <x:c r="N434" s="26" t="str">
        <x:v>Review</x:v>
      </x:c>
      <x:c r="O434" s="43" t="n">
        <x:v>0.88</x:v>
      </x:c>
      <x:c r="P434" s="26" t="str">
        <x:v>Mechanic taxonomy evolves; validate edge cases where the source list mixes keyword abilities, actions, or layouts.</x:v>
      </x:c>
      <x:c r="Q434" s="26" t="str">
        <x:v>https://scryfall.com/docs/syntax</x:v>
      </x:c>
      <x:c r="R434" s="26" t="str">
        <x:v>2026-08-21</x:v>
      </x:c>
    </x:row>
    <x:row r="435">
      <x:c r="A435" s="26" t="str">
        <x:v>Keywords!A98:C98</x:v>
      </x:c>
      <x:c r="B435" s="26" t="str">
        <x:v>Keywords from Expert-Level Expansions</x:v>
      </x:c>
      <x:c r="C435" s="26" t="str">
        <x:v>Miracle</x:v>
      </x:c>
      <x:c r="D435" s="26" t="str">
        <x:v>Keyword reference</x:v>
      </x:c>
      <x:c r="E435" s="26" t="str">
        <x:v>This ability is written Miracle (cost). If the first card a player draws during any turn has miracle, they may reveal the card. If the card is revealed, the player may then cast the card for its miracle cost. Miracle appears in Avacyn Restored. Cards with miracle have a special border that appears as if the art is bathed in light.</x:v>
      </x:c>
      <x:c r="F435" s="26" t="str">
        <x:v>o:"Miracle"</x:v>
      </x:c>
      <x:c r="G435" s="26" t="str">
        <x:v>Medium</x:v>
      </x:c>
      <x:c r="H435" s="26" t="str">
        <x:v>Named keyword / mechanic</x:v>
      </x:c>
      <x:c r="I435" s="26" t="str">
        <x:v>keyword: preferred</x:v>
      </x:c>
      <x:c r="J435" s="26" t="str">
        <x:v>kw:Miracle</x:v>
      </x:c>
      <x:c r="K435" s="26" t="str">
        <x:v>o:"Miracle"</x:v>
      </x:c>
      <x:c r="L435" s="26" t="str">
        <x:v>miracle</x:v>
      </x:c>
      <x:c r="M435" s="26" t="str">
        <x:v>Translate, but retain fallback</x:v>
      </x:c>
      <x:c r="N435" s="26" t="str">
        <x:v>Review</x:v>
      </x:c>
      <x:c r="O435" s="43" t="n">
        <x:v>0.88</x:v>
      </x:c>
      <x:c r="P435" s="26" t="str">
        <x:v>Mechanic taxonomy evolves; validate edge cases where the source list mixes keyword abilities, actions, or layouts.</x:v>
      </x:c>
      <x:c r="Q435" s="26" t="str">
        <x:v>https://scryfall.com/docs/syntax</x:v>
      </x:c>
      <x:c r="R435" s="26" t="str">
        <x:v>2026-08-21</x:v>
      </x:c>
    </x:row>
    <x:row r="436">
      <x:c r="A436" s="26" t="str">
        <x:v>Keywords!A99:C99</x:v>
      </x:c>
      <x:c r="B436" s="26" t="str">
        <x:v>Keywords from Expert-Level Expansions</x:v>
      </x:c>
      <x:c r="C436" s="26" t="str">
        <x:v>Modular</x:v>
      </x:c>
      <x:c r="D436" s="26" t="str">
        <x:v>Keyword reference</x:v>
      </x:c>
      <x:c r="E436" s="26" t="str">
        <x:v>This ability is written Modular x. A creature with modular enters the battlefield with x +1/+1 counters on it, and when that creature is put into a graveyard, its controller may put all the +1/+1 counters on that creature onto a target artifact creature. Modular appeared in Darksteel and on one card in Fifth Dawn (Arcbound Wanderer). Modern Horizons 2 added 8 new creatures with Modular and even a land with it.</x:v>
      </x:c>
      <x:c r="F436" s="26" t="str">
        <x:v>o:"Modular"</x:v>
      </x:c>
      <x:c r="G436" s="26" t="str">
        <x:v>Medium</x:v>
      </x:c>
      <x:c r="H436" s="26" t="str">
        <x:v>Named keyword / mechanic</x:v>
      </x:c>
      <x:c r="I436" s="26" t="str">
        <x:v>keyword: preferred</x:v>
      </x:c>
      <x:c r="J436" s="26" t="str">
        <x:v>kw:Modular</x:v>
      </x:c>
      <x:c r="K436" s="26" t="str">
        <x:v>o:"Modular"</x:v>
      </x:c>
      <x:c r="L436" s="26" t="str">
        <x:v>modular</x:v>
      </x:c>
      <x:c r="M436" s="26" t="str">
        <x:v>Translate, but retain fallback</x:v>
      </x:c>
      <x:c r="N436" s="26" t="str">
        <x:v>Review</x:v>
      </x:c>
      <x:c r="O436" s="43" t="n">
        <x:v>0.88</x:v>
      </x:c>
      <x:c r="P436" s="26" t="str">
        <x:v>Mechanic taxonomy evolves; validate edge cases where the source list mixes keyword abilities, actions, or layouts.</x:v>
      </x:c>
      <x:c r="Q436" s="26" t="str">
        <x:v>https://scryfall.com/docs/syntax</x:v>
      </x:c>
      <x:c r="R436" s="26" t="str">
        <x:v>2026-08-21</x:v>
      </x:c>
    </x:row>
    <x:row r="437">
      <x:c r="A437" s="26" t="str">
        <x:v>Keywords!A100:C100</x:v>
      </x:c>
      <x:c r="B437" s="26" t="str">
        <x:v>Keywords from Expert-Level Expansions</x:v>
      </x:c>
      <x:c r="C437" s="26" t="str">
        <x:v>Monstrosity</x:v>
      </x:c>
      <x:c r="D437" s="26" t="str">
        <x:v>Keyword reference</x:v>
      </x:c>
      <x:c r="E437" s="26" t="str">
        <x:v>This ability is written (Cost): Monstrosity x. If a creature is not monstrous yet, this ability makes that creatures monstrous and it gets x +1/+1 counters. Some creatures with this ability gain an additional effect once they become monstrous.</x:v>
      </x:c>
      <x:c r="F437" s="26" t="str">
        <x:v>o:"Monstrosity"</x:v>
      </x:c>
      <x:c r="G437" s="26" t="str">
        <x:v>Medium</x:v>
      </x:c>
      <x:c r="H437" s="26" t="str">
        <x:v>Named keyword / mechanic</x:v>
      </x:c>
      <x:c r="I437" s="26" t="str">
        <x:v>keyword: preferred</x:v>
      </x:c>
      <x:c r="J437" s="26" t="str">
        <x:v>kw:Monstrosity</x:v>
      </x:c>
      <x:c r="K437" s="26" t="str">
        <x:v>o:"Monstrosity"</x:v>
      </x:c>
      <x:c r="L437" s="26" t="str">
        <x:v>monstrosity</x:v>
      </x:c>
      <x:c r="M437" s="26" t="str">
        <x:v>Translate, but retain fallback</x:v>
      </x:c>
      <x:c r="N437" s="26" t="str">
        <x:v>Review</x:v>
      </x:c>
      <x:c r="O437" s="43" t="n">
        <x:v>0.88</x:v>
      </x:c>
      <x:c r="P437" s="26" t="str">
        <x:v>Mechanic taxonomy evolves; validate edge cases where the source list mixes keyword abilities, actions, or layouts.</x:v>
      </x:c>
      <x:c r="Q437" s="26" t="str">
        <x:v>https://scryfall.com/docs/syntax</x:v>
      </x:c>
      <x:c r="R437" s="26" t="str">
        <x:v>2026-08-21</x:v>
      </x:c>
    </x:row>
    <x:row r="438">
      <x:c r="A438" s="26" t="str">
        <x:v>Keywords!A101:C101</x:v>
      </x:c>
      <x:c r="B438" s="26" t="str">
        <x:v>Keywords from Expert-Level Expansions</x:v>
      </x:c>
      <x:c r="C438" s="26" t="str">
        <x:v>Morph</x:v>
      </x:c>
      <x:c r="D438" s="26" t="str">
        <x:v>Keyword reference</x:v>
      </x:c>
      <x:c r="E438" s="26" t="str">
        <x:v>This ability is written Morph (cost). A card with morph may be cast face-down by paying 3 generic mana. While face-down, the creature is a colorless, nameless and typeless 2/2 creature. At any time, a player may pay the creature's morph cost and turn the card face-up. Many cards with morph have additional abilities when they are turned face-up. Morph was introduced in the Onslaught block. Only cards with morph may be played face-down. If a card without morph is turned face-down by an effect, it cannot be turned face-up (unless the effect specified otherwise), because it has no morph ability with which to do so. At the end of the game, or whenever a face down creature would leave the battlefield, it is revealed to all players. In addition to providing information to players, this ensures that players do not cheat by playing cards without morph face-down.</x:v>
      </x:c>
      <x:c r="F438" s="26" t="str">
        <x:v>o:"Morph"</x:v>
      </x:c>
      <x:c r="G438" s="26" t="str">
        <x:v>Medium</x:v>
      </x:c>
      <x:c r="H438" s="26" t="str">
        <x:v>Named keyword / mechanic</x:v>
      </x:c>
      <x:c r="I438" s="26" t="str">
        <x:v>keyword: preferred</x:v>
      </x:c>
      <x:c r="J438" s="26" t="str">
        <x:v>kw:Morph</x:v>
      </x:c>
      <x:c r="K438" s="26" t="str">
        <x:v>o:"Morph"</x:v>
      </x:c>
      <x:c r="L438" s="26" t="str">
        <x:v>morph</x:v>
      </x:c>
      <x:c r="M438" s="26" t="str">
        <x:v>Translate, but retain fallback</x:v>
      </x:c>
      <x:c r="N438" s="26" t="str">
        <x:v>Review</x:v>
      </x:c>
      <x:c r="O438" s="43" t="n">
        <x:v>0.88</x:v>
      </x:c>
      <x:c r="P438" s="26" t="str">
        <x:v>Mechanic taxonomy evolves; validate edge cases where the source list mixes keyword abilities, actions, or layouts.</x:v>
      </x:c>
      <x:c r="Q438" s="26" t="str">
        <x:v>https://scryfall.com/docs/syntax</x:v>
      </x:c>
      <x:c r="R438" s="26" t="str">
        <x:v>2026-08-21</x:v>
      </x:c>
    </x:row>
    <x:row r="439">
      <x:c r="A439" s="26" t="str">
        <x:v>Keywords!A102:C102</x:v>
      </x:c>
      <x:c r="B439" s="26" t="str">
        <x:v>Keywords from Expert-Level Expansions</x:v>
      </x:c>
      <x:c r="C439" s="26" t="str">
        <x:v>Multikicker</x:v>
      </x:c>
      <x:c r="D439" s="26" t="str">
        <x:v>Keyword reference</x:v>
      </x:c>
      <x:c r="E439" s="26" t="str">
        <x:v>Multikicker is a variant of the kicker keyword, written Multikicker (cost), where the cost can be paid any number of times when the card is played, as opposed to the limit of one as defined in the original kicker ability. Cards with multikicker have an ability that references the number of times the card was "kicked". Multikicker appears in the Worldwake set.</x:v>
      </x:c>
      <x:c r="F439" s="26" t="str">
        <x:v>o:"Multikicker"</x:v>
      </x:c>
      <x:c r="G439" s="26" t="str">
        <x:v>Medium</x:v>
      </x:c>
      <x:c r="H439" s="26" t="str">
        <x:v>Named keyword / mechanic</x:v>
      </x:c>
      <x:c r="I439" s="26" t="str">
        <x:v>keyword: preferred</x:v>
      </x:c>
      <x:c r="J439" s="26" t="str">
        <x:v>kw:Multikicker</x:v>
      </x:c>
      <x:c r="K439" s="26" t="str">
        <x:v>o:"Multikicker"</x:v>
      </x:c>
      <x:c r="L439" s="26" t="str">
        <x:v>multikicker</x:v>
      </x:c>
      <x:c r="M439" s="26" t="str">
        <x:v>Translate, but retain fallback</x:v>
      </x:c>
      <x:c r="N439" s="26" t="str">
        <x:v>Review</x:v>
      </x:c>
      <x:c r="O439" s="43" t="n">
        <x:v>0.88</x:v>
      </x:c>
      <x:c r="P439" s="26" t="str">
        <x:v>Mechanic taxonomy evolves; validate edge cases where the source list mixes keyword abilities, actions, or layouts.</x:v>
      </x:c>
      <x:c r="Q439" s="26" t="str">
        <x:v>https://scryfall.com/docs/syntax</x:v>
      </x:c>
      <x:c r="R439" s="26" t="str">
        <x:v>2026-08-21</x:v>
      </x:c>
    </x:row>
    <x:row r="440">
      <x:c r="A440" s="26" t="str">
        <x:v>Keywords!A103:C103</x:v>
      </x:c>
      <x:c r="B440" s="26" t="str">
        <x:v>Keywords from Expert-Level Expansions</x:v>
      </x:c>
      <x:c r="C440" s="26" t="str">
        <x:v>Mutate</x:v>
      </x:c>
      <x:c r="D440" s="26" t="str">
        <x:v>Keyword reference</x:v>
      </x:c>
      <x:c r="E440" s="26" t="str">
        <x:v>If the player casts a spell for its mutate cost, they put it over or under a non-Human creature they own. The creature mutates into the creature on top plus all abilities from under it.</x:v>
      </x:c>
      <x:c r="F440" s="26" t="str">
        <x:v>o:"Mutate"</x:v>
      </x:c>
      <x:c r="G440" s="26" t="str">
        <x:v>Medium</x:v>
      </x:c>
      <x:c r="H440" s="26" t="str">
        <x:v>Named keyword / mechanic</x:v>
      </x:c>
      <x:c r="I440" s="26" t="str">
        <x:v>keyword: preferred</x:v>
      </x:c>
      <x:c r="J440" s="26" t="str">
        <x:v>kw:Mutate</x:v>
      </x:c>
      <x:c r="K440" s="26" t="str">
        <x:v>o:"Mutate"</x:v>
      </x:c>
      <x:c r="L440" s="26" t="str">
        <x:v>mutate</x:v>
      </x:c>
      <x:c r="M440" s="26" t="str">
        <x:v>Translate, but retain fallback</x:v>
      </x:c>
      <x:c r="N440" s="26" t="str">
        <x:v>Review</x:v>
      </x:c>
      <x:c r="O440" s="43" t="n">
        <x:v>0.88</x:v>
      </x:c>
      <x:c r="P440" s="26" t="str">
        <x:v>Mechanic taxonomy evolves; validate edge cases where the source list mixes keyword abilities, actions, or layouts.</x:v>
      </x:c>
      <x:c r="Q440" s="26" t="str">
        <x:v>https://scryfall.com/docs/syntax</x:v>
      </x:c>
      <x:c r="R440" s="26" t="str">
        <x:v>2026-08-21</x:v>
      </x:c>
    </x:row>
    <x:row r="441">
      <x:c r="A441" s="26" t="str">
        <x:v>Keywords!A104:C104</x:v>
      </x:c>
      <x:c r="B441" s="26" t="str">
        <x:v>Keywords from Expert-Level Expansions</x:v>
      </x:c>
      <x:c r="C441" s="26" t="str">
        <x:v>Ninjutsu</x:v>
      </x:c>
      <x:c r="D441" s="26" t="str">
        <x:v>Keyword reference</x:v>
      </x:c>
      <x:c r="E441" s="26" t="str">
        <x:v>This ability is written Ninjutsu (cost). If a player has a Ninja in hand and controls an attacking creature the opponent has declined to block, they may pay its ninjutsu cost, return the unblocked creature to their hand, and put the Ninja onto the battlefield tapped and attacking. Ninjutsu appears in Betrayers of Kamigawa and Kamigawa: Neon Dynasty and only on Ninja creatures.</x:v>
      </x:c>
      <x:c r="F441" s="26" t="str">
        <x:v>o:"Ninjutsu"</x:v>
      </x:c>
      <x:c r="G441" s="26" t="str">
        <x:v>Medium</x:v>
      </x:c>
      <x:c r="H441" s="26" t="str">
        <x:v>Named keyword / mechanic</x:v>
      </x:c>
      <x:c r="I441" s="26" t="str">
        <x:v>keyword: preferred</x:v>
      </x:c>
      <x:c r="J441" s="26" t="str">
        <x:v>kw:Ninjutsu</x:v>
      </x:c>
      <x:c r="K441" s="26" t="str">
        <x:v>o:"Ninjutsu"</x:v>
      </x:c>
      <x:c r="L441" s="26" t="str">
        <x:v>ninjutsu</x:v>
      </x:c>
      <x:c r="M441" s="26" t="str">
        <x:v>Translate, but retain fallback</x:v>
      </x:c>
      <x:c r="N441" s="26" t="str">
        <x:v>Review</x:v>
      </x:c>
      <x:c r="O441" s="43" t="n">
        <x:v>0.88</x:v>
      </x:c>
      <x:c r="P441" s="26" t="str">
        <x:v>Mechanic taxonomy evolves; validate edge cases where the source list mixes keyword abilities, actions, or layouts.</x:v>
      </x:c>
      <x:c r="Q441" s="26" t="str">
        <x:v>https://scryfall.com/docs/syntax</x:v>
      </x:c>
      <x:c r="R441" s="26" t="str">
        <x:v>2026-08-21</x:v>
      </x:c>
    </x:row>
    <x:row r="442">
      <x:c r="A442" s="26" t="str">
        <x:v>Keywords!A105:C105</x:v>
      </x:c>
      <x:c r="B442" s="26" t="str">
        <x:v>Keywords from Expert-Level Expansions</x:v>
      </x:c>
      <x:c r="C442" s="26" t="str">
        <x:v>Offering</x:v>
      </x:c>
      <x:c r="D442" s="26" t="str">
        <x:v>Keyword reference</x:v>
      </x:c>
      <x:c r="E442" s="26" t="str">
        <x:v>This ability is written (Creature type) offering. A player may cast a creature with the offering ability as an instant (similar to flash) but must sacrifice a creature of the stated type and pay the difference in mana cost between the sacrificed creature and the creature with offering. Offering only appears on a cycle of five legendary Spirits in Betrayers of Kamigawa.</x:v>
      </x:c>
      <x:c r="F442" s="26" t="str">
        <x:v>o:"Offering"</x:v>
      </x:c>
      <x:c r="G442" s="26" t="str">
        <x:v>Medium</x:v>
      </x:c>
      <x:c r="H442" s="26" t="str">
        <x:v>Named keyword / mechanic</x:v>
      </x:c>
      <x:c r="I442" s="26" t="str">
        <x:v>keyword: preferred</x:v>
      </x:c>
      <x:c r="J442" s="26" t="str">
        <x:v>kw:Offering</x:v>
      </x:c>
      <x:c r="K442" s="26" t="str">
        <x:v>o:"Offering"</x:v>
      </x:c>
      <x:c r="L442" s="26" t="str">
        <x:v>offering</x:v>
      </x:c>
      <x:c r="M442" s="26" t="str">
        <x:v>Translate, but retain fallback</x:v>
      </x:c>
      <x:c r="N442" s="26" t="str">
        <x:v>Review</x:v>
      </x:c>
      <x:c r="O442" s="43" t="n">
        <x:v>0.88</x:v>
      </x:c>
      <x:c r="P442" s="26" t="str">
        <x:v>Mechanic taxonomy evolves; validate edge cases where the source list mixes keyword abilities, actions, or layouts.</x:v>
      </x:c>
      <x:c r="Q442" s="26" t="str">
        <x:v>https://scryfall.com/docs/syntax</x:v>
      </x:c>
      <x:c r="R442" s="26" t="str">
        <x:v>2026-08-21</x:v>
      </x:c>
    </x:row>
    <x:row r="443">
      <x:c r="A443" s="26" t="str">
        <x:v>Keywords!A106:C106</x:v>
      </x:c>
      <x:c r="B443" s="26" t="str">
        <x:v>Keywords from Expert-Level Expansions</x:v>
      </x:c>
      <x:c r="C443" s="26" t="str">
        <x:v>Overload</x:v>
      </x:c>
      <x:c r="D443" s="26" t="str">
        <x:v>Keyword reference</x:v>
      </x:c>
      <x:c r="E443" s="26" t="str">
        <x:v>Overload is a keyword for instants and sorceries used by the Izzet League in Return to Ravnica. By paying the more-expensive overload cost instead of the regular mana cost, the spell can affect all possible targets, rather than a single one.</x:v>
      </x:c>
      <x:c r="F443" s="26" t="str">
        <x:v>o:"Overload"</x:v>
      </x:c>
      <x:c r="G443" s="26" t="str">
        <x:v>Medium</x:v>
      </x:c>
      <x:c r="H443" s="26" t="str">
        <x:v>Named keyword / mechanic</x:v>
      </x:c>
      <x:c r="I443" s="26" t="str">
        <x:v>keyword: preferred</x:v>
      </x:c>
      <x:c r="J443" s="26" t="str">
        <x:v>kw:Overload</x:v>
      </x:c>
      <x:c r="K443" s="26" t="str">
        <x:v>o:"Overload"</x:v>
      </x:c>
      <x:c r="L443" s="26" t="str">
        <x:v>overload</x:v>
      </x:c>
      <x:c r="M443" s="26" t="str">
        <x:v>Translate, but retain fallback</x:v>
      </x:c>
      <x:c r="N443" s="26" t="str">
        <x:v>Review</x:v>
      </x:c>
      <x:c r="O443" s="43" t="n">
        <x:v>0.88</x:v>
      </x:c>
      <x:c r="P443" s="26" t="str">
        <x:v>Mechanic taxonomy evolves; validate edge cases where the source list mixes keyword abilities, actions, or layouts.</x:v>
      </x:c>
      <x:c r="Q443" s="26" t="str">
        <x:v>https://scryfall.com/docs/syntax</x:v>
      </x:c>
      <x:c r="R443" s="26" t="str">
        <x:v>2026-08-21</x:v>
      </x:c>
    </x:row>
    <x:row r="444">
      <x:c r="A444" s="26" t="str">
        <x:v>Keywords!A107:C107</x:v>
      </x:c>
      <x:c r="B444" s="26" t="str">
        <x:v>Keywords from Expert-Level Expansions</x:v>
      </x:c>
      <x:c r="C444" s="26" t="str">
        <x:v>Persist</x:v>
      </x:c>
      <x:c r="D444" s="26" t="str">
        <x:v>Keyword reference</x:v>
      </x:c>
      <x:c r="E444" s="26" t="str">
        <x:v>When a creature with persist is put into a graveyard from the battlefield, if it had no −1/−1 counters on it, it is returned to the battlefield under its owner's control with a −1/−1 counter on it. Persist appears in Shadowmoor and Eventide.</x:v>
      </x:c>
      <x:c r="F444" s="26" t="str">
        <x:v>o:"Persist"</x:v>
      </x:c>
      <x:c r="G444" s="26" t="str">
        <x:v>Medium</x:v>
      </x:c>
      <x:c r="H444" s="26" t="str">
        <x:v>Named keyword / mechanic</x:v>
      </x:c>
      <x:c r="I444" s="26" t="str">
        <x:v>keyword: preferred</x:v>
      </x:c>
      <x:c r="J444" s="26" t="str">
        <x:v>kw:Persist</x:v>
      </x:c>
      <x:c r="K444" s="26" t="str">
        <x:v>o:"Persist"</x:v>
      </x:c>
      <x:c r="L444" s="26" t="str">
        <x:v>persist</x:v>
      </x:c>
      <x:c r="M444" s="26" t="str">
        <x:v>Translate, but retain fallback</x:v>
      </x:c>
      <x:c r="N444" s="26" t="str">
        <x:v>Review</x:v>
      </x:c>
      <x:c r="O444" s="43" t="n">
        <x:v>0.88</x:v>
      </x:c>
      <x:c r="P444" s="26" t="str">
        <x:v>Mechanic taxonomy evolves; validate edge cases where the source list mixes keyword abilities, actions, or layouts.</x:v>
      </x:c>
      <x:c r="Q444" s="26" t="str">
        <x:v>https://scryfall.com/docs/syntax</x:v>
      </x:c>
      <x:c r="R444" s="26" t="str">
        <x:v>2026-08-21</x:v>
      </x:c>
    </x:row>
    <x:row r="445">
      <x:c r="A445" s="26" t="str">
        <x:v>Keywords!A108:C108</x:v>
      </x:c>
      <x:c r="B445" s="26" t="str">
        <x:v>Keywords from Expert-Level Expansions</x:v>
      </x:c>
      <x:c r="C445" s="26" t="str">
        <x:v>Plot</x:v>
      </x:c>
      <x:c r="D445" s="26" t="str">
        <x:v>Keyword reference</x:v>
      </x:c>
      <x:c r="E445" s="26" t="str">
        <x:v>This ability is written Plot (cost) and has appeared natively on creatures, enchantments, and sorceries. When a card with this ability is in its owner's hand, they may pay its plot cost and exile it as a special action. They may then cast it without paying its mana cost on a later turn, as a sorcery. It was introduced in the Outlaws of Thunder Junction set. Some cards such as Jace Reawakened can plot cards even if they have no plot cost.</x:v>
      </x:c>
      <x:c r="F445" s="26" t="str">
        <x:v>o:"Plot"</x:v>
      </x:c>
      <x:c r="G445" s="26" t="str">
        <x:v>Medium</x:v>
      </x:c>
      <x:c r="H445" s="26" t="str">
        <x:v>Named keyword / mechanic</x:v>
      </x:c>
      <x:c r="I445" s="26" t="str">
        <x:v>keyword: preferred</x:v>
      </x:c>
      <x:c r="J445" s="26" t="str">
        <x:v>kw:Plot</x:v>
      </x:c>
      <x:c r="K445" s="26" t="str">
        <x:v>o:"Plot"</x:v>
      </x:c>
      <x:c r="L445" s="26" t="str">
        <x:v>plot</x:v>
      </x:c>
      <x:c r="M445" s="26" t="str">
        <x:v>Translate, but retain fallback</x:v>
      </x:c>
      <x:c r="N445" s="26" t="str">
        <x:v>Review</x:v>
      </x:c>
      <x:c r="O445" s="43" t="n">
        <x:v>0.88</x:v>
      </x:c>
      <x:c r="P445" s="26" t="str">
        <x:v>Mechanic taxonomy evolves; validate edge cases where the source list mixes keyword abilities, actions, or layouts.</x:v>
      </x:c>
      <x:c r="Q445" s="26" t="str">
        <x:v>https://scryfall.com/docs/syntax</x:v>
      </x:c>
      <x:c r="R445" s="26" t="str">
        <x:v>2026-08-21</x:v>
      </x:c>
    </x:row>
    <x:row r="446">
      <x:c r="A446" s="26" t="str">
        <x:v>Keywords!A109:C109</x:v>
      </x:c>
      <x:c r="B446" s="26" t="str">
        <x:v>Keywords from Expert-Level Expansions</x:v>
      </x:c>
      <x:c r="C446" s="26" t="str">
        <x:v>Poisonous</x:v>
      </x:c>
      <x:c r="D446" s="26" t="str">
        <x:v>Keyword reference</x:v>
      </x:c>
      <x:c r="E446" s="26" t="str">
        <x:v>This creature ability, written Poisonous x, originated in the Legends set. Whenever a creature with poisonous deals combat damage to a player, that player gets x poison counters. A player with ten poison counters loses the game. Cards with the ability appeared in small quantities up to the release of Fifth Edition, after which the ability was retired until Time Spiral block. Poisonous was keyworded in Future Sight, though older cards with the ability have not been changed to have poisonous due to minor text variations between cards. This ability was supplanted by the infect ability of the Scars of Mirrodin block.</x:v>
      </x:c>
      <x:c r="F446" s="26" t="str">
        <x:v>o:"Poisonous"</x:v>
      </x:c>
      <x:c r="G446" s="26" t="str">
        <x:v>Medium</x:v>
      </x:c>
      <x:c r="H446" s="26" t="str">
        <x:v>Named keyword / mechanic</x:v>
      </x:c>
      <x:c r="I446" s="26" t="str">
        <x:v>keyword: preferred</x:v>
      </x:c>
      <x:c r="J446" s="26" t="str">
        <x:v>kw:Poisonous</x:v>
      </x:c>
      <x:c r="K446" s="26" t="str">
        <x:v>o:"Poisonous"</x:v>
      </x:c>
      <x:c r="L446" s="26" t="str">
        <x:v>poisonous</x:v>
      </x:c>
      <x:c r="M446" s="26" t="str">
        <x:v>Translate, but retain fallback</x:v>
      </x:c>
      <x:c r="N446" s="26" t="str">
        <x:v>Review</x:v>
      </x:c>
      <x:c r="O446" s="43" t="n">
        <x:v>0.88</x:v>
      </x:c>
      <x:c r="P446" s="26" t="str">
        <x:v>Mechanic taxonomy evolves; validate edge cases where the source list mixes keyword abilities, actions, or layouts.</x:v>
      </x:c>
      <x:c r="Q446" s="26" t="str">
        <x:v>https://scryfall.com/docs/syntax</x:v>
      </x:c>
      <x:c r="R446" s="26" t="str">
        <x:v>2026-08-21</x:v>
      </x:c>
    </x:row>
    <x:row r="447">
      <x:c r="A447" s="26" t="str">
        <x:v>Keywords!A110:C110</x:v>
      </x:c>
      <x:c r="B447" s="26" t="str">
        <x:v>Keywords from Expert-Level Expansions</x:v>
      </x:c>
      <x:c r="C447" s="26" t="str">
        <x:v>Populate</x:v>
      </x:c>
      <x:c r="D447" s="26" t="str">
        <x:v>Keyword reference</x:v>
      </x:c>
      <x:c r="E447" s="26" t="str">
        <x:v>Populate is a keyword action introduced in Return to Ravnica that appears on green and white cards of the Selesnya Conclave. To populate, a player puts a token onto the battlefield that's a copy of a creature token they control.</x:v>
      </x:c>
      <x:c r="F447" s="26" t="str">
        <x:v>o:"Populate"</x:v>
      </x:c>
      <x:c r="G447" s="26" t="str">
        <x:v>Medium</x:v>
      </x:c>
      <x:c r="H447" s="26" t="str">
        <x:v>Named keyword / mechanic</x:v>
      </x:c>
      <x:c r="I447" s="26" t="str">
        <x:v>keyword: preferred</x:v>
      </x:c>
      <x:c r="J447" s="26" t="str">
        <x:v>kw:Populate</x:v>
      </x:c>
      <x:c r="K447" s="26" t="str">
        <x:v>o:"Populate"</x:v>
      </x:c>
      <x:c r="L447" s="26" t="str">
        <x:v>populate</x:v>
      </x:c>
      <x:c r="M447" s="26" t="str">
        <x:v>Translate, but retain fallback</x:v>
      </x:c>
      <x:c r="N447" s="26" t="str">
        <x:v>Review</x:v>
      </x:c>
      <x:c r="O447" s="43" t="n">
        <x:v>0.88</x:v>
      </x:c>
      <x:c r="P447" s="26" t="str">
        <x:v>Mechanic taxonomy evolves; validate edge cases where the source list mixes keyword abilities, actions, or layouts.</x:v>
      </x:c>
      <x:c r="Q447" s="26" t="str">
        <x:v>https://scryfall.com/docs/syntax</x:v>
      </x:c>
      <x:c r="R447" s="26" t="str">
        <x:v>2026-08-21</x:v>
      </x:c>
    </x:row>
    <x:row r="448">
      <x:c r="A448" s="26" t="str">
        <x:v>Keywords!A111:C111</x:v>
      </x:c>
      <x:c r="B448" s="26" t="str">
        <x:v>Keywords from Expert-Level Expansions</x:v>
      </x:c>
      <x:c r="C448" s="26" t="str">
        <x:v>Proliferate</x:v>
      </x:c>
      <x:c r="D448" s="26" t="str">
        <x:v>Keyword reference</x:v>
      </x:c>
      <x:c r="E448" s="26" t="str">
        <x:v>Proliferate is a keyword action introduced in Scars of Mirrodin. To proliferate, a player chooses any number of permanents and/or players with a counter (e.g. a Planeswalker loyalty counter, a +1/+1 counter, a poison counter), then gives each exactly one additional counter of a kind that permanent or player already has.</x:v>
      </x:c>
      <x:c r="F448" s="26" t="str">
        <x:v>o:"Proliferate"</x:v>
      </x:c>
      <x:c r="G448" s="26" t="str">
        <x:v>Medium</x:v>
      </x:c>
      <x:c r="H448" s="26" t="str">
        <x:v>Named keyword / mechanic</x:v>
      </x:c>
      <x:c r="I448" s="26" t="str">
        <x:v>keyword: preferred</x:v>
      </x:c>
      <x:c r="J448" s="26" t="str">
        <x:v>kw:Proliferate</x:v>
      </x:c>
      <x:c r="K448" s="26" t="str">
        <x:v>o:"Proliferate"</x:v>
      </x:c>
      <x:c r="L448" s="26" t="str">
        <x:v>proliferate</x:v>
      </x:c>
      <x:c r="M448" s="26" t="str">
        <x:v>Translate, but retain fallback</x:v>
      </x:c>
      <x:c r="N448" s="26" t="str">
        <x:v>Review</x:v>
      </x:c>
      <x:c r="O448" s="43" t="n">
        <x:v>0.88</x:v>
      </x:c>
      <x:c r="P448" s="26" t="str">
        <x:v>Mechanic taxonomy evolves; validate edge cases where the source list mixes keyword abilities, actions, or layouts.</x:v>
      </x:c>
      <x:c r="Q448" s="26" t="str">
        <x:v>https://scryfall.com/docs/syntax</x:v>
      </x:c>
      <x:c r="R448" s="26" t="str">
        <x:v>2026-08-21</x:v>
      </x:c>
    </x:row>
    <x:row r="449">
      <x:c r="A449" s="26" t="str">
        <x:v>Keywords!A112:C112</x:v>
      </x:c>
      <x:c r="B449" s="26" t="str">
        <x:v>Keywords from Expert-Level Expansions</x:v>
      </x:c>
      <x:c r="C449" s="26" t="str">
        <x:v>Provoke</x:v>
      </x:c>
      <x:c r="D449" s="26" t="str">
        <x:v>Keyword reference</x:v>
      </x:c>
      <x:c r="E449" s="26" t="str">
        <x:v>When a creature with provoke attacks, its controller may force a target creature to block it, if able. If a creature has multiple instances of provoke, each triggers separately. Provoke appears in the Legions set.</x:v>
      </x:c>
      <x:c r="F449" s="26" t="str">
        <x:v>o:"Provoke"</x:v>
      </x:c>
      <x:c r="G449" s="26" t="str">
        <x:v>Medium</x:v>
      </x:c>
      <x:c r="H449" s="26" t="str">
        <x:v>Named keyword / mechanic</x:v>
      </x:c>
      <x:c r="I449" s="26" t="str">
        <x:v>keyword: preferred</x:v>
      </x:c>
      <x:c r="J449" s="26" t="str">
        <x:v>kw:Provoke</x:v>
      </x:c>
      <x:c r="K449" s="26" t="str">
        <x:v>o:"Provoke"</x:v>
      </x:c>
      <x:c r="L449" s="26" t="str">
        <x:v>provoke</x:v>
      </x:c>
      <x:c r="M449" s="26" t="str">
        <x:v>Translate, but retain fallback</x:v>
      </x:c>
      <x:c r="N449" s="26" t="str">
        <x:v>Review</x:v>
      </x:c>
      <x:c r="O449" s="43" t="n">
        <x:v>0.88</x:v>
      </x:c>
      <x:c r="P449" s="26" t="str">
        <x:v>Mechanic taxonomy evolves; validate edge cases where the source list mixes keyword abilities, actions, or layouts.</x:v>
      </x:c>
      <x:c r="Q449" s="26" t="str">
        <x:v>https://scryfall.com/docs/syntax</x:v>
      </x:c>
      <x:c r="R449" s="26" t="str">
        <x:v>2026-08-21</x:v>
      </x:c>
    </x:row>
    <x:row r="450">
      <x:c r="A450" s="26" t="str">
        <x:v>Keywords!A113:C113</x:v>
      </x:c>
      <x:c r="B450" s="26" t="str">
        <x:v>Keywords from Expert-Level Expansions</x:v>
      </x:c>
      <x:c r="C450" s="26" t="str">
        <x:v>Prowl</x:v>
      </x:c>
      <x:c r="D450" s="26" t="str">
        <x:v>Keyword reference</x:v>
      </x:c>
      <x:c r="E450" s="26" t="str">
        <x:v>This ability is written Prowl (cost). A player may cast a creature with prowl for its prowl cost if a creature sharing a creature type with the creature dealt combat damage to a player this turn. Prowl only appears in Morningtide on Rogue creatures.</x:v>
      </x:c>
      <x:c r="F450" s="26" t="str">
        <x:v>o:"Prowl"</x:v>
      </x:c>
      <x:c r="G450" s="26" t="str">
        <x:v>Medium</x:v>
      </x:c>
      <x:c r="H450" s="26" t="str">
        <x:v>Named keyword / mechanic</x:v>
      </x:c>
      <x:c r="I450" s="26" t="str">
        <x:v>keyword: preferred</x:v>
      </x:c>
      <x:c r="J450" s="26" t="str">
        <x:v>kw:Prowl</x:v>
      </x:c>
      <x:c r="K450" s="26" t="str">
        <x:v>o:"Prowl"</x:v>
      </x:c>
      <x:c r="L450" s="26" t="str">
        <x:v>prowl</x:v>
      </x:c>
      <x:c r="M450" s="26" t="str">
        <x:v>Translate, but retain fallback</x:v>
      </x:c>
      <x:c r="N450" s="26" t="str">
        <x:v>Review</x:v>
      </x:c>
      <x:c r="O450" s="43" t="n">
        <x:v>0.88</x:v>
      </x:c>
      <x:c r="P450" s="26" t="str">
        <x:v>Mechanic taxonomy evolves; validate edge cases where the source list mixes keyword abilities, actions, or layouts.</x:v>
      </x:c>
      <x:c r="Q450" s="26" t="str">
        <x:v>https://scryfall.com/docs/syntax</x:v>
      </x:c>
      <x:c r="R450" s="26" t="str">
        <x:v>2026-08-21</x:v>
      </x:c>
    </x:row>
    <x:row r="451">
      <x:c r="A451" s="26" t="str">
        <x:v>Keywords!A114:C114</x:v>
      </x:c>
      <x:c r="B451" s="26" t="str">
        <x:v>Keywords from Expert-Level Expansions</x:v>
      </x:c>
      <x:c r="C451" s="26" t="str">
        <x:v>Radiation</x:v>
      </x:c>
      <x:c r="D451" s="26" t="str">
        <x:v>Keyword reference</x:v>
      </x:c>
      <x:c r="E451" s="26" t="str">
        <x:v>This keyword appears on cards that deal radiation counters to a player. It is unique to Magic: The Gathering - Fallout. At the beginning of a player's precombat main phase, if they have radiation counters, they will mill (put cards from the top of their library into their graveyard) that many cards and lose life equal to the number of nonland cards put into their graveyard that way. Then, they lose that many radiation counters.</x:v>
      </x:c>
      <x:c r="F451" s="26" t="str">
        <x:v>o:"Radiation"</x:v>
      </x:c>
      <x:c r="G451" s="26" t="str">
        <x:v>Medium</x:v>
      </x:c>
      <x:c r="H451" s="26" t="str">
        <x:v>Named keyword / mechanic</x:v>
      </x:c>
      <x:c r="I451" s="26" t="str">
        <x:v>keyword: preferred</x:v>
      </x:c>
      <x:c r="J451" s="26" t="str">
        <x:v>kw:Radiation</x:v>
      </x:c>
      <x:c r="K451" s="26" t="str">
        <x:v>o:"Radiation"</x:v>
      </x:c>
      <x:c r="L451" s="26" t="str">
        <x:v>radiation</x:v>
      </x:c>
      <x:c r="M451" s="26" t="str">
        <x:v>Translate, but retain fallback</x:v>
      </x:c>
      <x:c r="N451" s="26" t="str">
        <x:v>Review</x:v>
      </x:c>
      <x:c r="O451" s="43" t="n">
        <x:v>0.88</x:v>
      </x:c>
      <x:c r="P451" s="26" t="str">
        <x:v>Mechanic taxonomy evolves; validate edge cases where the source list mixes keyword abilities, actions, or layouts.</x:v>
      </x:c>
      <x:c r="Q451" s="26" t="str">
        <x:v>https://scryfall.com/docs/syntax</x:v>
      </x:c>
      <x:c r="R451" s="26" t="str">
        <x:v>2026-08-21</x:v>
      </x:c>
    </x:row>
    <x:row r="452">
      <x:c r="A452" s="26" t="str">
        <x:v>Keywords!A115:C115</x:v>
      </x:c>
      <x:c r="B452" s="26" t="str">
        <x:v>Keywords from Expert-Level Expansions</x:v>
      </x:c>
      <x:c r="C452" s="26" t="str">
        <x:v>Rampage</x:v>
      </x:c>
      <x:c r="D452" s="26" t="str">
        <x:v>Keyword reference</x:v>
      </x:c>
      <x:c r="E452" s="26" t="str">
        <x:v>This creature ability, written Rampage x, originated in the Legends set. Whenever this creature becomes blocked, it gets +x/+x until end of turn for each creature blocking it beyond the first. Cards with the ability appeared in small quantities up to the release of Mirage block, after which the ability was retired until Time Spiral block. It was retired again after Future Sight.</x:v>
      </x:c>
      <x:c r="F452" s="26" t="str">
        <x:v>o:"Rampage"</x:v>
      </x:c>
      <x:c r="G452" s="26" t="str">
        <x:v>Medium</x:v>
      </x:c>
      <x:c r="H452" s="26" t="str">
        <x:v>Named keyword / mechanic</x:v>
      </x:c>
      <x:c r="I452" s="26" t="str">
        <x:v>keyword: preferred</x:v>
      </x:c>
      <x:c r="J452" s="26" t="str">
        <x:v>kw:Rampage</x:v>
      </x:c>
      <x:c r="K452" s="26" t="str">
        <x:v>o:"Rampage"</x:v>
      </x:c>
      <x:c r="L452" s="26" t="str">
        <x:v>rampage</x:v>
      </x:c>
      <x:c r="M452" s="26" t="str">
        <x:v>Translate, but retain fallback</x:v>
      </x:c>
      <x:c r="N452" s="26" t="str">
        <x:v>Review</x:v>
      </x:c>
      <x:c r="O452" s="43" t="n">
        <x:v>0.88</x:v>
      </x:c>
      <x:c r="P452" s="26" t="str">
        <x:v>Mechanic taxonomy evolves; validate edge cases where the source list mixes keyword abilities, actions, or layouts.</x:v>
      </x:c>
      <x:c r="Q452" s="26" t="str">
        <x:v>https://scryfall.com/docs/syntax</x:v>
      </x:c>
      <x:c r="R452" s="26" t="str">
        <x:v>2026-08-21</x:v>
      </x:c>
    </x:row>
    <x:row r="453">
      <x:c r="A453" s="26" t="str">
        <x:v>Keywords!A116:C116</x:v>
      </x:c>
      <x:c r="B453" s="26" t="str">
        <x:v>Keywords from Expert-Level Expansions</x:v>
      </x:c>
      <x:c r="C453" s="26" t="str">
        <x:v>Ravenous</x:v>
      </x:c>
      <x:c r="D453" s="26" t="str">
        <x:v>Keyword reference</x:v>
      </x:c>
      <x:c r="E453" s="26" t="str">
        <x:v>Cards with ravenous, written Ravenous x, enter the battlefield with x +1/+1 counters. If x is 5 or more, its controller also draws a card. Ravenous is mostly unique to the Warhammer 40,000 Commander Decks.</x:v>
      </x:c>
      <x:c r="F453" s="26" t="str">
        <x:v>o:"Ravenous"</x:v>
      </x:c>
      <x:c r="G453" s="26" t="str">
        <x:v>Medium</x:v>
      </x:c>
      <x:c r="H453" s="26" t="str">
        <x:v>Named keyword / mechanic</x:v>
      </x:c>
      <x:c r="I453" s="26" t="str">
        <x:v>keyword: preferred</x:v>
      </x:c>
      <x:c r="J453" s="26" t="str">
        <x:v>kw:Ravenous</x:v>
      </x:c>
      <x:c r="K453" s="26" t="str">
        <x:v>o:"Ravenous"</x:v>
      </x:c>
      <x:c r="L453" s="26" t="str">
        <x:v>ravenous</x:v>
      </x:c>
      <x:c r="M453" s="26" t="str">
        <x:v>Translate, but retain fallback</x:v>
      </x:c>
      <x:c r="N453" s="26" t="str">
        <x:v>Review</x:v>
      </x:c>
      <x:c r="O453" s="43" t="n">
        <x:v>0.88</x:v>
      </x:c>
      <x:c r="P453" s="26" t="str">
        <x:v>Mechanic taxonomy evolves; validate edge cases where the source list mixes keyword abilities, actions, or layouts.</x:v>
      </x:c>
      <x:c r="Q453" s="26" t="str">
        <x:v>https://scryfall.com/docs/syntax</x:v>
      </x:c>
      <x:c r="R453" s="26" t="str">
        <x:v>2026-08-21</x:v>
      </x:c>
    </x:row>
    <x:row r="454">
      <x:c r="A454" s="26" t="str">
        <x:v>Keywords!A117:C117</x:v>
      </x:c>
      <x:c r="B454" s="26" t="str">
        <x:v>Keywords from Expert-Level Expansions</x:v>
      </x:c>
      <x:c r="C454" s="26" t="str">
        <x:v>Rebound</x:v>
      </x:c>
      <x:c r="D454" s="26" t="str">
        <x:v>Keyword reference</x:v>
      </x:c>
      <x:c r="E454" s="26" t="str">
        <x:v>Instants and sorceries with rebound are exiled as they resolve if cast from the hand. If this happens, at the beginning of the player's next upkeep, that player may cast the spell again from exile without paying its mana cost. Rebound appeared in Rise of the Eldrazi.</x:v>
      </x:c>
      <x:c r="F454" s="26" t="str">
        <x:v>o:"Rebound"</x:v>
      </x:c>
      <x:c r="G454" s="26" t="str">
        <x:v>Medium</x:v>
      </x:c>
      <x:c r="H454" s="26" t="str">
        <x:v>Named keyword / mechanic</x:v>
      </x:c>
      <x:c r="I454" s="26" t="str">
        <x:v>keyword: preferred</x:v>
      </x:c>
      <x:c r="J454" s="26" t="str">
        <x:v>kw:Rebound</x:v>
      </x:c>
      <x:c r="K454" s="26" t="str">
        <x:v>o:"Rebound"</x:v>
      </x:c>
      <x:c r="L454" s="26" t="str">
        <x:v>rebound</x:v>
      </x:c>
      <x:c r="M454" s="26" t="str">
        <x:v>Translate, but retain fallback</x:v>
      </x:c>
      <x:c r="N454" s="26" t="str">
        <x:v>Review</x:v>
      </x:c>
      <x:c r="O454" s="43" t="n">
        <x:v>0.88</x:v>
      </x:c>
      <x:c r="P454" s="26" t="str">
        <x:v>Mechanic taxonomy evolves; validate edge cases where the source list mixes keyword abilities, actions, or layouts.</x:v>
      </x:c>
      <x:c r="Q454" s="26" t="str">
        <x:v>https://scryfall.com/docs/syntax</x:v>
      </x:c>
      <x:c r="R454" s="26" t="str">
        <x:v>2026-08-21</x:v>
      </x:c>
    </x:row>
    <x:row r="455">
      <x:c r="A455" s="26" t="str">
        <x:v>Keywords!A118:C118</x:v>
      </x:c>
      <x:c r="B455" s="26" t="str">
        <x:v>Keywords from Expert-Level Expansions</x:v>
      </x:c>
      <x:c r="C455" s="26" t="str">
        <x:v>Recover</x:v>
      </x:c>
      <x:c r="D455" s="26" t="str">
        <x:v>Keyword reference</x:v>
      </x:c>
      <x:c r="E455" s="26" t="str">
        <x:v>This ability, written Recover (cost), triggers whenever a creature is put into its owner's graveyard from the battlefield. The owner of the card with recover then may pay the recover cost, returning the card to their hand. If they don't, the card is exiled. Recover appears in Coldsnap.</x:v>
      </x:c>
      <x:c r="F455" s="26" t="str">
        <x:v>o:"Recover"</x:v>
      </x:c>
      <x:c r="G455" s="26" t="str">
        <x:v>Medium</x:v>
      </x:c>
      <x:c r="H455" s="26" t="str">
        <x:v>Named keyword / mechanic</x:v>
      </x:c>
      <x:c r="I455" s="26" t="str">
        <x:v>keyword: preferred</x:v>
      </x:c>
      <x:c r="J455" s="26" t="str">
        <x:v>kw:Recover</x:v>
      </x:c>
      <x:c r="K455" s="26" t="str">
        <x:v>o:"Recover"</x:v>
      </x:c>
      <x:c r="L455" s="26" t="str">
        <x:v>recover</x:v>
      </x:c>
      <x:c r="M455" s="26" t="str">
        <x:v>Translate, but retain fallback</x:v>
      </x:c>
      <x:c r="N455" s="26" t="str">
        <x:v>Review</x:v>
      </x:c>
      <x:c r="O455" s="43" t="n">
        <x:v>0.88</x:v>
      </x:c>
      <x:c r="P455" s="26" t="str">
        <x:v>Mechanic taxonomy evolves; validate edge cases where the source list mixes keyword abilities, actions, or layouts.</x:v>
      </x:c>
      <x:c r="Q455" s="26" t="str">
        <x:v>https://scryfall.com/docs/syntax</x:v>
      </x:c>
      <x:c r="R455" s="26" t="str">
        <x:v>2026-08-21</x:v>
      </x:c>
    </x:row>
    <x:row r="456">
      <x:c r="A456" s="26" t="str">
        <x:v>Keywords!A119:C119</x:v>
      </x:c>
      <x:c r="B456" s="26" t="str">
        <x:v>Keywords from Expert-Level Expansions</x:v>
      </x:c>
      <x:c r="C456" s="26" t="str">
        <x:v>Reinforce</x:v>
      </x:c>
      <x:c r="D456" s="26" t="str">
        <x:v>Keyword reference</x:v>
      </x:c>
      <x:c r="E456" s="26" t="str">
        <x:v>This creature ability, written Reinforce x - (cost), allows its controller to discard the card from their hand and pay the reinforce cost to put x +1/+1 counters on target creature. The ability may only be activated if the card is in its owner's hand. Reinforce appears only in Morningtide.</x:v>
      </x:c>
      <x:c r="F456" s="26" t="str">
        <x:v>o:"Reinforce"</x:v>
      </x:c>
      <x:c r="G456" s="26" t="str">
        <x:v>Medium</x:v>
      </x:c>
      <x:c r="H456" s="26" t="str">
        <x:v>Named keyword / mechanic</x:v>
      </x:c>
      <x:c r="I456" s="26" t="str">
        <x:v>keyword: preferred</x:v>
      </x:c>
      <x:c r="J456" s="26" t="str">
        <x:v>kw:Reinforce</x:v>
      </x:c>
      <x:c r="K456" s="26" t="str">
        <x:v>o:"Reinforce"</x:v>
      </x:c>
      <x:c r="L456" s="26" t="str">
        <x:v>reinforce</x:v>
      </x:c>
      <x:c r="M456" s="26" t="str">
        <x:v>Translate, but retain fallback</x:v>
      </x:c>
      <x:c r="N456" s="26" t="str">
        <x:v>Review</x:v>
      </x:c>
      <x:c r="O456" s="43" t="n">
        <x:v>0.88</x:v>
      </x:c>
      <x:c r="P456" s="26" t="str">
        <x:v>Mechanic taxonomy evolves; validate edge cases where the source list mixes keyword abilities, actions, or layouts.</x:v>
      </x:c>
      <x:c r="Q456" s="26" t="str">
        <x:v>https://scryfall.com/docs/syntax</x:v>
      </x:c>
      <x:c r="R456" s="26" t="str">
        <x:v>2026-08-21</x:v>
      </x:c>
    </x:row>
    <x:row r="457">
      <x:c r="A457" s="26" t="str">
        <x:v>Keywords!A120:C120</x:v>
      </x:c>
      <x:c r="B457" s="26" t="str">
        <x:v>Keywords from Expert-Level Expansions</x:v>
      </x:c>
      <x:c r="C457" s="26" t="str">
        <x:v>Renown</x:v>
      </x:c>
      <x:c r="D457" s="26" t="str">
        <x:v>Keyword reference</x:v>
      </x:c>
      <x:c r="E457" s="26" t="str">
        <x:v>This ability is written Renown x. When this creature deals combat damage to a player, if it isn't renowned, put x +1/+1 counters on it and it becomes renowned. Renown appears in Magic Origins.</x:v>
      </x:c>
      <x:c r="F457" s="26" t="str">
        <x:v>o:"Renown"</x:v>
      </x:c>
      <x:c r="G457" s="26" t="str">
        <x:v>Medium</x:v>
      </x:c>
      <x:c r="H457" s="26" t="str">
        <x:v>Named keyword / mechanic</x:v>
      </x:c>
      <x:c r="I457" s="26" t="str">
        <x:v>keyword: preferred</x:v>
      </x:c>
      <x:c r="J457" s="26" t="str">
        <x:v>kw:Renown</x:v>
      </x:c>
      <x:c r="K457" s="26" t="str">
        <x:v>o:"Renown"</x:v>
      </x:c>
      <x:c r="L457" s="26" t="str">
        <x:v>renown</x:v>
      </x:c>
      <x:c r="M457" s="26" t="str">
        <x:v>Translate, but retain fallback</x:v>
      </x:c>
      <x:c r="N457" s="26" t="str">
        <x:v>Review</x:v>
      </x:c>
      <x:c r="O457" s="43" t="n">
        <x:v>0.88</x:v>
      </x:c>
      <x:c r="P457" s="26" t="str">
        <x:v>Mechanic taxonomy evolves; validate edge cases where the source list mixes keyword abilities, actions, or layouts.</x:v>
      </x:c>
      <x:c r="Q457" s="26" t="str">
        <x:v>https://scryfall.com/docs/syntax</x:v>
      </x:c>
      <x:c r="R457" s="26" t="str">
        <x:v>2026-08-21</x:v>
      </x:c>
    </x:row>
    <x:row r="458">
      <x:c r="A458" s="26" t="str">
        <x:v>Keywords!A121:C121</x:v>
      </x:c>
      <x:c r="B458" s="26" t="str">
        <x:v>Keywords from Expert-Level Expansions</x:v>
      </x:c>
      <x:c r="C458" s="26" t="str">
        <x:v>Replicate</x:v>
      </x:c>
      <x:c r="D458" s="26" t="str">
        <x:v>Keyword reference</x:v>
      </x:c>
      <x:c r="E458" s="26" t="str">
        <x:v>This spell ability, written Replicate (cost), allows its controller to pay the replicate cost any number of times while casting it. For each time the replicate cost is paid, the controller copies the spell. Replicate appears in Guildpact and is the ability associated with the Izzet League.</x:v>
      </x:c>
      <x:c r="F458" s="26" t="str">
        <x:v>o:"Replicate"</x:v>
      </x:c>
      <x:c r="G458" s="26" t="str">
        <x:v>Medium</x:v>
      </x:c>
      <x:c r="H458" s="26" t="str">
        <x:v>Named keyword / mechanic</x:v>
      </x:c>
      <x:c r="I458" s="26" t="str">
        <x:v>keyword: preferred</x:v>
      </x:c>
      <x:c r="J458" s="26" t="str">
        <x:v>kw:Replicate</x:v>
      </x:c>
      <x:c r="K458" s="26" t="str">
        <x:v>o:"Replicate"</x:v>
      </x:c>
      <x:c r="L458" s="26" t="str">
        <x:v>replicate</x:v>
      </x:c>
      <x:c r="M458" s="26" t="str">
        <x:v>Translate, but retain fallback</x:v>
      </x:c>
      <x:c r="N458" s="26" t="str">
        <x:v>Review</x:v>
      </x:c>
      <x:c r="O458" s="43" t="n">
        <x:v>0.88</x:v>
      </x:c>
      <x:c r="P458" s="26" t="str">
        <x:v>Mechanic taxonomy evolves; validate edge cases where the source list mixes keyword abilities, actions, or layouts.</x:v>
      </x:c>
      <x:c r="Q458" s="26" t="str">
        <x:v>https://scryfall.com/docs/syntax</x:v>
      </x:c>
      <x:c r="R458" s="26" t="str">
        <x:v>2026-08-21</x:v>
      </x:c>
    </x:row>
    <x:row r="459">
      <x:c r="A459" s="26" t="str">
        <x:v>Keywords!A122:C122</x:v>
      </x:c>
      <x:c r="B459" s="26" t="str">
        <x:v>Keywords from Expert-Level Expansions</x:v>
      </x:c>
      <x:c r="C459" s="26" t="str">
        <x:v>Retrace</x:v>
      </x:c>
      <x:c r="D459" s="26" t="str">
        <x:v>Keyword reference</x:v>
      </x:c>
      <x:c r="E459" s="26" t="str">
        <x:v>Instants and sorceries with retrace can be cast from the player's graveyard, for the additional cost of discarding a land. Retrace appears in Eventide.</x:v>
      </x:c>
      <x:c r="F459" s="26" t="str">
        <x:v>o:"Retrace"</x:v>
      </x:c>
      <x:c r="G459" s="26" t="str">
        <x:v>Medium</x:v>
      </x:c>
      <x:c r="H459" s="26" t="str">
        <x:v>Named keyword / mechanic</x:v>
      </x:c>
      <x:c r="I459" s="26" t="str">
        <x:v>keyword: preferred</x:v>
      </x:c>
      <x:c r="J459" s="26" t="str">
        <x:v>kw:Retrace</x:v>
      </x:c>
      <x:c r="K459" s="26" t="str">
        <x:v>o:"Retrace"</x:v>
      </x:c>
      <x:c r="L459" s="26" t="str">
        <x:v>retrace</x:v>
      </x:c>
      <x:c r="M459" s="26" t="str">
        <x:v>Translate, but retain fallback</x:v>
      </x:c>
      <x:c r="N459" s="26" t="str">
        <x:v>Review</x:v>
      </x:c>
      <x:c r="O459" s="43" t="n">
        <x:v>0.88</x:v>
      </x:c>
      <x:c r="P459" s="26" t="str">
        <x:v>Mechanic taxonomy evolves; validate edge cases where the source list mixes keyword abilities, actions, or layouts.</x:v>
      </x:c>
      <x:c r="Q459" s="26" t="str">
        <x:v>https://scryfall.com/docs/syntax</x:v>
      </x:c>
      <x:c r="R459" s="26" t="str">
        <x:v>2026-08-21</x:v>
      </x:c>
    </x:row>
    <x:row r="460">
      <x:c r="A460" s="26" t="str">
        <x:v>Keywords!A123:C123</x:v>
      </x:c>
      <x:c r="B460" s="26" t="str">
        <x:v>Keywords from Expert-Level Expansions</x:v>
      </x:c>
      <x:c r="C460" s="26" t="str">
        <x:v>Riot</x:v>
      </x:c>
      <x:c r="D460" s="26" t="str">
        <x:v>Keyword reference</x:v>
      </x:c>
      <x:c r="E460" s="26" t="str">
        <x:v>When a creature with riot enters the battlefield, its controller can choose to give it a +1/+1 counter or haste. If a creature has multiple instances of riot, each is treated separately. This ability is featured in Ravnica Allegiance and is associated with the Gruul Clans.</x:v>
      </x:c>
      <x:c r="F460" s="26" t="str">
        <x:v>o:"Riot"</x:v>
      </x:c>
      <x:c r="G460" s="26" t="str">
        <x:v>Medium</x:v>
      </x:c>
      <x:c r="H460" s="26" t="str">
        <x:v>Named keyword / mechanic</x:v>
      </x:c>
      <x:c r="I460" s="26" t="str">
        <x:v>keyword: preferred</x:v>
      </x:c>
      <x:c r="J460" s="26" t="str">
        <x:v>kw:Riot</x:v>
      </x:c>
      <x:c r="K460" s="26" t="str">
        <x:v>o:"Riot"</x:v>
      </x:c>
      <x:c r="L460" s="26" t="str">
        <x:v>riot</x:v>
      </x:c>
      <x:c r="M460" s="26" t="str">
        <x:v>Translate, but retain fallback</x:v>
      </x:c>
      <x:c r="N460" s="26" t="str">
        <x:v>Review</x:v>
      </x:c>
      <x:c r="O460" s="43" t="n">
        <x:v>0.88</x:v>
      </x:c>
      <x:c r="P460" s="26" t="str">
        <x:v>Mechanic taxonomy evolves; validate edge cases where the source list mixes keyword abilities, actions, or layouts.</x:v>
      </x:c>
      <x:c r="Q460" s="26" t="str">
        <x:v>https://scryfall.com/docs/syntax</x:v>
      </x:c>
      <x:c r="R460" s="26" t="str">
        <x:v>2026-08-21</x:v>
      </x:c>
    </x:row>
    <x:row r="461">
      <x:c r="A461" s="26" t="str">
        <x:v>Keywords!A124:C124</x:v>
      </x:c>
      <x:c r="B461" s="26" t="str">
        <x:v>Keywords from Expert-Level Expansions</x:v>
      </x:c>
      <x:c r="C461" s="26" t="str">
        <x:v>Ripple</x:v>
      </x:c>
      <x:c r="D461" s="26" t="str">
        <x:v>Keyword reference</x:v>
      </x:c>
      <x:c r="E461" s="26" t="str">
        <x:v>This creature ability, written Ripple x, triggers whenever the spell is cast. That spell's controller reveals the top x cards of their library. If any of those cards share a name with the ripple spell, those cards may be cast without paying their mana costs. Ripple only appears in Coldsnap. It is mostly used with common cards, of which a player will commonly have many copies in a deck.</x:v>
      </x:c>
      <x:c r="F461" s="26" t="str">
        <x:v>o:"Ripple"</x:v>
      </x:c>
      <x:c r="G461" s="26" t="str">
        <x:v>Medium</x:v>
      </x:c>
      <x:c r="H461" s="26" t="str">
        <x:v>Named keyword / mechanic</x:v>
      </x:c>
      <x:c r="I461" s="26" t="str">
        <x:v>keyword: preferred</x:v>
      </x:c>
      <x:c r="J461" s="26" t="str">
        <x:v>kw:Ripple</x:v>
      </x:c>
      <x:c r="K461" s="26" t="str">
        <x:v>o:"Ripple"</x:v>
      </x:c>
      <x:c r="L461" s="26" t="str">
        <x:v>ripple</x:v>
      </x:c>
      <x:c r="M461" s="26" t="str">
        <x:v>Translate, but retain fallback</x:v>
      </x:c>
      <x:c r="N461" s="26" t="str">
        <x:v>Review</x:v>
      </x:c>
      <x:c r="O461" s="43" t="n">
        <x:v>0.88</x:v>
      </x:c>
      <x:c r="P461" s="26" t="str">
        <x:v>Mechanic taxonomy evolves; validate edge cases where the source list mixes keyword abilities, actions, or layouts.</x:v>
      </x:c>
      <x:c r="Q461" s="26" t="str">
        <x:v>https://scryfall.com/docs/syntax</x:v>
      </x:c>
      <x:c r="R461" s="26" t="str">
        <x:v>2026-08-21</x:v>
      </x:c>
    </x:row>
    <x:row r="462">
      <x:c r="A462" s="26" t="str">
        <x:v>Keywords!A125:C125</x:v>
      </x:c>
      <x:c r="B462" s="26" t="str">
        <x:v>Keywords from Expert-Level Expansions</x:v>
      </x:c>
      <x:c r="C462" s="26" t="str">
        <x:v>Saddle</x:v>
      </x:c>
      <x:c r="D462" s="26" t="str">
        <x:v>Keyword reference</x:v>
      </x:c>
      <x:c r="E462" s="26" t="str">
        <x:v>Saddle is a keyword on the new card type "Mount." It is written Saddle x. A player may tap any number of creatures other than the Mount with total power x or greater. When saddled, the Mount gains additional abilities.</x:v>
      </x:c>
      <x:c r="F462" s="26" t="str">
        <x:v>o:"Saddle"</x:v>
      </x:c>
      <x:c r="G462" s="26" t="str">
        <x:v>Medium</x:v>
      </x:c>
      <x:c r="H462" s="26" t="str">
        <x:v>Named keyword / mechanic</x:v>
      </x:c>
      <x:c r="I462" s="26" t="str">
        <x:v>keyword: preferred</x:v>
      </x:c>
      <x:c r="J462" s="26" t="str">
        <x:v>kw:Saddle</x:v>
      </x:c>
      <x:c r="K462" s="26" t="str">
        <x:v>o:"Saddle"</x:v>
      </x:c>
      <x:c r="L462" s="26" t="str">
        <x:v>saddle</x:v>
      </x:c>
      <x:c r="M462" s="26" t="str">
        <x:v>Translate, but retain fallback</x:v>
      </x:c>
      <x:c r="N462" s="26" t="str">
        <x:v>Review</x:v>
      </x:c>
      <x:c r="O462" s="43" t="n">
        <x:v>0.88</x:v>
      </x:c>
      <x:c r="P462" s="26" t="str">
        <x:v>Mechanic taxonomy evolves; validate edge cases where the source list mixes keyword abilities, actions, or layouts.</x:v>
      </x:c>
      <x:c r="Q462" s="26" t="str">
        <x:v>https://scryfall.com/docs/syntax</x:v>
      </x:c>
      <x:c r="R462" s="26" t="str">
        <x:v>2026-08-21</x:v>
      </x:c>
    </x:row>
    <x:row r="463">
      <x:c r="A463" s="26" t="str">
        <x:v>Keywords!A126:C126</x:v>
      </x:c>
      <x:c r="B463" s="26" t="str">
        <x:v>Keywords from Expert-Level Expansions</x:v>
      </x:c>
      <x:c r="C463" s="26" t="str">
        <x:v>Scavenge</x:v>
      </x:c>
      <x:c r="D463" s="26" t="str">
        <x:v>Keyword reference</x:v>
      </x:c>
      <x:c r="E463" s="26" t="str">
        <x:v>This creature ability, written Scavenge (cost), allows its controller to exile a creature from their graveyard and pay the scavenge cost to put a number of +1/+1 counters on target creature equal to the scavenged creature's power. The ability may only be activated if the card is in its owner's graveyard, and only any time they could cast a sorcery. Scavenge appears in Return to Ravnica and is the ability associated with the Golgari Swarm.</x:v>
      </x:c>
      <x:c r="F463" s="26" t="str">
        <x:v>o:"Scavenge"</x:v>
      </x:c>
      <x:c r="G463" s="26" t="str">
        <x:v>Medium</x:v>
      </x:c>
      <x:c r="H463" s="26" t="str">
        <x:v>Named keyword / mechanic</x:v>
      </x:c>
      <x:c r="I463" s="26" t="str">
        <x:v>keyword: preferred</x:v>
      </x:c>
      <x:c r="J463" s="26" t="str">
        <x:v>kw:Scavenge</x:v>
      </x:c>
      <x:c r="K463" s="26" t="str">
        <x:v>o:"Scavenge"</x:v>
      </x:c>
      <x:c r="L463" s="26" t="str">
        <x:v>scavenge</x:v>
      </x:c>
      <x:c r="M463" s="26" t="str">
        <x:v>Translate, but retain fallback</x:v>
      </x:c>
      <x:c r="N463" s="26" t="str">
        <x:v>Review</x:v>
      </x:c>
      <x:c r="O463" s="43" t="n">
        <x:v>0.88</x:v>
      </x:c>
      <x:c r="P463" s="26" t="str">
        <x:v>Mechanic taxonomy evolves; validate edge cases where the source list mixes keyword abilities, actions, or layouts.</x:v>
      </x:c>
      <x:c r="Q463" s="26" t="str">
        <x:v>https://scryfall.com/docs/syntax</x:v>
      </x:c>
      <x:c r="R463" s="26" t="str">
        <x:v>2026-08-21</x:v>
      </x:c>
    </x:row>
    <x:row r="464">
      <x:c r="A464" s="26" t="str">
        <x:v>Keywords!A127:C127</x:v>
      </x:c>
      <x:c r="B464" s="26" t="str">
        <x:v>Keywords from Expert-Level Expansions</x:v>
      </x:c>
      <x:c r="C464" s="26" t="str">
        <x:v>Shadow</x:v>
      </x:c>
      <x:c r="D464" s="26" t="str">
        <x:v>Keyword reference</x:v>
      </x:c>
      <x:c r="E464" s="26" t="str">
        <x:v>Creatures with shadow can only block or be blocked by other creatures with shadow, similar to an inter-dimensional existence. Shadow appears in the Tempest block.</x:v>
      </x:c>
      <x:c r="F464" s="26" t="str">
        <x:v>o:"Shadow"</x:v>
      </x:c>
      <x:c r="G464" s="26" t="str">
        <x:v>Medium</x:v>
      </x:c>
      <x:c r="H464" s="26" t="str">
        <x:v>Named keyword / mechanic</x:v>
      </x:c>
      <x:c r="I464" s="26" t="str">
        <x:v>keyword: preferred</x:v>
      </x:c>
      <x:c r="J464" s="26" t="str">
        <x:v>kw:Shadow</x:v>
      </x:c>
      <x:c r="K464" s="26" t="str">
        <x:v>o:"Shadow"</x:v>
      </x:c>
      <x:c r="L464" s="26" t="str">
        <x:v>shadow</x:v>
      </x:c>
      <x:c r="M464" s="26" t="str">
        <x:v>Translate, but retain fallback</x:v>
      </x:c>
      <x:c r="N464" s="26" t="str">
        <x:v>Review</x:v>
      </x:c>
      <x:c r="O464" s="43" t="n">
        <x:v>0.88</x:v>
      </x:c>
      <x:c r="P464" s="26" t="str">
        <x:v>Mechanic taxonomy evolves; validate edge cases where the source list mixes keyword abilities, actions, or layouts.</x:v>
      </x:c>
      <x:c r="Q464" s="26" t="str">
        <x:v>https://scryfall.com/docs/syntax</x:v>
      </x:c>
      <x:c r="R464" s="26" t="str">
        <x:v>2026-08-21</x:v>
      </x:c>
    </x:row>
    <x:row r="465">
      <x:c r="A465" s="26" t="str">
        <x:v>Keywords!A128:C128</x:v>
      </x:c>
      <x:c r="B465" s="26" t="str">
        <x:v>Keywords from Expert-Level Expansions</x:v>
      </x:c>
      <x:c r="C465" s="26" t="str">
        <x:v>Skulk</x:v>
      </x:c>
      <x:c r="D465" s="26" t="str">
        <x:v>Keyword reference</x:v>
      </x:c>
      <x:c r="E465" s="26" t="str">
        <x:v>A creature with skulk can't be blocked by creatures with greater power. Skulk was introduced in Shadows over Innistrad.</x:v>
      </x:c>
      <x:c r="F465" s="26" t="str">
        <x:v>o:"Skulk"</x:v>
      </x:c>
      <x:c r="G465" s="26" t="str">
        <x:v>Medium</x:v>
      </x:c>
      <x:c r="H465" s="26" t="str">
        <x:v>Named keyword / mechanic</x:v>
      </x:c>
      <x:c r="I465" s="26" t="str">
        <x:v>keyword: preferred</x:v>
      </x:c>
      <x:c r="J465" s="26" t="str">
        <x:v>kw:Skulk</x:v>
      </x:c>
      <x:c r="K465" s="26" t="str">
        <x:v>o:"Skulk"</x:v>
      </x:c>
      <x:c r="L465" s="26" t="str">
        <x:v>skulk</x:v>
      </x:c>
      <x:c r="M465" s="26" t="str">
        <x:v>Translate, but retain fallback</x:v>
      </x:c>
      <x:c r="N465" s="26" t="str">
        <x:v>Review</x:v>
      </x:c>
      <x:c r="O465" s="43" t="n">
        <x:v>0.88</x:v>
      </x:c>
      <x:c r="P465" s="26" t="str">
        <x:v>Mechanic taxonomy evolves; validate edge cases where the source list mixes keyword abilities, actions, or layouts.</x:v>
      </x:c>
      <x:c r="Q465" s="26" t="str">
        <x:v>https://scryfall.com/docs/syntax</x:v>
      </x:c>
      <x:c r="R465" s="26" t="str">
        <x:v>2026-08-21</x:v>
      </x:c>
    </x:row>
    <x:row r="466">
      <x:c r="A466" s="26" t="str">
        <x:v>Keywords!A129:C129</x:v>
      </x:c>
      <x:c r="B466" s="26" t="str">
        <x:v>Keywords from Expert-Level Expansions</x:v>
      </x:c>
      <x:c r="C466" s="26" t="str">
        <x:v>Soulbond</x:v>
      </x:c>
      <x:c r="D466" s="26" t="str">
        <x:v>Keyword reference</x:v>
      </x:c>
      <x:c r="E466" s="26" t="str">
        <x:v>When a creature with soulbond enters the battlefield or another creature enters the battlefield while it's on the battlefield, the player may pair them (as long as both are unpaired). While the two creatures are paired, both of them receive bonuses that are defined on the card with soulbond. Soulbond appears in Avacyn Restored.</x:v>
      </x:c>
      <x:c r="F466" s="26" t="str">
        <x:v>o:"Soulbond"</x:v>
      </x:c>
      <x:c r="G466" s="26" t="str">
        <x:v>Medium</x:v>
      </x:c>
      <x:c r="H466" s="26" t="str">
        <x:v>Named keyword / mechanic</x:v>
      </x:c>
      <x:c r="I466" s="26" t="str">
        <x:v>keyword: preferred</x:v>
      </x:c>
      <x:c r="J466" s="26" t="str">
        <x:v>kw:Soulbond</x:v>
      </x:c>
      <x:c r="K466" s="26" t="str">
        <x:v>o:"Soulbond"</x:v>
      </x:c>
      <x:c r="L466" s="26" t="str">
        <x:v>soulbond</x:v>
      </x:c>
      <x:c r="M466" s="26" t="str">
        <x:v>Translate, but retain fallback</x:v>
      </x:c>
      <x:c r="N466" s="26" t="str">
        <x:v>Review</x:v>
      </x:c>
      <x:c r="O466" s="43" t="n">
        <x:v>0.88</x:v>
      </x:c>
      <x:c r="P466" s="26" t="str">
        <x:v>Mechanic taxonomy evolves; validate edge cases where the source list mixes keyword abilities, actions, or layouts.</x:v>
      </x:c>
      <x:c r="Q466" s="26" t="str">
        <x:v>https://scryfall.com/docs/syntax</x:v>
      </x:c>
      <x:c r="R466" s="26" t="str">
        <x:v>2026-08-21</x:v>
      </x:c>
    </x:row>
    <x:row r="467">
      <x:c r="A467" s="26" t="str">
        <x:v>Keywords!A130:C130</x:v>
      </x:c>
      <x:c r="B467" s="26" t="str">
        <x:v>Keywords from Expert-Level Expansions</x:v>
      </x:c>
      <x:c r="C467" s="26" t="str">
        <x:v>Soulshift</x:v>
      </x:c>
      <x:c r="D467" s="26" t="str">
        <x:v>Keyword reference</x:v>
      </x:c>
      <x:c r="E467" s="26" t="str">
        <x:v>This creature ability, written Soulshift x, triggers when this creature is put into a graveyard from the battlefield. Its controller may return target Spirit card with mana value x or less from their graveyard to their hand. If a creature has multiple instances of soulshift, each triggers separately. Soulshift appears in Champions of Kamigawa and only on Spirit creatures.</x:v>
      </x:c>
      <x:c r="F467" s="26" t="str">
        <x:v>o:"Soulshift"</x:v>
      </x:c>
      <x:c r="G467" s="26" t="str">
        <x:v>Medium</x:v>
      </x:c>
      <x:c r="H467" s="26" t="str">
        <x:v>Named keyword / mechanic</x:v>
      </x:c>
      <x:c r="I467" s="26" t="str">
        <x:v>keyword: preferred</x:v>
      </x:c>
      <x:c r="J467" s="26" t="str">
        <x:v>kw:Soulshift</x:v>
      </x:c>
      <x:c r="K467" s="26" t="str">
        <x:v>o:"Soulshift"</x:v>
      </x:c>
      <x:c r="L467" s="26" t="str">
        <x:v>soulshift</x:v>
      </x:c>
      <x:c r="M467" s="26" t="str">
        <x:v>Translate, but retain fallback</x:v>
      </x:c>
      <x:c r="N467" s="26" t="str">
        <x:v>Review</x:v>
      </x:c>
      <x:c r="O467" s="43" t="n">
        <x:v>0.88</x:v>
      </x:c>
      <x:c r="P467" s="26" t="str">
        <x:v>Mechanic taxonomy evolves; validate edge cases where the source list mixes keyword abilities, actions, or layouts.</x:v>
      </x:c>
      <x:c r="Q467" s="26" t="str">
        <x:v>https://scryfall.com/docs/syntax</x:v>
      </x:c>
      <x:c r="R467" s="26" t="str">
        <x:v>2026-08-21</x:v>
      </x:c>
    </x:row>
    <x:row r="468">
      <x:c r="A468" s="26" t="str">
        <x:v>Keywords!A131:C131</x:v>
      </x:c>
      <x:c r="B468" s="26" t="str">
        <x:v>Keywords from Expert-Level Expansions</x:v>
      </x:c>
      <x:c r="C468" s="26" t="str">
        <x:v>Spectacle</x:v>
      </x:c>
      <x:c r="D468" s="26" t="str">
        <x:v>Keyword reference</x:v>
      </x:c>
      <x:c r="E468" s="26" t="str">
        <x:v>Spells with spectacle, written Spectacle (cost), may be cast for their spectacle cost if an opponent lost life this turn. This ability is featured in the Ravnica Allegiance expansion and is associated with the Cult of Rakdos.</x:v>
      </x:c>
      <x:c r="F468" s="26" t="str">
        <x:v>o:"Spectacle"</x:v>
      </x:c>
      <x:c r="G468" s="26" t="str">
        <x:v>Medium</x:v>
      </x:c>
      <x:c r="H468" s="26" t="str">
        <x:v>Named keyword / mechanic</x:v>
      </x:c>
      <x:c r="I468" s="26" t="str">
        <x:v>keyword: preferred</x:v>
      </x:c>
      <x:c r="J468" s="26" t="str">
        <x:v>kw:Spectacle</x:v>
      </x:c>
      <x:c r="K468" s="26" t="str">
        <x:v>o:"Spectacle"</x:v>
      </x:c>
      <x:c r="L468" s="26" t="str">
        <x:v>spectacle</x:v>
      </x:c>
      <x:c r="M468" s="26" t="str">
        <x:v>Translate, but retain fallback</x:v>
      </x:c>
      <x:c r="N468" s="26" t="str">
        <x:v>Review</x:v>
      </x:c>
      <x:c r="O468" s="43" t="n">
        <x:v>0.88</x:v>
      </x:c>
      <x:c r="P468" s="26" t="str">
        <x:v>Mechanic taxonomy evolves; validate edge cases where the source list mixes keyword abilities, actions, or layouts.</x:v>
      </x:c>
      <x:c r="Q468" s="26" t="str">
        <x:v>https://scryfall.com/docs/syntax</x:v>
      </x:c>
      <x:c r="R468" s="26" t="str">
        <x:v>2026-08-21</x:v>
      </x:c>
    </x:row>
    <x:row r="469">
      <x:c r="A469" s="26" t="str">
        <x:v>Keywords!A132:C132</x:v>
      </x:c>
      <x:c r="B469" s="26" t="str">
        <x:v>Keywords from Expert-Level Expansions</x:v>
      </x:c>
      <x:c r="C469" s="26" t="str">
        <x:v>Splice</x:v>
      </x:c>
      <x:c r="D469" s="26" t="str">
        <x:v>Keyword reference</x:v>
      </x:c>
      <x:c r="E469" s="26" t="str">
        <x:v>This ability, written Splice onto (card type) (cost), may be used as an additional cost when the player casts a spell of the specified card type. Instead of being played themselves, spliced cards add their text boxes to the card being played. Splice appears in Champions of Kamigawa and only as "splice onto Arcane". Splice was revised and reprinted in Modern Horizons as "splice onto instant or sorcery".</x:v>
      </x:c>
      <x:c r="F469" s="26" t="str">
        <x:v>o:"Splice"</x:v>
      </x:c>
      <x:c r="G469" s="26" t="str">
        <x:v>Medium</x:v>
      </x:c>
      <x:c r="H469" s="26" t="str">
        <x:v>Named keyword / mechanic</x:v>
      </x:c>
      <x:c r="I469" s="26" t="str">
        <x:v>keyword: preferred</x:v>
      </x:c>
      <x:c r="J469" s="26" t="str">
        <x:v>kw:Splice</x:v>
      </x:c>
      <x:c r="K469" s="26" t="str">
        <x:v>o:"Splice"</x:v>
      </x:c>
      <x:c r="L469" s="26" t="str">
        <x:v>splice</x:v>
      </x:c>
      <x:c r="M469" s="26" t="str">
        <x:v>Translate, but retain fallback</x:v>
      </x:c>
      <x:c r="N469" s="26" t="str">
        <x:v>Review</x:v>
      </x:c>
      <x:c r="O469" s="43" t="n">
        <x:v>0.88</x:v>
      </x:c>
      <x:c r="P469" s="26" t="str">
        <x:v>Mechanic taxonomy evolves; validate edge cases where the source list mixes keyword abilities, actions, or layouts.</x:v>
      </x:c>
      <x:c r="Q469" s="26" t="str">
        <x:v>https://scryfall.com/docs/syntax</x:v>
      </x:c>
      <x:c r="R469" s="26" t="str">
        <x:v>2026-08-21</x:v>
      </x:c>
    </x:row>
    <x:row r="470">
      <x:c r="A470" s="26" t="str">
        <x:v>Keywords!A133:C133</x:v>
      </x:c>
      <x:c r="B470" s="26" t="str">
        <x:v>Keywords from Expert-Level Expansions</x:v>
      </x:c>
      <x:c r="C470" s="26" t="str">
        <x:v>Split second</x:v>
      </x:c>
      <x:c r="D470" s="26" t="str">
        <x:v>Keyword reference</x:v>
      </x:c>
      <x:c r="E470" s="26" t="str">
        <x:v>This spell ability was introduced in Time Spiral. While a spell with split second is on the stack, players may not cast other spells or activate abilities that are not mana abilities. This is typically intended to prevent the spell from being countered.</x:v>
      </x:c>
      <x:c r="F470" s="26" t="str">
        <x:v>o:"Split second"</x:v>
      </x:c>
      <x:c r="G470" s="26" t="str">
        <x:v>Medium</x:v>
      </x:c>
      <x:c r="H470" s="26" t="str">
        <x:v>Named keyword / mechanic</x:v>
      </x:c>
      <x:c r="I470" s="26" t="str">
        <x:v>keyword: preferred</x:v>
      </x:c>
      <x:c r="J470" s="26" t="str">
        <x:v>kw:"Split second"</x:v>
      </x:c>
      <x:c r="K470" s="26" t="str">
        <x:v>o:"Split second"</x:v>
      </x:c>
      <x:c r="L470" s="26" t="str">
        <x:v>split second</x:v>
      </x:c>
      <x:c r="M470" s="26" t="str">
        <x:v>Translate, but retain fallback</x:v>
      </x:c>
      <x:c r="N470" s="26" t="str">
        <x:v>Review</x:v>
      </x:c>
      <x:c r="O470" s="43" t="n">
        <x:v>0.88</x:v>
      </x:c>
      <x:c r="P470" s="26" t="str">
        <x:v>Mechanic taxonomy evolves; validate edge cases where the source list mixes keyword abilities, actions, or layouts.</x:v>
      </x:c>
      <x:c r="Q470" s="26" t="str">
        <x:v>https://scryfall.com/docs/syntax</x:v>
      </x:c>
      <x:c r="R470" s="26" t="str">
        <x:v>2026-08-21</x:v>
      </x:c>
    </x:row>
    <x:row r="471">
      <x:c r="A471" s="26" t="str">
        <x:v>Keywords!A134:C134</x:v>
      </x:c>
      <x:c r="B471" s="26" t="str">
        <x:v>Keywords from Expert-Level Expansions</x:v>
      </x:c>
      <x:c r="C471" s="26" t="str">
        <x:v>Squad</x:v>
      </x:c>
      <x:c r="D471" s="26" t="str">
        <x:v>Keyword reference</x:v>
      </x:c>
      <x:c r="E471" s="26" t="str">
        <x:v>This creature ability, written Squad (cost), allows its controller to pay the squad cost any number of times when the spell is cast. When the creature enters the battlefield, the player creates that many tokens that are a copy of the squad creature. Squad is mostly unique to the Warhammer 40,000 Commander Decks.</x:v>
      </x:c>
      <x:c r="F471" s="26" t="str">
        <x:v>o:"Squad"</x:v>
      </x:c>
      <x:c r="G471" s="26" t="str">
        <x:v>Medium</x:v>
      </x:c>
      <x:c r="H471" s="26" t="str">
        <x:v>Named keyword / mechanic</x:v>
      </x:c>
      <x:c r="I471" s="26" t="str">
        <x:v>keyword: preferred</x:v>
      </x:c>
      <x:c r="J471" s="26" t="str">
        <x:v>kw:Squad</x:v>
      </x:c>
      <x:c r="K471" s="26" t="str">
        <x:v>o:"Squad"</x:v>
      </x:c>
      <x:c r="L471" s="26" t="str">
        <x:v>squad</x:v>
      </x:c>
      <x:c r="M471" s="26" t="str">
        <x:v>Translate, but retain fallback</x:v>
      </x:c>
      <x:c r="N471" s="26" t="str">
        <x:v>Review</x:v>
      </x:c>
      <x:c r="O471" s="43" t="n">
        <x:v>0.88</x:v>
      </x:c>
      <x:c r="P471" s="26" t="str">
        <x:v>Mechanic taxonomy evolves; validate edge cases where the source list mixes keyword abilities, actions, or layouts.</x:v>
      </x:c>
      <x:c r="Q471" s="26" t="str">
        <x:v>https://scryfall.com/docs/syntax</x:v>
      </x:c>
      <x:c r="R471" s="26" t="str">
        <x:v>2026-08-21</x:v>
      </x:c>
    </x:row>
    <x:row r="472">
      <x:c r="A472" s="26" t="str">
        <x:v>Keywords!A135:C135</x:v>
      </x:c>
      <x:c r="B472" s="26" t="str">
        <x:v>Keywords from Expert-Level Expansions</x:v>
      </x:c>
      <x:c r="C472" s="26" t="str">
        <x:v>Storm</x:v>
      </x:c>
      <x:c r="D472" s="26" t="str">
        <x:v>Keyword reference</x:v>
      </x:c>
      <x:c r="E472" s="26" t="str">
        <x:v>Storm is a spell ability that was introduced in the Scourge set. When a spell with storm is cast, the player who casts it copies the spell for each spell that had already been cast that turn.</x:v>
      </x:c>
      <x:c r="F472" s="26" t="str">
        <x:v>o:"Storm"</x:v>
      </x:c>
      <x:c r="G472" s="26" t="str">
        <x:v>Medium</x:v>
      </x:c>
      <x:c r="H472" s="26" t="str">
        <x:v>Named keyword / mechanic</x:v>
      </x:c>
      <x:c r="I472" s="26" t="str">
        <x:v>keyword: preferred</x:v>
      </x:c>
      <x:c r="J472" s="26" t="str">
        <x:v>kw:Storm</x:v>
      </x:c>
      <x:c r="K472" s="26" t="str">
        <x:v>o:"Storm"</x:v>
      </x:c>
      <x:c r="L472" s="26" t="str">
        <x:v>storm</x:v>
      </x:c>
      <x:c r="M472" s="26" t="str">
        <x:v>Translate, but retain fallback</x:v>
      </x:c>
      <x:c r="N472" s="26" t="str">
        <x:v>Review</x:v>
      </x:c>
      <x:c r="O472" s="43" t="n">
        <x:v>0.88</x:v>
      </x:c>
      <x:c r="P472" s="26" t="str">
        <x:v>Mechanic taxonomy evolves; validate edge cases where the source list mixes keyword abilities, actions, or layouts.</x:v>
      </x:c>
      <x:c r="Q472" s="26" t="str">
        <x:v>https://scryfall.com/docs/syntax</x:v>
      </x:c>
      <x:c r="R472" s="26" t="str">
        <x:v>2026-08-21</x:v>
      </x:c>
    </x:row>
    <x:row r="473">
      <x:c r="A473" s="26" t="str">
        <x:v>Keywords!A136:C136</x:v>
      </x:c>
      <x:c r="B473" s="26" t="str">
        <x:v>Keywords from Expert-Level Expansions</x:v>
      </x:c>
      <x:c r="C473" s="26" t="str">
        <x:v>Sunburst</x:v>
      </x:c>
      <x:c r="D473" s="26" t="str">
        <x:v>Keyword reference</x:v>
      </x:c>
      <x:c r="E473" s="26" t="str">
        <x:v>A spell with sunburst enters the battlefield with either +1/+1 counters (if the spell is a creature) or charge counters (if it is not) for each different color of mana used to pay its cost. A hybrid or Phyrexian mana symbol in a card's cost counts towards sunburst only in the color(s) paid. Sunburst only appears in the Fifth Dawn set.</x:v>
      </x:c>
      <x:c r="F473" s="26" t="str">
        <x:v>o:"Sunburst"</x:v>
      </x:c>
      <x:c r="G473" s="26" t="str">
        <x:v>Medium</x:v>
      </x:c>
      <x:c r="H473" s="26" t="str">
        <x:v>Named keyword / mechanic</x:v>
      </x:c>
      <x:c r="I473" s="26" t="str">
        <x:v>keyword: preferred</x:v>
      </x:c>
      <x:c r="J473" s="26" t="str">
        <x:v>kw:Sunburst</x:v>
      </x:c>
      <x:c r="K473" s="26" t="str">
        <x:v>o:"Sunburst"</x:v>
      </x:c>
      <x:c r="L473" s="26" t="str">
        <x:v>sunburst</x:v>
      </x:c>
      <x:c r="M473" s="26" t="str">
        <x:v>Translate, but retain fallback</x:v>
      </x:c>
      <x:c r="N473" s="26" t="str">
        <x:v>Review</x:v>
      </x:c>
      <x:c r="O473" s="43" t="n">
        <x:v>0.88</x:v>
      </x:c>
      <x:c r="P473" s="26" t="str">
        <x:v>Mechanic taxonomy evolves; validate edge cases where the source list mixes keyword abilities, actions, or layouts.</x:v>
      </x:c>
      <x:c r="Q473" s="26" t="str">
        <x:v>https://scryfall.com/docs/syntax</x:v>
      </x:c>
      <x:c r="R473" s="26" t="str">
        <x:v>2026-08-21</x:v>
      </x:c>
    </x:row>
    <x:row r="474">
      <x:c r="A474" s="26" t="str">
        <x:v>Keywords!A137:C137</x:v>
      </x:c>
      <x:c r="B474" s="26" t="str">
        <x:v>Keywords from Expert-Level Expansions</x:v>
      </x:c>
      <x:c r="C474" s="26" t="str">
        <x:v>Support</x:v>
      </x:c>
      <x:c r="D474" s="26" t="str">
        <x:v>Keyword reference</x:v>
      </x:c>
      <x:c r="E474" s="26" t="str">
        <x:v>Support, written Support x, gives up to x +1/+1 counters, distributed among any number of other target creatures.</x:v>
      </x:c>
      <x:c r="F474" s="26" t="str">
        <x:v>o:"Support"</x:v>
      </x:c>
      <x:c r="G474" s="26" t="str">
        <x:v>Medium</x:v>
      </x:c>
      <x:c r="H474" s="26" t="str">
        <x:v>Named keyword / mechanic</x:v>
      </x:c>
      <x:c r="I474" s="26" t="str">
        <x:v>keyword: preferred</x:v>
      </x:c>
      <x:c r="J474" s="26" t="str">
        <x:v>kw:Support</x:v>
      </x:c>
      <x:c r="K474" s="26" t="str">
        <x:v>o:"Support"</x:v>
      </x:c>
      <x:c r="L474" s="26" t="str">
        <x:v>support</x:v>
      </x:c>
      <x:c r="M474" s="26" t="str">
        <x:v>Translate, but retain fallback</x:v>
      </x:c>
      <x:c r="N474" s="26" t="str">
        <x:v>Review</x:v>
      </x:c>
      <x:c r="O474" s="43" t="n">
        <x:v>0.88</x:v>
      </x:c>
      <x:c r="P474" s="26" t="str">
        <x:v>Mechanic taxonomy evolves; validate edge cases where the source list mixes keyword abilities, actions, or layouts.</x:v>
      </x:c>
      <x:c r="Q474" s="26" t="str">
        <x:v>https://scryfall.com/docs/syntax</x:v>
      </x:c>
      <x:c r="R474" s="26" t="str">
        <x:v>2026-08-21</x:v>
      </x:c>
    </x:row>
    <x:row r="475">
      <x:c r="A475" s="26" t="str">
        <x:v>Keywords!A138:C138</x:v>
      </x:c>
      <x:c r="B475" s="26" t="str">
        <x:v>Keywords from Expert-Level Expansions</x:v>
      </x:c>
      <x:c r="C475" s="26" t="str">
        <x:v>Surge</x:v>
      </x:c>
      <x:c r="D475" s="26" t="str">
        <x:v>Keyword reference</x:v>
      </x:c>
      <x:c r="E475" s="26" t="str">
        <x:v>This ability is written Surge (cost). A player may cast a spell for its surge cost if they or a teammate has cast another spell this turn. Surge was introduced in Oath of the Gatewatch.</x:v>
      </x:c>
      <x:c r="F475" s="26" t="str">
        <x:v>o:"Surge"</x:v>
      </x:c>
      <x:c r="G475" s="26" t="str">
        <x:v>Medium</x:v>
      </x:c>
      <x:c r="H475" s="26" t="str">
        <x:v>Named keyword / mechanic</x:v>
      </x:c>
      <x:c r="I475" s="26" t="str">
        <x:v>keyword: preferred</x:v>
      </x:c>
      <x:c r="J475" s="26" t="str">
        <x:v>kw:Surge</x:v>
      </x:c>
      <x:c r="K475" s="26" t="str">
        <x:v>o:"Surge"</x:v>
      </x:c>
      <x:c r="L475" s="26" t="str">
        <x:v>surge</x:v>
      </x:c>
      <x:c r="M475" s="26" t="str">
        <x:v>Translate, but retain fallback</x:v>
      </x:c>
      <x:c r="N475" s="26" t="str">
        <x:v>Review</x:v>
      </x:c>
      <x:c r="O475" s="43" t="n">
        <x:v>0.88</x:v>
      </x:c>
      <x:c r="P475" s="26" t="str">
        <x:v>Mechanic taxonomy evolves; validate edge cases where the source list mixes keyword abilities, actions, or layouts.</x:v>
      </x:c>
      <x:c r="Q475" s="26" t="str">
        <x:v>https://scryfall.com/docs/syntax</x:v>
      </x:c>
      <x:c r="R475" s="26" t="str">
        <x:v>2026-08-21</x:v>
      </x:c>
    </x:row>
    <x:row r="476">
      <x:c r="A476" s="26" t="str">
        <x:v>Keywords!A139:C139</x:v>
      </x:c>
      <x:c r="B476" s="26" t="str">
        <x:v>Keywords from Expert-Level Expansions</x:v>
      </x:c>
      <x:c r="C476" s="26" t="str">
        <x:v>Surveil</x:v>
      </x:c>
      <x:c r="D476" s="26" t="str">
        <x:v>Keyword reference</x:v>
      </x:c>
      <x:c r="E476" s="26" t="str">
        <x:v>Surveil is a keyword action that was introduced in Guilds of Ravnica and is associated with House Dimir. Surveil x instructs a player to look at the top x cards of their library, put any number of them into their graveyard, and put the rest back on top of their library in any order. Surveil is similar to scry, although with a graveyard-based strategy it may be more advantageous.</x:v>
      </x:c>
      <x:c r="F476" s="26" t="str">
        <x:v>o:"Surveil"</x:v>
      </x:c>
      <x:c r="G476" s="26" t="str">
        <x:v>Medium</x:v>
      </x:c>
      <x:c r="H476" s="26" t="str">
        <x:v>Named keyword / mechanic</x:v>
      </x:c>
      <x:c r="I476" s="26" t="str">
        <x:v>keyword: preferred</x:v>
      </x:c>
      <x:c r="J476" s="26" t="str">
        <x:v>kw:Surveil</x:v>
      </x:c>
      <x:c r="K476" s="26" t="str">
        <x:v>o:"Surveil"</x:v>
      </x:c>
      <x:c r="L476" s="26" t="str">
        <x:v>surveil</x:v>
      </x:c>
      <x:c r="M476" s="26" t="str">
        <x:v>Translate, but retain fallback</x:v>
      </x:c>
      <x:c r="N476" s="26" t="str">
        <x:v>Review</x:v>
      </x:c>
      <x:c r="O476" s="43" t="n">
        <x:v>0.88</x:v>
      </x:c>
      <x:c r="P476" s="26" t="str">
        <x:v>Mechanic taxonomy evolves; validate edge cases where the source list mixes keyword abilities, actions, or layouts.</x:v>
      </x:c>
      <x:c r="Q476" s="26" t="str">
        <x:v>https://scryfall.com/docs/syntax</x:v>
      </x:c>
      <x:c r="R476" s="26" t="str">
        <x:v>2026-08-21</x:v>
      </x:c>
    </x:row>
    <x:row r="477">
      <x:c r="A477" s="26" t="str">
        <x:v>Keywords!A140:C140</x:v>
      </x:c>
      <x:c r="B477" s="26" t="str">
        <x:v>Keywords from Expert-Level Expansions</x:v>
      </x:c>
      <x:c r="C477" s="26" t="str">
        <x:v>Suspend</x:v>
      </x:c>
      <x:c r="D477" s="26" t="str">
        <x:v>Keyword reference</x:v>
      </x:c>
      <x:c r="E477" s="26" t="str">
        <x:v>This ability is written Suspend x — (cost). Any time a player could cast a spell with suspend, they may instead pay its suspend cost to exile it with x time counters on it. The player removes a time counter every time their upkeep step begins. Other spells or effects can add or remove time counters from suspended cards. When the last counter is removed, the spell is cast without paying its mana cost and, if it is a creature, it gains haste. Cards may be given suspend and have time counters put on them when they are exiled by an effect. In particular, a cycle of cards from the Future Sight set can "re-suspend" themselves after they resolve. Suspend appears in the Time Spiral block.</x:v>
      </x:c>
      <x:c r="F477" s="26" t="str">
        <x:v>o:"Suspend"</x:v>
      </x:c>
      <x:c r="G477" s="26" t="str">
        <x:v>Medium</x:v>
      </x:c>
      <x:c r="H477" s="26" t="str">
        <x:v>Named keyword / mechanic</x:v>
      </x:c>
      <x:c r="I477" s="26" t="str">
        <x:v>keyword: preferred</x:v>
      </x:c>
      <x:c r="J477" s="26" t="str">
        <x:v>kw:Suspend</x:v>
      </x:c>
      <x:c r="K477" s="26" t="str">
        <x:v>o:"Suspend"</x:v>
      </x:c>
      <x:c r="L477" s="26" t="str">
        <x:v>suspend</x:v>
      </x:c>
      <x:c r="M477" s="26" t="str">
        <x:v>Translate, but retain fallback</x:v>
      </x:c>
      <x:c r="N477" s="26" t="str">
        <x:v>Review</x:v>
      </x:c>
      <x:c r="O477" s="43" t="n">
        <x:v>0.88</x:v>
      </x:c>
      <x:c r="P477" s="26" t="str">
        <x:v>Mechanic taxonomy evolves; validate edge cases where the source list mixes keyword abilities, actions, or layouts.</x:v>
      </x:c>
      <x:c r="Q477" s="26" t="str">
        <x:v>https://scryfall.com/docs/syntax</x:v>
      </x:c>
      <x:c r="R477" s="26" t="str">
        <x:v>2026-08-21</x:v>
      </x:c>
    </x:row>
    <x:row r="478">
      <x:c r="A478" s="26" t="str">
        <x:v>Keywords!A141:C141</x:v>
      </x:c>
      <x:c r="B478" s="26" t="str">
        <x:v>Keywords from Expert-Level Expansions</x:v>
      </x:c>
      <x:c r="C478" s="26" t="str">
        <x:v>Toxic</x:v>
      </x:c>
      <x:c r="D478" s="26" t="str">
        <x:v>Keyword reference</x:v>
      </x:c>
      <x:c r="E478" s="26" t="str">
        <x:v>This ability is written Toxic x. When a creature with toxic deals combat damage to a player, that player gets x poison counters. This was printed in Phyrexia: All Will be One and is the successor to infect, which was a replacement effect for damage.</x:v>
      </x:c>
      <x:c r="F478" s="26" t="str">
        <x:v>o:"Toxic"</x:v>
      </x:c>
      <x:c r="G478" s="26" t="str">
        <x:v>Medium</x:v>
      </x:c>
      <x:c r="H478" s="26" t="str">
        <x:v>Named keyword / mechanic</x:v>
      </x:c>
      <x:c r="I478" s="26" t="str">
        <x:v>keyword: preferred</x:v>
      </x:c>
      <x:c r="J478" s="26" t="str">
        <x:v>kw:Toxic</x:v>
      </x:c>
      <x:c r="K478" s="26" t="str">
        <x:v>o:"Toxic"</x:v>
      </x:c>
      <x:c r="L478" s="26" t="str">
        <x:v>toxic</x:v>
      </x:c>
      <x:c r="M478" s="26" t="str">
        <x:v>Translate, but retain fallback</x:v>
      </x:c>
      <x:c r="N478" s="26" t="str">
        <x:v>Review</x:v>
      </x:c>
      <x:c r="O478" s="43" t="n">
        <x:v>0.88</x:v>
      </x:c>
      <x:c r="P478" s="26" t="str">
        <x:v>Mechanic taxonomy evolves; validate edge cases where the source list mixes keyword abilities, actions, or layouts.</x:v>
      </x:c>
      <x:c r="Q478" s="26" t="str">
        <x:v>https://scryfall.com/docs/syntax</x:v>
      </x:c>
      <x:c r="R478" s="26" t="str">
        <x:v>2026-08-21</x:v>
      </x:c>
    </x:row>
    <x:row r="479">
      <x:c r="A479" s="26" t="str">
        <x:v>Keywords!A142:C142</x:v>
      </x:c>
      <x:c r="B479" s="26" t="str">
        <x:v>Keywords from Expert-Level Expansions</x:v>
      </x:c>
      <x:c r="C479" s="26" t="str">
        <x:v>Transfigure</x:v>
      </x:c>
      <x:c r="D479" s="26" t="str">
        <x:v>Keyword reference</x:v>
      </x:c>
      <x:c r="E479" s="26" t="str">
        <x:v>This ability is written Transfigure (cost). Any time a sorcery could be cast, a player may pay a creature's transfigure cost and sacrifice it to search their deck for a creature with the same converted mana cost as the sacrificed creature and place it onto the battlefield. It is a variant on the transmute ability. This ability appears on a single timeshifted creature in Future Sight, Fleshwrither.</x:v>
      </x:c>
      <x:c r="F479" s="26" t="str">
        <x:v>o:"Transfigure"</x:v>
      </x:c>
      <x:c r="G479" s="26" t="str">
        <x:v>Medium</x:v>
      </x:c>
      <x:c r="H479" s="26" t="str">
        <x:v>Named keyword / mechanic</x:v>
      </x:c>
      <x:c r="I479" s="26" t="str">
        <x:v>keyword: preferred</x:v>
      </x:c>
      <x:c r="J479" s="26" t="str">
        <x:v>kw:Transfigure</x:v>
      </x:c>
      <x:c r="K479" s="26" t="str">
        <x:v>o:"Transfigure"</x:v>
      </x:c>
      <x:c r="L479" s="26" t="str">
        <x:v>transfigure</x:v>
      </x:c>
      <x:c r="M479" s="26" t="str">
        <x:v>Translate, but retain fallback</x:v>
      </x:c>
      <x:c r="N479" s="26" t="str">
        <x:v>Review</x:v>
      </x:c>
      <x:c r="O479" s="43" t="n">
        <x:v>0.88</x:v>
      </x:c>
      <x:c r="P479" s="26" t="str">
        <x:v>Mechanic taxonomy evolves; validate edge cases where the source list mixes keyword abilities, actions, or layouts.</x:v>
      </x:c>
      <x:c r="Q479" s="26" t="str">
        <x:v>https://scryfall.com/docs/syntax</x:v>
      </x:c>
      <x:c r="R479" s="26" t="str">
        <x:v>2026-08-21</x:v>
      </x:c>
    </x:row>
    <x:row r="480">
      <x:c r="A480" s="26" t="str">
        <x:v>Keywords!A143:C143</x:v>
      </x:c>
      <x:c r="B480" s="26" t="str">
        <x:v>Keywords from Expert-Level Expansions</x:v>
      </x:c>
      <x:c r="C480" s="26" t="str">
        <x:v>Transform</x:v>
      </x:c>
      <x:c r="D480" s="26" t="str">
        <x:v>Keyword reference</x:v>
      </x:c>
      <x:c r="E480" s="26" t="str">
        <x:v>Transform is a keyword action that only appears on double-faced cards. Each transform card enters the battlefield with its front face up, and when certain conditions are met, the player turns the card over to its other face to transform it. Transform and double-faced cards were introduced in Innistrad block. All Werewolf cards from Innistrad and Dark Ascension, among other cards (mostly creatures), have the ability. Transformed cards retain any enchantments or counters placed on the front face.</x:v>
      </x:c>
      <x:c r="F480" s="26" t="str">
        <x:v>o:"Transform"</x:v>
      </x:c>
      <x:c r="G480" s="26" t="str">
        <x:v>Medium</x:v>
      </x:c>
      <x:c r="H480" s="26" t="str">
        <x:v>Named keyword / mechanic</x:v>
      </x:c>
      <x:c r="I480" s="26" t="str">
        <x:v>keyword: preferred</x:v>
      </x:c>
      <x:c r="J480" s="26" t="str">
        <x:v>is:transform</x:v>
      </x:c>
      <x:c r="K480" s="26" t="str">
        <x:v>o:"Transform"</x:v>
      </x:c>
      <x:c r="L480" s="26" t="str">
        <x:v>transform</x:v>
      </x:c>
      <x:c r="M480" s="26" t="str">
        <x:v>Translate, but retain fallback</x:v>
      </x:c>
      <x:c r="N480" s="26" t="str">
        <x:v>Review</x:v>
      </x:c>
      <x:c r="O480" s="43" t="n">
        <x:v>0.88</x:v>
      </x:c>
      <x:c r="P480" s="26" t="str">
        <x:v>Mechanic taxonomy evolves; validate edge cases where the source list mixes keyword abilities, actions, or layouts.</x:v>
      </x:c>
      <x:c r="Q480" s="26" t="str">
        <x:v>https://scryfall.com/docs/syntax</x:v>
      </x:c>
      <x:c r="R480" s="26" t="str">
        <x:v>2026-08-21</x:v>
      </x:c>
    </x:row>
    <x:row r="481">
      <x:c r="A481" s="26" t="str">
        <x:v>Keywords!A144:C144</x:v>
      </x:c>
      <x:c r="B481" s="26" t="str">
        <x:v>Keywords from Expert-Level Expansions</x:v>
      </x:c>
      <x:c r="C481" s="26" t="str">
        <x:v>Transmute</x:v>
      </x:c>
      <x:c r="D481" s="26" t="str">
        <x:v>Keyword reference</x:v>
      </x:c>
      <x:c r="E481" s="26" t="str">
        <x:v>This ability is written Transmute (cost). When a sorcery could be cast, a player may pay the transmute cost of a card in their hand and discard it, then search their deck for a card with the same converted mana cost as the discard and put that card in their hand. Transmute appears in Ravnica: City of Guilds and is the ability associated with House Dimir.</x:v>
      </x:c>
      <x:c r="F481" s="26" t="str">
        <x:v>o:"Transmute"</x:v>
      </x:c>
      <x:c r="G481" s="26" t="str">
        <x:v>Medium</x:v>
      </x:c>
      <x:c r="H481" s="26" t="str">
        <x:v>Named keyword / mechanic</x:v>
      </x:c>
      <x:c r="I481" s="26" t="str">
        <x:v>keyword: preferred</x:v>
      </x:c>
      <x:c r="J481" s="26" t="str">
        <x:v>kw:Transmute</x:v>
      </x:c>
      <x:c r="K481" s="26" t="str">
        <x:v>o:"Transmute"</x:v>
      </x:c>
      <x:c r="L481" s="26" t="str">
        <x:v>transmute</x:v>
      </x:c>
      <x:c r="M481" s="26" t="str">
        <x:v>Translate, but retain fallback</x:v>
      </x:c>
      <x:c r="N481" s="26" t="str">
        <x:v>Review</x:v>
      </x:c>
      <x:c r="O481" s="43" t="n">
        <x:v>0.88</x:v>
      </x:c>
      <x:c r="P481" s="26" t="str">
        <x:v>Mechanic taxonomy evolves; validate edge cases where the source list mixes keyword abilities, actions, or layouts.</x:v>
      </x:c>
      <x:c r="Q481" s="26" t="str">
        <x:v>https://scryfall.com/docs/syntax</x:v>
      </x:c>
      <x:c r="R481" s="26" t="str">
        <x:v>2026-08-21</x:v>
      </x:c>
    </x:row>
    <x:row r="482">
      <x:c r="A482" s="26" t="str">
        <x:v>Keywords!A145:C145</x:v>
      </x:c>
      <x:c r="B482" s="26" t="str">
        <x:v>Keywords from Expert-Level Expansions</x:v>
      </x:c>
      <x:c r="C482" s="26" t="str">
        <x:v>Typecycling</x:v>
      </x:c>
      <x:c r="D482" s="26" t="str">
        <x:v>Keyword reference</x:v>
      </x:c>
      <x:c r="E482" s="26" t="str">
        <x:v>Typecycling is a variant of cycling that is worded (card type) cycling (cost). When the ability is used the player discards the card, then may search their deck for any card containing the indicated subtype and put it in their hand. It first appeared in Scourge as "Landcycling", indicating cards which could search for basic lands. Typecycling was redefined with the release of Future Sight to allow searching for other types of cards, and also appears in Alara block. Typecycling activates anything that would trigger on cycling.</x:v>
      </x:c>
      <x:c r="F482" s="26" t="str">
        <x:v>o:"Typecycling"</x:v>
      </x:c>
      <x:c r="G482" s="26" t="str">
        <x:v>Medium</x:v>
      </x:c>
      <x:c r="H482" s="26" t="str">
        <x:v>Named keyword / mechanic</x:v>
      </x:c>
      <x:c r="I482" s="26" t="str">
        <x:v>keyword: preferred</x:v>
      </x:c>
      <x:c r="J482" s="26" t="str">
        <x:v>kw:Typecycling</x:v>
      </x:c>
      <x:c r="K482" s="26" t="str">
        <x:v>o:"Typecycling"</x:v>
      </x:c>
      <x:c r="L482" s="26" t="str">
        <x:v>typecycling</x:v>
      </x:c>
      <x:c r="M482" s="26" t="str">
        <x:v>Translate, but retain fallback</x:v>
      </x:c>
      <x:c r="N482" s="26" t="str">
        <x:v>Review</x:v>
      </x:c>
      <x:c r="O482" s="43" t="n">
        <x:v>0.88</x:v>
      </x:c>
      <x:c r="P482" s="26" t="str">
        <x:v>Mechanic taxonomy evolves; validate edge cases where the source list mixes keyword abilities, actions, or layouts.</x:v>
      </x:c>
      <x:c r="Q482" s="26" t="str">
        <x:v>https://scryfall.com/docs/syntax</x:v>
      </x:c>
      <x:c r="R482" s="26" t="str">
        <x:v>2026-08-21</x:v>
      </x:c>
    </x:row>
    <x:row r="483">
      <x:c r="A483" s="26" t="str">
        <x:v>Keywords!A146:C146</x:v>
      </x:c>
      <x:c r="B483" s="26" t="str">
        <x:v>Keywords from Expert-Level Expansions</x:v>
      </x:c>
      <x:c r="C483" s="26" t="str">
        <x:v>Umbra armor</x:v>
      </x:c>
      <x:c r="D483" s="26" t="str">
        <x:v>Keyword reference</x:v>
      </x:c>
      <x:c r="E483" s="26" t="str">
        <x:v>Umbra armor is an ability which appears on Auras. When the enchanted creature would be destroyed, an attached Aura with totem armor is destroyed instead. Umbra armor appears in Rise of the Eldrazi. Umbra armor was previously called Totem armor and was changed to avoid culturally insensitive terminology.</x:v>
      </x:c>
      <x:c r="F483" s="26" t="str">
        <x:v>o:"Umbra armor"</x:v>
      </x:c>
      <x:c r="G483" s="26" t="str">
        <x:v>Medium</x:v>
      </x:c>
      <x:c r="H483" s="26" t="str">
        <x:v>Named keyword / mechanic</x:v>
      </x:c>
      <x:c r="I483" s="26" t="str">
        <x:v>keyword: preferred</x:v>
      </x:c>
      <x:c r="J483" s="26" t="str">
        <x:v>kw:"Umbra armor"</x:v>
      </x:c>
      <x:c r="K483" s="26" t="str">
        <x:v>o:"Umbra armor"</x:v>
      </x:c>
      <x:c r="L483" s="26" t="str">
        <x:v>umbra armor</x:v>
      </x:c>
      <x:c r="M483" s="26" t="str">
        <x:v>Translate, but retain fallback</x:v>
      </x:c>
      <x:c r="N483" s="26" t="str">
        <x:v>Review</x:v>
      </x:c>
      <x:c r="O483" s="43" t="n">
        <x:v>0.88</x:v>
      </x:c>
      <x:c r="P483" s="26" t="str">
        <x:v>Mechanic taxonomy evolves; validate edge cases where the source list mixes keyword abilities, actions, or layouts.</x:v>
      </x:c>
      <x:c r="Q483" s="26" t="str">
        <x:v>https://scryfall.com/docs/syntax</x:v>
      </x:c>
      <x:c r="R483" s="26" t="str">
        <x:v>2026-08-21</x:v>
      </x:c>
    </x:row>
    <x:row r="484">
      <x:c r="A484" s="26" t="str">
        <x:v>Keywords!A147:C147</x:v>
      </x:c>
      <x:c r="B484" s="26" t="str">
        <x:v>Keywords from Expert-Level Expansions</x:v>
      </x:c>
      <x:c r="C484" s="26" t="str">
        <x:v>Undying</x:v>
      </x:c>
      <x:c r="D484" s="26" t="str">
        <x:v>Keyword reference</x:v>
      </x:c>
      <x:c r="E484" s="26" t="str">
        <x:v>When a creature with undying is put into a graveyard from the battlefield, if it had no +1/+1 counters on it, it is returned to the battlefield under its owner's control with a +1/+1 counter. Undying first appeared in Dark Ascension. Undying is very similar to persist.</x:v>
      </x:c>
      <x:c r="F484" s="26" t="str">
        <x:v>o:"Undying"</x:v>
      </x:c>
      <x:c r="G484" s="26" t="str">
        <x:v>Medium</x:v>
      </x:c>
      <x:c r="H484" s="26" t="str">
        <x:v>Named keyword / mechanic</x:v>
      </x:c>
      <x:c r="I484" s="26" t="str">
        <x:v>keyword: preferred</x:v>
      </x:c>
      <x:c r="J484" s="26" t="str">
        <x:v>kw:Undying</x:v>
      </x:c>
      <x:c r="K484" s="26" t="str">
        <x:v>o:"Undying"</x:v>
      </x:c>
      <x:c r="L484" s="26" t="str">
        <x:v>undying</x:v>
      </x:c>
      <x:c r="M484" s="26" t="str">
        <x:v>Translate, but retain fallback</x:v>
      </x:c>
      <x:c r="N484" s="26" t="str">
        <x:v>Review</x:v>
      </x:c>
      <x:c r="O484" s="43" t="n">
        <x:v>0.88</x:v>
      </x:c>
      <x:c r="P484" s="26" t="str">
        <x:v>Mechanic taxonomy evolves; validate edge cases where the source list mixes keyword abilities, actions, or layouts.</x:v>
      </x:c>
      <x:c r="Q484" s="26" t="str">
        <x:v>https://scryfall.com/docs/syntax</x:v>
      </x:c>
      <x:c r="R484" s="26" t="str">
        <x:v>2026-08-21</x:v>
      </x:c>
    </x:row>
    <x:row r="485">
      <x:c r="A485" s="26" t="str">
        <x:v>Keywords!A148:C148</x:v>
      </x:c>
      <x:c r="B485" s="26" t="str">
        <x:v>Keywords from Expert-Level Expansions</x:v>
      </x:c>
      <x:c r="C485" s="26" t="str">
        <x:v>Unearth</x:v>
      </x:c>
      <x:c r="D485" s="26" t="str">
        <x:v>Keyword reference</x:v>
      </x:c>
      <x:c r="E485" s="26" t="str">
        <x:v>This ability is written Unearth (cost). If a creature with unearth is in a player's graveyard, any time a sorcery could be played, that player may pay its unearth cost to return that creature to the battlefield. The creature gains haste and is exiled at the beginning of the next end step, or if it would otherwise leave the battlefield. Unearth appears on Grixis cards in the Alara block.</x:v>
      </x:c>
      <x:c r="F485" s="26" t="str">
        <x:v>o:"Unearth"</x:v>
      </x:c>
      <x:c r="G485" s="26" t="str">
        <x:v>Medium</x:v>
      </x:c>
      <x:c r="H485" s="26" t="str">
        <x:v>Named keyword / mechanic</x:v>
      </x:c>
      <x:c r="I485" s="26" t="str">
        <x:v>keyword: preferred</x:v>
      </x:c>
      <x:c r="J485" s="26" t="str">
        <x:v>kw:Unearth</x:v>
      </x:c>
      <x:c r="K485" s="26" t="str">
        <x:v>o:"Unearth"</x:v>
      </x:c>
      <x:c r="L485" s="26" t="str">
        <x:v>unearth</x:v>
      </x:c>
      <x:c r="M485" s="26" t="str">
        <x:v>Translate, but retain fallback</x:v>
      </x:c>
      <x:c r="N485" s="26" t="str">
        <x:v>Review</x:v>
      </x:c>
      <x:c r="O485" s="43" t="n">
        <x:v>0.88</x:v>
      </x:c>
      <x:c r="P485" s="26" t="str">
        <x:v>Mechanic taxonomy evolves; validate edge cases where the source list mixes keyword abilities, actions, or layouts.</x:v>
      </x:c>
      <x:c r="Q485" s="26" t="str">
        <x:v>https://scryfall.com/docs/syntax</x:v>
      </x:c>
      <x:c r="R485" s="26" t="str">
        <x:v>2026-08-21</x:v>
      </x:c>
    </x:row>
    <x:row r="486">
      <x:c r="A486" s="26" t="str">
        <x:v>Keywords!A149:C149</x:v>
      </x:c>
      <x:c r="B486" s="26" t="str">
        <x:v>Keywords from Expert-Level Expansions</x:v>
      </x:c>
      <x:c r="C486" s="26" t="str">
        <x:v>Unleash</x:v>
      </x:c>
      <x:c r="D486" s="26" t="str">
        <x:v>Keyword reference</x:v>
      </x:c>
      <x:c r="E486" s="26" t="str">
        <x:v>A player may choose to have a creature with unleash enter the battlefield with a +1/+1 counter on it. If a creature with unleash has a +1/+1 counter on it (whether put there by its own ability or another source), that creature cannot block. Unleash appears on red and black cards of the Cult of Rakdos in Return to Ravnica.</x:v>
      </x:c>
      <x:c r="F486" s="26" t="str">
        <x:v>o:"Unleash"</x:v>
      </x:c>
      <x:c r="G486" s="26" t="str">
        <x:v>Medium</x:v>
      </x:c>
      <x:c r="H486" s="26" t="str">
        <x:v>Named keyword / mechanic</x:v>
      </x:c>
      <x:c r="I486" s="26" t="str">
        <x:v>keyword: preferred</x:v>
      </x:c>
      <x:c r="J486" s="26" t="str">
        <x:v>kw:Unleash</x:v>
      </x:c>
      <x:c r="K486" s="26" t="str">
        <x:v>o:"Unleash"</x:v>
      </x:c>
      <x:c r="L486" s="26" t="str">
        <x:v>unleash</x:v>
      </x:c>
      <x:c r="M486" s="26" t="str">
        <x:v>Translate, but retain fallback</x:v>
      </x:c>
      <x:c r="N486" s="26" t="str">
        <x:v>Review</x:v>
      </x:c>
      <x:c r="O486" s="43" t="n">
        <x:v>0.88</x:v>
      </x:c>
      <x:c r="P486" s="26" t="str">
        <x:v>Mechanic taxonomy evolves; validate edge cases where the source list mixes keyword abilities, actions, or layouts.</x:v>
      </x:c>
      <x:c r="Q486" s="26" t="str">
        <x:v>https://scryfall.com/docs/syntax</x:v>
      </x:c>
      <x:c r="R486" s="26" t="str">
        <x:v>2026-08-21</x:v>
      </x:c>
    </x:row>
    <x:row r="487">
      <x:c r="A487" s="26" t="str">
        <x:v>Keywords!A150:C150</x:v>
      </x:c>
      <x:c r="B487" s="26" t="str">
        <x:v>Keywords from Expert-Level Expansions</x:v>
      </x:c>
      <x:c r="C487" s="26" t="str">
        <x:v>Vanishing</x:v>
      </x:c>
      <x:c r="D487" s="26" t="str">
        <x:v>Keyword reference</x:v>
      </x:c>
      <x:c r="E487" s="26" t="str">
        <x:v>This ability is written Vanishing x. A permanent with vanishing enters the battlefield with x time counters on it. At the beginning of its controller's upkeep, a time counter is removed. When the last counter is removed, the card is sacrificed. Vanishing was introduced in Time Spiral and is a modification of fading which uses time counters to interact with other Time Spiral cards.</x:v>
      </x:c>
      <x:c r="F487" s="26" t="str">
        <x:v>o:"Vanishing"</x:v>
      </x:c>
      <x:c r="G487" s="26" t="str">
        <x:v>Medium</x:v>
      </x:c>
      <x:c r="H487" s="26" t="str">
        <x:v>Named keyword / mechanic</x:v>
      </x:c>
      <x:c r="I487" s="26" t="str">
        <x:v>keyword: preferred</x:v>
      </x:c>
      <x:c r="J487" s="26" t="str">
        <x:v>kw:Vanishing</x:v>
      </x:c>
      <x:c r="K487" s="26" t="str">
        <x:v>o:"Vanishing"</x:v>
      </x:c>
      <x:c r="L487" s="26" t="str">
        <x:v>vanishing</x:v>
      </x:c>
      <x:c r="M487" s="26" t="str">
        <x:v>Translate, but retain fallback</x:v>
      </x:c>
      <x:c r="N487" s="26" t="str">
        <x:v>Review</x:v>
      </x:c>
      <x:c r="O487" s="43" t="n">
        <x:v>0.88</x:v>
      </x:c>
      <x:c r="P487" s="26" t="str">
        <x:v>Mechanic taxonomy evolves; validate edge cases where the source list mixes keyword abilities, actions, or layouts.</x:v>
      </x:c>
      <x:c r="Q487" s="26" t="str">
        <x:v>https://scryfall.com/docs/syntax</x:v>
      </x:c>
      <x:c r="R487" s="26" t="str">
        <x:v>2026-08-21</x:v>
      </x:c>
    </x:row>
    <x:row r="488">
      <x:c r="A488" s="26" t="str">
        <x:v>Keywords!A151:C151</x:v>
      </x:c>
      <x:c r="B488" s="26" t="str">
        <x:v>Keywords from Expert-Level Expansions</x:v>
      </x:c>
      <x:c r="C488" s="26" t="str">
        <x:v>Ward</x:v>
      </x:c>
      <x:c r="D488" s="26" t="str">
        <x:v>Keyword reference</x:v>
      </x:c>
      <x:c r="E488" s="26" t="str">
        <x:v>Whenever a permanent with ward becomes the target of a spell or ability an opponent controls, the ability is countered unless that player pays the associated Ward cost.</x:v>
      </x:c>
      <x:c r="F488" s="26" t="str">
        <x:v>o:"Ward"</x:v>
      </x:c>
      <x:c r="G488" s="26" t="str">
        <x:v>Medium</x:v>
      </x:c>
      <x:c r="H488" s="26" t="str">
        <x:v>Named keyword / mechanic</x:v>
      </x:c>
      <x:c r="I488" s="26" t="str">
        <x:v>keyword: preferred</x:v>
      </x:c>
      <x:c r="J488" s="26" t="str">
        <x:v>kw:Ward</x:v>
      </x:c>
      <x:c r="K488" s="26" t="str">
        <x:v>o:"Ward"</x:v>
      </x:c>
      <x:c r="L488" s="26" t="str">
        <x:v>ward</x:v>
      </x:c>
      <x:c r="M488" s="26" t="str">
        <x:v>Translate, but retain fallback</x:v>
      </x:c>
      <x:c r="N488" s="26" t="str">
        <x:v>Review</x:v>
      </x:c>
      <x:c r="O488" s="43" t="n">
        <x:v>0.88</x:v>
      </x:c>
      <x:c r="P488" s="26" t="str">
        <x:v>Mechanic taxonomy evolves; validate edge cases where the source list mixes keyword abilities, actions, or layouts.</x:v>
      </x:c>
      <x:c r="Q488" s="26" t="str">
        <x:v>https://scryfall.com/docs/syntax</x:v>
      </x:c>
      <x:c r="R488" s="26" t="str">
        <x:v>2026-08-21</x:v>
      </x:c>
    </x:row>
    <x:row r="489">
      <x:c r="A489" s="26" t="str">
        <x:v>Keywords!A152:C152</x:v>
      </x:c>
      <x:c r="B489" s="26" t="str">
        <x:v>Keywords from Expert-Level Expansions</x:v>
      </x:c>
      <x:c r="C489" s="26" t="str">
        <x:v>Wither</x:v>
      </x:c>
      <x:c r="D489" s="26" t="str">
        <x:v>Keyword reference</x:v>
      </x:c>
      <x:c r="E489" s="26" t="str">
        <x:v>Wither is a replacement ability that modifies damage. Nonlethal damage marked on a creature normally goes away at the end of the turn. However, whenever a source with wither deals damage to a creature, that creature receives a number of −1/−1 counters equal to the amount of damage dealt to it. When it deals damage to a player, that player will receive regular damage unlike infect. Wither was introduced in Shadowmoor.</x:v>
      </x:c>
      <x:c r="F489" s="26" t="str">
        <x:v>o:"Wither"</x:v>
      </x:c>
      <x:c r="G489" s="26" t="str">
        <x:v>Medium</x:v>
      </x:c>
      <x:c r="H489" s="26" t="str">
        <x:v>Named keyword / mechanic</x:v>
      </x:c>
      <x:c r="I489" s="26" t="str">
        <x:v>keyword: preferred</x:v>
      </x:c>
      <x:c r="J489" s="26" t="str">
        <x:v>kw:Wither</x:v>
      </x:c>
      <x:c r="K489" s="26" t="str">
        <x:v>o:"Wither"</x:v>
      </x:c>
      <x:c r="L489" s="26" t="str">
        <x:v>wither</x:v>
      </x:c>
      <x:c r="M489" s="26" t="str">
        <x:v>Translate, but retain fallback</x:v>
      </x:c>
      <x:c r="N489" s="26" t="str">
        <x:v>Review</x:v>
      </x:c>
      <x:c r="O489" s="43" t="n">
        <x:v>0.88</x:v>
      </x:c>
      <x:c r="P489" s="26" t="str">
        <x:v>Mechanic taxonomy evolves; validate edge cases where the source list mixes keyword abilities, actions, or layouts.</x:v>
      </x:c>
      <x:c r="Q489" s="26" t="str">
        <x:v>https://scryfall.com/docs/syntax</x:v>
      </x:c>
      <x:c r="R489" s="26" t="str">
        <x:v>2026-08-21</x:v>
      </x:c>
    </x:row>
    <x:row r="490">
      <x:c r="A490" s="26" t="str">
        <x:v>Keywords!A153:C153</x:v>
      </x:c>
      <x:c r="B490" s="26" t="str">
        <x:v>Ability Words</x:v>
      </x:c>
      <x:c r="C490" s="26" t="str">
        <x:v>Addendum</x:v>
      </x:c>
      <x:c r="D490" s="26" t="str">
        <x:v>Keyword reference</x:v>
      </x:c>
      <x:c r="E490" s="26" t="str">
        <x:v>Cards with addendum have additional effects if they are cast during their controller's main phase. All cards with addendum are either instants or permanents with flash. This ability is first seen in Ravnica Allegiance and is usually associated with the Azorius Senate.</x:v>
      </x:c>
      <x:c r="F490" s="26" t="str">
        <x:v>o:"Addendum"</x:v>
      </x:c>
      <x:c r="G490" s="26" t="str">
        <x:v>Medium</x:v>
      </x:c>
      <x:c r="H490" s="26" t="str">
        <x:v>Ability word</x:v>
      </x:c>
      <x:c r="I490" s="26" t="str">
        <x:v>oracle:</x:v>
      </x:c>
      <x:c r="J490" s="26" t="str">
        <x:v>o:"Addendum"</x:v>
      </x:c>
      <x:c r="K490" s="26" t="str"/>
      <x:c r="L490" s="26" t="str">
        <x:v>addendum</x:v>
      </x:c>
      <x:c r="M490" s="26" t="str">
        <x:v>Translate directly</x:v>
      </x:c>
      <x:c r="N490" s="26" t="str">
        <x:v>Production-ready</x:v>
      </x:c>
      <x:c r="O490" s="43" t="n">
        <x:v>0.95</x:v>
      </x:c>
      <x:c r="P490" s="26" t="str">
        <x:v>Ability words are labels in Oracle text; this does not imply every related card uses the label.</x:v>
      </x:c>
      <x:c r="Q490" s="26" t="str">
        <x:v>https://scryfall.com/docs/syntax</x:v>
      </x:c>
      <x:c r="R490" s="26" t="str">
        <x:v>2026-08-21</x:v>
      </x:c>
    </x:row>
    <x:row r="491">
      <x:c r="A491" s="26" t="str">
        <x:v>Keywords!A154:C154</x:v>
      </x:c>
      <x:c r="B491" s="26" t="str">
        <x:v>Ability Words</x:v>
      </x:c>
      <x:c r="C491" s="26" t="str">
        <x:v>Battalion</x:v>
      </x:c>
      <x:c r="D491" s="26" t="str">
        <x:v>Keyword reference</x:v>
      </x:c>
      <x:c r="E491" s="26" t="str">
        <x:v>Battalion is a creature ability word which gives an advantage whenever the creature attacks with at least two other creatures. It was designed by a contestant during The Great Designer Search II and appears in Gatecrash as the guild keyword of the Boros Legion.</x:v>
      </x:c>
      <x:c r="F491" s="26" t="str">
        <x:v>o:"Battalion"</x:v>
      </x:c>
      <x:c r="G491" s="26" t="str">
        <x:v>Medium</x:v>
      </x:c>
      <x:c r="H491" s="26" t="str">
        <x:v>Ability word</x:v>
      </x:c>
      <x:c r="I491" s="26" t="str">
        <x:v>oracle:</x:v>
      </x:c>
      <x:c r="J491" s="26" t="str">
        <x:v>o:"Battalion"</x:v>
      </x:c>
      <x:c r="K491" s="26" t="str"/>
      <x:c r="L491" s="26" t="str">
        <x:v>battalion</x:v>
      </x:c>
      <x:c r="M491" s="26" t="str">
        <x:v>Translate directly</x:v>
      </x:c>
      <x:c r="N491" s="26" t="str">
        <x:v>Production-ready</x:v>
      </x:c>
      <x:c r="O491" s="43" t="n">
        <x:v>0.95</x:v>
      </x:c>
      <x:c r="P491" s="26" t="str">
        <x:v>Ability words are labels in Oracle text; this does not imply every related card uses the label.</x:v>
      </x:c>
      <x:c r="Q491" s="26" t="str">
        <x:v>https://scryfall.com/docs/syntax</x:v>
      </x:c>
      <x:c r="R491" s="26" t="str">
        <x:v>2026-08-21</x:v>
      </x:c>
    </x:row>
    <x:row r="492">
      <x:c r="A492" s="26" t="str">
        <x:v>Keywords!A155:C155</x:v>
      </x:c>
      <x:c r="B492" s="26" t="str">
        <x:v>Ability Words</x:v>
      </x:c>
      <x:c r="C492" s="26" t="str">
        <x:v>Bloodrush</x:v>
      </x:c>
      <x:c r="D492" s="26" t="str">
        <x:v>Keyword reference</x:v>
      </x:c>
      <x:c r="E492" s="26" t="str">
        <x:v>For a cost, bloodrush allows a creature card to be discarded to give a temporary boost to an attacking creature, equal to the discarded creature's power and toughness and also temporarily granting the discarded creature's abilities. Bloodrush appeared in Gatecrash as the guild-keyword of the Gruul Clans.</x:v>
      </x:c>
      <x:c r="F492" s="26" t="str">
        <x:v>o:"Bloodrush"</x:v>
      </x:c>
      <x:c r="G492" s="26" t="str">
        <x:v>Medium</x:v>
      </x:c>
      <x:c r="H492" s="26" t="str">
        <x:v>Ability word</x:v>
      </x:c>
      <x:c r="I492" s="26" t="str">
        <x:v>oracle:</x:v>
      </x:c>
      <x:c r="J492" s="26" t="str">
        <x:v>o:"Bloodrush"</x:v>
      </x:c>
      <x:c r="K492" s="26" t="str"/>
      <x:c r="L492" s="26" t="str">
        <x:v>bloodrush</x:v>
      </x:c>
      <x:c r="M492" s="26" t="str">
        <x:v>Translate directly</x:v>
      </x:c>
      <x:c r="N492" s="26" t="str">
        <x:v>Production-ready</x:v>
      </x:c>
      <x:c r="O492" s="43" t="n">
        <x:v>0.95</x:v>
      </x:c>
      <x:c r="P492" s="26" t="str">
        <x:v>Ability words are labels in Oracle text; this does not imply every related card uses the label.</x:v>
      </x:c>
      <x:c r="Q492" s="26" t="str">
        <x:v>https://scryfall.com/docs/syntax</x:v>
      </x:c>
      <x:c r="R492" s="26" t="str">
        <x:v>2026-08-21</x:v>
      </x:c>
    </x:row>
    <x:row r="493">
      <x:c r="A493" s="26" t="str">
        <x:v>Keywords!A156:C156</x:v>
      </x:c>
      <x:c r="B493" s="26" t="str">
        <x:v>Ability Words</x:v>
      </x:c>
      <x:c r="C493" s="26" t="str">
        <x:v>Channel</x:v>
      </x:c>
      <x:c r="D493" s="26" t="str">
        <x:v>Keyword reference</x:v>
      </x:c>
      <x:c r="E493" s="26" t="str">
        <x:v>All cards with channel have the ability to be discarded for a cost to yield a specified effect. Channel appears in Saviors of Kamigawa on spirit creatures, and was introduced specifically for interaction with soulshift.</x:v>
      </x:c>
      <x:c r="F493" s="26" t="str">
        <x:v>o:"Channel"</x:v>
      </x:c>
      <x:c r="G493" s="26" t="str">
        <x:v>Medium</x:v>
      </x:c>
      <x:c r="H493" s="26" t="str">
        <x:v>Ability word</x:v>
      </x:c>
      <x:c r="I493" s="26" t="str">
        <x:v>oracle:</x:v>
      </x:c>
      <x:c r="J493" s="26" t="str">
        <x:v>o:"Channel"</x:v>
      </x:c>
      <x:c r="K493" s="26" t="str"/>
      <x:c r="L493" s="26" t="str">
        <x:v>channel</x:v>
      </x:c>
      <x:c r="M493" s="26" t="str">
        <x:v>Translate directly</x:v>
      </x:c>
      <x:c r="N493" s="26" t="str">
        <x:v>Production-ready</x:v>
      </x:c>
      <x:c r="O493" s="43" t="n">
        <x:v>0.95</x:v>
      </x:c>
      <x:c r="P493" s="26" t="str">
        <x:v>Ability words are labels in Oracle text; this does not imply every related card uses the label.</x:v>
      </x:c>
      <x:c r="Q493" s="26" t="str">
        <x:v>https://scryfall.com/docs/syntax</x:v>
      </x:c>
      <x:c r="R493" s="26" t="str">
        <x:v>2026-08-21</x:v>
      </x:c>
    </x:row>
    <x:row r="494">
      <x:c r="A494" s="26" t="str">
        <x:v>Keywords!A157:C157</x:v>
      </x:c>
      <x:c r="B494" s="26" t="str">
        <x:v>Ability Words</x:v>
      </x:c>
      <x:c r="C494" s="26" t="str">
        <x:v>Chroma</x:v>
      </x:c>
      <x:c r="D494" s="26" t="str">
        <x:v>Keyword reference</x:v>
      </x:c>
      <x:c r="E494" s="26" t="str">
        <x:v>Chroma is an ability of a permanent or spell that checks for specific mana symbols of cards in specific zones. When a card with chroma is played, it will indicate a specified effect or characteristic-defining ability and repeat it for every color symbol in the checked zone. Chroma was first introduced in Eventide, and the Phosphorescent Feast card from Future Sight was issued errata to have the ability word.</x:v>
      </x:c>
      <x:c r="F494" s="26" t="str">
        <x:v>o:"Chroma"</x:v>
      </x:c>
      <x:c r="G494" s="26" t="str">
        <x:v>Medium</x:v>
      </x:c>
      <x:c r="H494" s="26" t="str">
        <x:v>Ability word</x:v>
      </x:c>
      <x:c r="I494" s="26" t="str">
        <x:v>oracle:</x:v>
      </x:c>
      <x:c r="J494" s="26" t="str">
        <x:v>o:"Chroma"</x:v>
      </x:c>
      <x:c r="K494" s="26" t="str"/>
      <x:c r="L494" s="26" t="str">
        <x:v>chroma</x:v>
      </x:c>
      <x:c r="M494" s="26" t="str">
        <x:v>Translate directly</x:v>
      </x:c>
      <x:c r="N494" s="26" t="str">
        <x:v>Production-ready</x:v>
      </x:c>
      <x:c r="O494" s="43" t="n">
        <x:v>0.95</x:v>
      </x:c>
      <x:c r="P494" s="26" t="str">
        <x:v>Ability words are labels in Oracle text; this does not imply every related card uses the label.</x:v>
      </x:c>
      <x:c r="Q494" s="26" t="str">
        <x:v>https://scryfall.com/docs/syntax</x:v>
      </x:c>
      <x:c r="R494" s="26" t="str">
        <x:v>2026-08-21</x:v>
      </x:c>
    </x:row>
    <x:row r="495">
      <x:c r="A495" s="26" t="str">
        <x:v>Keywords!A158:C158</x:v>
      </x:c>
      <x:c r="B495" s="26" t="str">
        <x:v>Ability Words</x:v>
      </x:c>
      <x:c r="C495" s="26" t="str">
        <x:v>Domain</x:v>
      </x:c>
      <x:c r="D495" s="26" t="str">
        <x:v>Keyword reference</x:v>
      </x:c>
      <x:c r="E495" s="26" t="str">
        <x:v>Domain refers to an effect that may be stronger or weaker depending on the number of basic land types (Plains, Island, Swamp, Mountain, and/or Forest) among lands a player controls. The mechanic first appeared in Invasion without the keyword printed on the cards. Domain officially became an ability word in the Conflux set.</x:v>
      </x:c>
      <x:c r="F495" s="26" t="str">
        <x:v>o:"Domain"</x:v>
      </x:c>
      <x:c r="G495" s="26" t="str">
        <x:v>Medium</x:v>
      </x:c>
      <x:c r="H495" s="26" t="str">
        <x:v>Ability word</x:v>
      </x:c>
      <x:c r="I495" s="26" t="str">
        <x:v>oracle:</x:v>
      </x:c>
      <x:c r="J495" s="26" t="str">
        <x:v>o:"Domain"</x:v>
      </x:c>
      <x:c r="K495" s="26" t="str"/>
      <x:c r="L495" s="26" t="str">
        <x:v>domain</x:v>
      </x:c>
      <x:c r="M495" s="26" t="str">
        <x:v>Translate directly</x:v>
      </x:c>
      <x:c r="N495" s="26" t="str">
        <x:v>Production-ready</x:v>
      </x:c>
      <x:c r="O495" s="43" t="n">
        <x:v>0.95</x:v>
      </x:c>
      <x:c r="P495" s="26" t="str">
        <x:v>Ability words are labels in Oracle text; this does not imply every related card uses the label.</x:v>
      </x:c>
      <x:c r="Q495" s="26" t="str">
        <x:v>https://scryfall.com/docs/syntax</x:v>
      </x:c>
      <x:c r="R495" s="26" t="str">
        <x:v>2026-08-21</x:v>
      </x:c>
    </x:row>
    <x:row r="496">
      <x:c r="A496" s="26" t="str">
        <x:v>Keywords!A159:C159</x:v>
      </x:c>
      <x:c r="B496" s="26" t="str">
        <x:v>Ability Words</x:v>
      </x:c>
      <x:c r="C496" s="26" t="str">
        <x:v>Enrage</x:v>
      </x:c>
      <x:c r="D496" s="26" t="str">
        <x:v>Keyword reference</x:v>
      </x:c>
      <x:c r="E496" s="26" t="str">
        <x:v>Enrage is a creature-exclusive ability word, indicating abilities that trigger whenever that creature is dealt damage. It appears in Ixalan block on white, green and red Dinosaur creatures.</x:v>
      </x:c>
      <x:c r="F496" s="26" t="str">
        <x:v>o:"Enrage"</x:v>
      </x:c>
      <x:c r="G496" s="26" t="str">
        <x:v>Medium</x:v>
      </x:c>
      <x:c r="H496" s="26" t="str">
        <x:v>Ability word</x:v>
      </x:c>
      <x:c r="I496" s="26" t="str">
        <x:v>oracle:</x:v>
      </x:c>
      <x:c r="J496" s="26" t="str">
        <x:v>o:"Enrage"</x:v>
      </x:c>
      <x:c r="K496" s="26" t="str"/>
      <x:c r="L496" s="26" t="str">
        <x:v>enrage</x:v>
      </x:c>
      <x:c r="M496" s="26" t="str">
        <x:v>Translate directly</x:v>
      </x:c>
      <x:c r="N496" s="26" t="str">
        <x:v>Production-ready</x:v>
      </x:c>
      <x:c r="O496" s="43" t="n">
        <x:v>0.95</x:v>
      </x:c>
      <x:c r="P496" s="26" t="str">
        <x:v>Ability words are labels in Oracle text; this does not imply every related card uses the label.</x:v>
      </x:c>
      <x:c r="Q496" s="26" t="str">
        <x:v>https://scryfall.com/docs/syntax</x:v>
      </x:c>
      <x:c r="R496" s="26" t="str">
        <x:v>2026-08-21</x:v>
      </x:c>
    </x:row>
    <x:row r="497">
      <x:c r="A497" s="26" t="str">
        <x:v>Keywords!A160:C160</x:v>
      </x:c>
      <x:c r="B497" s="26" t="str">
        <x:v>Ability Words</x:v>
      </x:c>
      <x:c r="C497" s="26" t="str">
        <x:v>Fateful hour</x:v>
      </x:c>
      <x:c r="D497" s="26" t="str">
        <x:v>Keyword reference</x:v>
      </x:c>
      <x:c r="E497" s="26" t="str">
        <x:v>Cards with fateful hour gain an additional ability if controlled by a player with 5 life or less. This ability first appeared on human-themed cards in Dark Ascension.</x:v>
      </x:c>
      <x:c r="F497" s="26" t="str">
        <x:v>o:"Fateful hour"</x:v>
      </x:c>
      <x:c r="G497" s="26" t="str">
        <x:v>Medium</x:v>
      </x:c>
      <x:c r="H497" s="26" t="str">
        <x:v>Ability word</x:v>
      </x:c>
      <x:c r="I497" s="26" t="str">
        <x:v>oracle:</x:v>
      </x:c>
      <x:c r="J497" s="26" t="str">
        <x:v>o:"Fateful hour"</x:v>
      </x:c>
      <x:c r="K497" s="26" t="str"/>
      <x:c r="L497" s="26" t="str">
        <x:v>fateful hour</x:v>
      </x:c>
      <x:c r="M497" s="26" t="str">
        <x:v>Translate directly</x:v>
      </x:c>
      <x:c r="N497" s="26" t="str">
        <x:v>Production-ready</x:v>
      </x:c>
      <x:c r="O497" s="43" t="n">
        <x:v>0.95</x:v>
      </x:c>
      <x:c r="P497" s="26" t="str">
        <x:v>Ability words are labels in Oracle text; this does not imply every related card uses the label.</x:v>
      </x:c>
      <x:c r="Q497" s="26" t="str">
        <x:v>https://scryfall.com/docs/syntax</x:v>
      </x:c>
      <x:c r="R497" s="26" t="str">
        <x:v>2026-08-21</x:v>
      </x:c>
    </x:row>
    <x:row r="498">
      <x:c r="A498" s="26" t="str">
        <x:v>Keywords!A161:C161</x:v>
      </x:c>
      <x:c r="B498" s="26" t="str">
        <x:v>Ability Words</x:v>
      </x:c>
      <x:c r="C498" s="26" t="str">
        <x:v>Ferocious</x:v>
      </x:c>
      <x:c r="D498" s="26" t="str">
        <x:v>Keyword reference</x:v>
      </x:c>
      <x:c r="E498" s="26" t="str">
        <x:v>Cards with ferocious gain an additional ability if their controller controls a creature with power four or more. This ability appears on cards belonging to the Temur clan in Khans of Tarkir and Fate Reforged.</x:v>
      </x:c>
      <x:c r="F498" s="26" t="str">
        <x:v>o:"Ferocious"</x:v>
      </x:c>
      <x:c r="G498" s="26" t="str">
        <x:v>Medium</x:v>
      </x:c>
      <x:c r="H498" s="26" t="str">
        <x:v>Ability word</x:v>
      </x:c>
      <x:c r="I498" s="26" t="str">
        <x:v>oracle:</x:v>
      </x:c>
      <x:c r="J498" s="26" t="str">
        <x:v>o:"Ferocious"</x:v>
      </x:c>
      <x:c r="K498" s="26" t="str"/>
      <x:c r="L498" s="26" t="str">
        <x:v>ferocious</x:v>
      </x:c>
      <x:c r="M498" s="26" t="str">
        <x:v>Translate directly</x:v>
      </x:c>
      <x:c r="N498" s="26" t="str">
        <x:v>Production-ready</x:v>
      </x:c>
      <x:c r="O498" s="43" t="n">
        <x:v>0.95</x:v>
      </x:c>
      <x:c r="P498" s="26" t="str">
        <x:v>Ability words are labels in Oracle text; this does not imply every related card uses the label.</x:v>
      </x:c>
      <x:c r="Q498" s="26" t="str">
        <x:v>https://scryfall.com/docs/syntax</x:v>
      </x:c>
      <x:c r="R498" s="26" t="str">
        <x:v>2026-08-21</x:v>
      </x:c>
    </x:row>
    <x:row r="499">
      <x:c r="A499" s="26" t="str">
        <x:v>Keywords!A162:C162</x:v>
      </x:c>
      <x:c r="B499" s="26" t="str">
        <x:v>Ability Words</x:v>
      </x:c>
      <x:c r="C499" s="26" t="str">
        <x:v>Grandeur</x:v>
      </x:c>
      <x:c r="D499" s="26" t="str">
        <x:v>Keyword reference</x:v>
      </x:c>
      <x:c r="E499" s="26" t="str">
        <x:v>Grandeur is an ability written as Discard another card named (name of card): (effect). This was designed as a means of reducing the drawback of drawing multiple copies of the same legendary permanent. This ability appears exclusively on timeshifted legendary cards from Future Sight.</x:v>
      </x:c>
      <x:c r="F499" s="26" t="str">
        <x:v>o:"Grandeur"</x:v>
      </x:c>
      <x:c r="G499" s="26" t="str">
        <x:v>Medium</x:v>
      </x:c>
      <x:c r="H499" s="26" t="str">
        <x:v>Ability word</x:v>
      </x:c>
      <x:c r="I499" s="26" t="str">
        <x:v>oracle:</x:v>
      </x:c>
      <x:c r="J499" s="26" t="str">
        <x:v>o:"Grandeur"</x:v>
      </x:c>
      <x:c r="K499" s="26" t="str"/>
      <x:c r="L499" s="26" t="str">
        <x:v>grandeur</x:v>
      </x:c>
      <x:c r="M499" s="26" t="str">
        <x:v>Translate directly</x:v>
      </x:c>
      <x:c r="N499" s="26" t="str">
        <x:v>Production-ready</x:v>
      </x:c>
      <x:c r="O499" s="43" t="n">
        <x:v>0.95</x:v>
      </x:c>
      <x:c r="P499" s="26" t="str">
        <x:v>Ability words are labels in Oracle text; this does not imply every related card uses the label.</x:v>
      </x:c>
      <x:c r="Q499" s="26" t="str">
        <x:v>https://scryfall.com/docs/syntax</x:v>
      </x:c>
      <x:c r="R499" s="26" t="str">
        <x:v>2026-08-21</x:v>
      </x:c>
    </x:row>
    <x:row r="500">
      <x:c r="A500" s="26" t="str">
        <x:v>Keywords!A163:C163</x:v>
      </x:c>
      <x:c r="B500" s="26" t="str">
        <x:v>Ability Words</x:v>
      </x:c>
      <x:c r="C500" s="26" t="str">
        <x:v>Hellbent</x:v>
      </x:c>
      <x:c r="D500" s="26" t="str">
        <x:v>Keyword reference</x:v>
      </x:c>
      <x:c r="E500" s="26" t="str">
        <x:v>Cards with the hellbent ability word have greater effects if their controller has no cards in their hand. Hellbent appears in Dissension and is associated with the Cult of Rakdos; many other cards pertaining to the Cult function better while their controller has fewer cards in hand.</x:v>
      </x:c>
      <x:c r="F500" s="26" t="str">
        <x:v>o:"Hellbent"</x:v>
      </x:c>
      <x:c r="G500" s="26" t="str">
        <x:v>Medium</x:v>
      </x:c>
      <x:c r="H500" s="26" t="str">
        <x:v>Ability word</x:v>
      </x:c>
      <x:c r="I500" s="26" t="str">
        <x:v>oracle:</x:v>
      </x:c>
      <x:c r="J500" s="26" t="str">
        <x:v>o:"Hellbent"</x:v>
      </x:c>
      <x:c r="K500" s="26" t="str"/>
      <x:c r="L500" s="26" t="str">
        <x:v>hellbent</x:v>
      </x:c>
      <x:c r="M500" s="26" t="str">
        <x:v>Translate directly</x:v>
      </x:c>
      <x:c r="N500" s="26" t="str">
        <x:v>Production-ready</x:v>
      </x:c>
      <x:c r="O500" s="43" t="n">
        <x:v>0.95</x:v>
      </x:c>
      <x:c r="P500" s="26" t="str">
        <x:v>Ability words are labels in Oracle text; this does not imply every related card uses the label.</x:v>
      </x:c>
      <x:c r="Q500" s="26" t="str">
        <x:v>https://scryfall.com/docs/syntax</x:v>
      </x:c>
      <x:c r="R500" s="26" t="str">
        <x:v>2026-08-21</x:v>
      </x:c>
    </x:row>
    <x:row r="501">
      <x:c r="A501" s="26" t="str">
        <x:v>Keywords!A164:C164</x:v>
      </x:c>
      <x:c r="B501" s="26" t="str">
        <x:v>Ability Words</x:v>
      </x:c>
      <x:c r="C501" s="26" t="str">
        <x:v>Heroic</x:v>
      </x:c>
      <x:c r="D501" s="26" t="str">
        <x:v>Keyword reference</x:v>
      </x:c>
      <x:c r="E501" s="26" t="str">
        <x:v>Cards with the heroic ability word gain an advantage when targeted with a spell. Although there are many heroic effects, the most common use of this mechanic is to give a creature a +1/+1 counter. This mechanic first appeared with creatures from the Theros block.</x:v>
      </x:c>
      <x:c r="F501" s="26" t="str">
        <x:v>o:"Heroic"</x:v>
      </x:c>
      <x:c r="G501" s="26" t="str">
        <x:v>Medium</x:v>
      </x:c>
      <x:c r="H501" s="26" t="str">
        <x:v>Ability word</x:v>
      </x:c>
      <x:c r="I501" s="26" t="str">
        <x:v>oracle:</x:v>
      </x:c>
      <x:c r="J501" s="26" t="str">
        <x:v>o:"Heroic"</x:v>
      </x:c>
      <x:c r="K501" s="26" t="str"/>
      <x:c r="L501" s="26" t="str">
        <x:v>heroic</x:v>
      </x:c>
      <x:c r="M501" s="26" t="str">
        <x:v>Translate directly</x:v>
      </x:c>
      <x:c r="N501" s="26" t="str">
        <x:v>Production-ready</x:v>
      </x:c>
      <x:c r="O501" s="43" t="n">
        <x:v>0.95</x:v>
      </x:c>
      <x:c r="P501" s="26" t="str">
        <x:v>Ability words are labels in Oracle text; this does not imply every related card uses the label.</x:v>
      </x:c>
      <x:c r="Q501" s="26" t="str">
        <x:v>https://scryfall.com/docs/syntax</x:v>
      </x:c>
      <x:c r="R501" s="26" t="str">
        <x:v>2026-08-21</x:v>
      </x:c>
    </x:row>
    <x:row r="502">
      <x:c r="A502" s="26" t="str">
        <x:v>Keywords!A165:C165</x:v>
      </x:c>
      <x:c r="B502" s="26" t="str">
        <x:v>Ability Words</x:v>
      </x:c>
      <x:c r="C502" s="26" t="str">
        <x:v>Imprint</x:v>
      </x:c>
      <x:c r="D502" s="26" t="str">
        <x:v>Keyword reference</x:v>
      </x:c>
      <x:c r="E502" s="26" t="str">
        <x:v>Imprint is an ability word which only appears on artifacts and creatures. All cards with imprint have either an activated (Cost: Effect) or triggered ability which allows the player to exile a card to grant abilities to the artifact with imprint. Imprint was introduced as a keyword in the Mirrodin block and became an ability word in the Scars of Mirrodin block.</x:v>
      </x:c>
      <x:c r="F502" s="26" t="str">
        <x:v>o:"Imprint"</x:v>
      </x:c>
      <x:c r="G502" s="26" t="str">
        <x:v>Medium</x:v>
      </x:c>
      <x:c r="H502" s="26" t="str">
        <x:v>Ability word</x:v>
      </x:c>
      <x:c r="I502" s="26" t="str">
        <x:v>oracle:</x:v>
      </x:c>
      <x:c r="J502" s="26" t="str">
        <x:v>o:"Imprint"</x:v>
      </x:c>
      <x:c r="K502" s="26" t="str"/>
      <x:c r="L502" s="26" t="str">
        <x:v>imprint</x:v>
      </x:c>
      <x:c r="M502" s="26" t="str">
        <x:v>Translate directly</x:v>
      </x:c>
      <x:c r="N502" s="26" t="str">
        <x:v>Production-ready</x:v>
      </x:c>
      <x:c r="O502" s="43" t="n">
        <x:v>0.95</x:v>
      </x:c>
      <x:c r="P502" s="26" t="str">
        <x:v>Ability words are labels in Oracle text; this does not imply every related card uses the label.</x:v>
      </x:c>
      <x:c r="Q502" s="26" t="str">
        <x:v>https://scryfall.com/docs/syntax</x:v>
      </x:c>
      <x:c r="R502" s="26" t="str">
        <x:v>2026-08-21</x:v>
      </x:c>
    </x:row>
    <x:row r="503">
      <x:c r="A503" s="26" t="str">
        <x:v>Keywords!A166:C166</x:v>
      </x:c>
      <x:c r="B503" s="26" t="str">
        <x:v>Ability Words</x:v>
      </x:c>
      <x:c r="C503" s="26" t="str">
        <x:v>Join forces</x:v>
      </x:c>
      <x:c r="D503" s="26" t="str">
        <x:v>Keyword reference</x:v>
      </x:c>
      <x:c r="E503" s="26" t="str">
        <x:v>Join forces is an ability word geared toward multiplayer variants. An effect denoted with join forces allows all players to contribute to it, usually by paying mana, though that effect might not be mutually beneficial. Join forces appears in Commander.</x:v>
      </x:c>
      <x:c r="F503" s="26" t="str">
        <x:v>o:"Join forces"</x:v>
      </x:c>
      <x:c r="G503" s="26" t="str">
        <x:v>Medium</x:v>
      </x:c>
      <x:c r="H503" s="26" t="str">
        <x:v>Ability word</x:v>
      </x:c>
      <x:c r="I503" s="26" t="str">
        <x:v>oracle:</x:v>
      </x:c>
      <x:c r="J503" s="26" t="str">
        <x:v>o:"Join forces"</x:v>
      </x:c>
      <x:c r="K503" s="26" t="str"/>
      <x:c r="L503" s="26" t="str">
        <x:v>join forces</x:v>
      </x:c>
      <x:c r="M503" s="26" t="str">
        <x:v>Translate directly</x:v>
      </x:c>
      <x:c r="N503" s="26" t="str">
        <x:v>Production-ready</x:v>
      </x:c>
      <x:c r="O503" s="43" t="n">
        <x:v>0.95</x:v>
      </x:c>
      <x:c r="P503" s="26" t="str">
        <x:v>Ability words are labels in Oracle text; this does not imply every related card uses the label.</x:v>
      </x:c>
      <x:c r="Q503" s="26" t="str">
        <x:v>https://scryfall.com/docs/syntax</x:v>
      </x:c>
      <x:c r="R503" s="26" t="str">
        <x:v>2026-08-21</x:v>
      </x:c>
    </x:row>
    <x:row r="504">
      <x:c r="A504" s="26" t="str">
        <x:v>Keywords!A167:C167</x:v>
      </x:c>
      <x:c r="B504" s="26" t="str">
        <x:v>Ability Words</x:v>
      </x:c>
      <x:c r="C504" s="26" t="str">
        <x:v>Kinship</x:v>
      </x:c>
      <x:c r="D504" s="26" t="str">
        <x:v>Keyword reference</x:v>
      </x:c>
      <x:c r="E504" s="26" t="str">
        <x:v>Kinship is an ability word that appears in Morningtide. All cards with kinship are creatures that check, at the beginning of their controller's upkeep, the top card of that player's deck. If it shares a creature type with the creature that has the kinship ability, the player may reveal it for a bonus effect.</x:v>
      </x:c>
      <x:c r="F504" s="26" t="str">
        <x:v>o:"Kinship"</x:v>
      </x:c>
      <x:c r="G504" s="26" t="str">
        <x:v>Medium</x:v>
      </x:c>
      <x:c r="H504" s="26" t="str">
        <x:v>Ability word</x:v>
      </x:c>
      <x:c r="I504" s="26" t="str">
        <x:v>oracle:</x:v>
      </x:c>
      <x:c r="J504" s="26" t="str">
        <x:v>o:"Kinship"</x:v>
      </x:c>
      <x:c r="K504" s="26" t="str"/>
      <x:c r="L504" s="26" t="str">
        <x:v>kinship</x:v>
      </x:c>
      <x:c r="M504" s="26" t="str">
        <x:v>Translate directly</x:v>
      </x:c>
      <x:c r="N504" s="26" t="str">
        <x:v>Production-ready</x:v>
      </x:c>
      <x:c r="O504" s="43" t="n">
        <x:v>0.95</x:v>
      </x:c>
      <x:c r="P504" s="26" t="str">
        <x:v>Ability words are labels in Oracle text; this does not imply every related card uses the label.</x:v>
      </x:c>
      <x:c r="Q504" s="26" t="str">
        <x:v>https://scryfall.com/docs/syntax</x:v>
      </x:c>
      <x:c r="R504" s="26" t="str">
        <x:v>2026-08-21</x:v>
      </x:c>
    </x:row>
    <x:row r="505">
      <x:c r="A505" s="26" t="str">
        <x:v>Keywords!A168:C168</x:v>
      </x:c>
      <x:c r="B505" s="26" t="str">
        <x:v>Ability Words</x:v>
      </x:c>
      <x:c r="C505" s="26" t="str">
        <x:v>Landfall</x:v>
      </x:c>
      <x:c r="D505" s="26" t="str">
        <x:v>Keyword reference</x:v>
      </x:c>
      <x:c r="E505" s="26" t="str">
        <x:v>Landfall is an ability word associated with bonuses given to players for playing lands. Landfall first appeared in Zendikar with abilities of the form Whenever a land enters the battlefield under your control, (effect). The follow-up set, Worldwake, introduced a modified form of landfall on instant cards written as If a land entered the battlefield under your control this turn, (effect).</x:v>
      </x:c>
      <x:c r="F505" s="26" t="str">
        <x:v>o:"Landfall"</x:v>
      </x:c>
      <x:c r="G505" s="26" t="str">
        <x:v>Medium</x:v>
      </x:c>
      <x:c r="H505" s="26" t="str">
        <x:v>Ability word</x:v>
      </x:c>
      <x:c r="I505" s="26" t="str">
        <x:v>oracle:</x:v>
      </x:c>
      <x:c r="J505" s="26" t="str">
        <x:v>o:"Landfall"</x:v>
      </x:c>
      <x:c r="K505" s="26" t="str"/>
      <x:c r="L505" s="26" t="str">
        <x:v>landfall</x:v>
      </x:c>
      <x:c r="M505" s="26" t="str">
        <x:v>Translate directly</x:v>
      </x:c>
      <x:c r="N505" s="26" t="str">
        <x:v>Production-ready</x:v>
      </x:c>
      <x:c r="O505" s="43" t="n">
        <x:v>0.95</x:v>
      </x:c>
      <x:c r="P505" s="26" t="str">
        <x:v>Ability words are labels in Oracle text; this does not imply every related card uses the label.</x:v>
      </x:c>
      <x:c r="Q505" s="26" t="str">
        <x:v>https://scryfall.com/docs/syntax</x:v>
      </x:c>
      <x:c r="R505" s="26" t="str">
        <x:v>2026-08-21</x:v>
      </x:c>
    </x:row>
    <x:row r="506">
      <x:c r="A506" s="26" t="str">
        <x:v>Keywords!A169:C169</x:v>
      </x:c>
      <x:c r="B506" s="26" t="str">
        <x:v>Ability Words</x:v>
      </x:c>
      <x:c r="C506" s="26" t="str">
        <x:v>Metalcraft</x:v>
      </x:c>
      <x:c r="D506" s="26" t="str">
        <x:v>Keyword reference</x:v>
      </x:c>
      <x:c r="E506" s="26" t="str">
        <x:v>Cards with the metalcraft ability word gain an additional effect while their controller controls three or more artifacts. Metalcraft appears in the Scars of Mirrodin block and is associated with the Mirran faction.</x:v>
      </x:c>
      <x:c r="F506" s="26" t="str">
        <x:v>o:"Metalcraft"</x:v>
      </x:c>
      <x:c r="G506" s="26" t="str">
        <x:v>Medium</x:v>
      </x:c>
      <x:c r="H506" s="26" t="str">
        <x:v>Ability word</x:v>
      </x:c>
      <x:c r="I506" s="26" t="str">
        <x:v>oracle:</x:v>
      </x:c>
      <x:c r="J506" s="26" t="str">
        <x:v>o:"Metalcraft"</x:v>
      </x:c>
      <x:c r="K506" s="26" t="str"/>
      <x:c r="L506" s="26" t="str">
        <x:v>metalcraft</x:v>
      </x:c>
      <x:c r="M506" s="26" t="str">
        <x:v>Translate directly</x:v>
      </x:c>
      <x:c r="N506" s="26" t="str">
        <x:v>Production-ready</x:v>
      </x:c>
      <x:c r="O506" s="43" t="n">
        <x:v>0.95</x:v>
      </x:c>
      <x:c r="P506" s="26" t="str">
        <x:v>Ability words are labels in Oracle text; this does not imply every related card uses the label.</x:v>
      </x:c>
      <x:c r="Q506" s="26" t="str">
        <x:v>https://scryfall.com/docs/syntax</x:v>
      </x:c>
      <x:c r="R506" s="26" t="str">
        <x:v>2026-08-21</x:v>
      </x:c>
    </x:row>
    <x:row r="507">
      <x:c r="A507" s="26" t="str">
        <x:v>Keywords!A170:C170</x:v>
      </x:c>
      <x:c r="B507" s="26" t="str">
        <x:v>Ability Words</x:v>
      </x:c>
      <x:c r="C507" s="26" t="str">
        <x:v>Morbid</x:v>
      </x:c>
      <x:c r="D507" s="26" t="str">
        <x:v>Keyword reference</x:v>
      </x:c>
      <x:c r="E507" s="26" t="str">
        <x:v>Cards with the morbid ability word gain an additional effect during a turn in which a creature died. Morbid was introduced in the Innistrad block.</x:v>
      </x:c>
      <x:c r="F507" s="26" t="str">
        <x:v>o:"Morbid"</x:v>
      </x:c>
      <x:c r="G507" s="26" t="str">
        <x:v>Medium</x:v>
      </x:c>
      <x:c r="H507" s="26" t="str">
        <x:v>Ability word</x:v>
      </x:c>
      <x:c r="I507" s="26" t="str">
        <x:v>oracle:</x:v>
      </x:c>
      <x:c r="J507" s="26" t="str">
        <x:v>o:"Morbid"</x:v>
      </x:c>
      <x:c r="K507" s="26" t="str"/>
      <x:c r="L507" s="26" t="str">
        <x:v>morbid</x:v>
      </x:c>
      <x:c r="M507" s="26" t="str">
        <x:v>Translate directly</x:v>
      </x:c>
      <x:c r="N507" s="26" t="str">
        <x:v>Production-ready</x:v>
      </x:c>
      <x:c r="O507" s="43" t="n">
        <x:v>0.95</x:v>
      </x:c>
      <x:c r="P507" s="26" t="str">
        <x:v>Ability words are labels in Oracle text; this does not imply every related card uses the label.</x:v>
      </x:c>
      <x:c r="Q507" s="26" t="str">
        <x:v>https://scryfall.com/docs/syntax</x:v>
      </x:c>
      <x:c r="R507" s="26" t="str">
        <x:v>2026-08-21</x:v>
      </x:c>
    </x:row>
    <x:row r="508">
      <x:c r="A508" s="26" t="str">
        <x:v>Keywords!A171:C171</x:v>
      </x:c>
      <x:c r="B508" s="26" t="str">
        <x:v>Ability Words</x:v>
      </x:c>
      <x:c r="C508" s="26" t="str">
        <x:v>Radiance</x:v>
      </x:c>
      <x:c r="D508" s="26" t="str">
        <x:v>Keyword reference</x:v>
      </x:c>
      <x:c r="E508" s="26" t="str">
        <x:v>The radiance ability word denotes abilities that target one permanent, but affect all permanents of the same type that share a color with the target. Radiance appears in Ravnica: City of Guilds and is associated with the Boros Legion.</x:v>
      </x:c>
      <x:c r="F508" s="26" t="str">
        <x:v>o:"Radiance"</x:v>
      </x:c>
      <x:c r="G508" s="26" t="str">
        <x:v>Medium</x:v>
      </x:c>
      <x:c r="H508" s="26" t="str">
        <x:v>Ability word</x:v>
      </x:c>
      <x:c r="I508" s="26" t="str">
        <x:v>oracle:</x:v>
      </x:c>
      <x:c r="J508" s="26" t="str">
        <x:v>o:"Radiance"</x:v>
      </x:c>
      <x:c r="K508" s="26" t="str"/>
      <x:c r="L508" s="26" t="str">
        <x:v>radiance</x:v>
      </x:c>
      <x:c r="M508" s="26" t="str">
        <x:v>Translate directly</x:v>
      </x:c>
      <x:c r="N508" s="26" t="str">
        <x:v>Production-ready</x:v>
      </x:c>
      <x:c r="O508" s="43" t="n">
        <x:v>0.95</x:v>
      </x:c>
      <x:c r="P508" s="26" t="str">
        <x:v>Ability words are labels in Oracle text; this does not imply every related card uses the label.</x:v>
      </x:c>
      <x:c r="Q508" s="26" t="str">
        <x:v>https://scryfall.com/docs/syntax</x:v>
      </x:c>
      <x:c r="R508" s="26" t="str">
        <x:v>2026-08-21</x:v>
      </x:c>
    </x:row>
    <x:row r="509">
      <x:c r="A509" s="26" t="str">
        <x:v>Keywords!A172:C172</x:v>
      </x:c>
      <x:c r="B509" s="26" t="str">
        <x:v>Ability Words</x:v>
      </x:c>
      <x:c r="C509" s="26" t="str">
        <x:v>Raid</x:v>
      </x:c>
      <x:c r="D509" s="26" t="str">
        <x:v>Keyword reference</x:v>
      </x:c>
      <x:c r="E509" s="26" t="str">
        <x:v>A card with raid gains an additional effect if their controller attacked the turn they are played. Raid is associated with the Mardu and appears in Khans of Tarkir. It has reoccurred as a pirate mechanic in Ixalan.</x:v>
      </x:c>
      <x:c r="F509" s="26" t="str">
        <x:v>o:"Raid"</x:v>
      </x:c>
      <x:c r="G509" s="26" t="str">
        <x:v>Medium</x:v>
      </x:c>
      <x:c r="H509" s="26" t="str">
        <x:v>Ability word</x:v>
      </x:c>
      <x:c r="I509" s="26" t="str">
        <x:v>oracle:</x:v>
      </x:c>
      <x:c r="J509" s="26" t="str">
        <x:v>o:"Raid"</x:v>
      </x:c>
      <x:c r="K509" s="26" t="str"/>
      <x:c r="L509" s="26" t="str">
        <x:v>raid</x:v>
      </x:c>
      <x:c r="M509" s="26" t="str">
        <x:v>Translate directly</x:v>
      </x:c>
      <x:c r="N509" s="26" t="str">
        <x:v>Production-ready</x:v>
      </x:c>
      <x:c r="O509" s="43" t="n">
        <x:v>0.95</x:v>
      </x:c>
      <x:c r="P509" s="26" t="str">
        <x:v>Ability words are labels in Oracle text; this does not imply every related card uses the label.</x:v>
      </x:c>
      <x:c r="Q509" s="26" t="str">
        <x:v>https://scryfall.com/docs/syntax</x:v>
      </x:c>
      <x:c r="R509" s="26" t="str">
        <x:v>2026-08-21</x:v>
      </x:c>
    </x:row>
    <x:row r="510">
      <x:c r="A510" s="26" t="str">
        <x:v>Keywords!A173:C173</x:v>
      </x:c>
      <x:c r="B510" s="26" t="str">
        <x:v>Ability Words</x:v>
      </x:c>
      <x:c r="C510" s="26" t="str">
        <x:v>Rally</x:v>
      </x:c>
      <x:c r="D510" s="26" t="str">
        <x:v>Keyword reference</x:v>
      </x:c>
      <x:c r="E510" s="26" t="str">
        <x:v>The "rally" mechanic was first introduced in the Battle for Zendikar set, and is a keyword given to the abilities of allies from the original Zendikar set. A creature with a rally ability triggers whenever an ally enters the battlefield under their control and gives some kind of bonus to all of that player's creatures, even non-ally creatures.</x:v>
      </x:c>
      <x:c r="F510" s="26" t="str">
        <x:v>o:"Rally"</x:v>
      </x:c>
      <x:c r="G510" s="26" t="str">
        <x:v>Medium</x:v>
      </x:c>
      <x:c r="H510" s="26" t="str">
        <x:v>Ability word</x:v>
      </x:c>
      <x:c r="I510" s="26" t="str">
        <x:v>oracle:</x:v>
      </x:c>
      <x:c r="J510" s="26" t="str">
        <x:v>o:"Rally"</x:v>
      </x:c>
      <x:c r="K510" s="26" t="str"/>
      <x:c r="L510" s="26" t="str">
        <x:v>rally</x:v>
      </x:c>
      <x:c r="M510" s="26" t="str">
        <x:v>Translate directly</x:v>
      </x:c>
      <x:c r="N510" s="26" t="str">
        <x:v>Production-ready</x:v>
      </x:c>
      <x:c r="O510" s="43" t="n">
        <x:v>0.95</x:v>
      </x:c>
      <x:c r="P510" s="26" t="str">
        <x:v>Ability words are labels in Oracle text; this does not imply every related card uses the label.</x:v>
      </x:c>
      <x:c r="Q510" s="26" t="str">
        <x:v>https://scryfall.com/docs/syntax</x:v>
      </x:c>
      <x:c r="R510" s="26" t="str">
        <x:v>2026-08-21</x:v>
      </x:c>
    </x:row>
    <x:row r="511">
      <x:c r="A511" s="26" t="str">
        <x:v>Keywords!A174:C174</x:v>
      </x:c>
      <x:c r="B511" s="26" t="str">
        <x:v>Ability Words</x:v>
      </x:c>
      <x:c r="C511" s="26" t="str">
        <x:v>Shroud</x:v>
      </x:c>
      <x:c r="D511" s="26" t="str">
        <x:v>Keyword reference</x:v>
      </x:c>
      <x:c r="E511" s="26" t="str">
        <x:v>A player or permanent with shroud cannot be the target of spells or abilities (even their own). While the keyword "shroud" was introduced in Future Sight, the ability itself existed long before, first appearing on Spectral Cloak; cards which featured this ability were all issued rules errata to have or grant "shroud". Creatures with shroud are most often on blue or green cards. It had been supplanted completely by the more flexible Hexproof but has appeared sporadically, including reprinted cards (with the most recent non-Universes Beyond reprint to contain Shroud being Lightning Greaves from the set Tarkir Dragonstorm), to a reappearance in the card Smoke Bomb, from the Universes Beyond set, Assassin's Creed.</x:v>
      </x:c>
      <x:c r="F511" s="26" t="str">
        <x:v>o:"Shroud"</x:v>
      </x:c>
      <x:c r="G511" s="26" t="str">
        <x:v>Medium</x:v>
      </x:c>
      <x:c r="H511" s="26" t="str">
        <x:v>Ability word</x:v>
      </x:c>
      <x:c r="I511" s="26" t="str">
        <x:v>oracle:</x:v>
      </x:c>
      <x:c r="J511" s="26" t="str">
        <x:v>o:"Shroud"</x:v>
      </x:c>
      <x:c r="K511" s="26" t="str"/>
      <x:c r="L511" s="26" t="str">
        <x:v>shroud</x:v>
      </x:c>
      <x:c r="M511" s="26" t="str">
        <x:v>Translate directly</x:v>
      </x:c>
      <x:c r="N511" s="26" t="str">
        <x:v>Production-ready</x:v>
      </x:c>
      <x:c r="O511" s="43" t="n">
        <x:v>0.95</x:v>
      </x:c>
      <x:c r="P511" s="26" t="str">
        <x:v>Ability words are labels in Oracle text; this does not imply every related card uses the label.</x:v>
      </x:c>
      <x:c r="Q511" s="26" t="str">
        <x:v>https://scryfall.com/docs/syntax</x:v>
      </x:c>
      <x:c r="R511" s="26" t="str">
        <x:v>2026-08-21</x:v>
      </x:c>
    </x:row>
    <x:row r="512">
      <x:c r="A512" s="26" t="str">
        <x:v>Keywords!A175:C175</x:v>
      </x:c>
      <x:c r="B512" s="26" t="str">
        <x:v>Ability Words</x:v>
      </x:c>
      <x:c r="C512" s="26" t="str">
        <x:v>Sweep</x:v>
      </x:c>
      <x:c r="D512" s="26" t="str">
        <x:v>Keyword reference</x:v>
      </x:c>
      <x:c r="E512" s="26" t="str">
        <x:v>Sweep is an ability word used on spells with effects which can be strengthened by returning any number of lands of a single basic land type to their owners' hands. Sweep only appears on four cards in Saviors of Kamigawa. Mark Rosewater has opined that labeling this mechanic with an ability word was "a mistake".</x:v>
      </x:c>
      <x:c r="F512" s="26" t="str">
        <x:v>o:"Sweep"</x:v>
      </x:c>
      <x:c r="G512" s="26" t="str">
        <x:v>Medium</x:v>
      </x:c>
      <x:c r="H512" s="26" t="str">
        <x:v>Ability word</x:v>
      </x:c>
      <x:c r="I512" s="26" t="str">
        <x:v>oracle:</x:v>
      </x:c>
      <x:c r="J512" s="26" t="str">
        <x:v>o:"Sweep"</x:v>
      </x:c>
      <x:c r="K512" s="26" t="str"/>
      <x:c r="L512" s="26" t="str">
        <x:v>sweep</x:v>
      </x:c>
      <x:c r="M512" s="26" t="str">
        <x:v>Translate directly</x:v>
      </x:c>
      <x:c r="N512" s="26" t="str">
        <x:v>Production-ready</x:v>
      </x:c>
      <x:c r="O512" s="43" t="n">
        <x:v>0.95</x:v>
      </x:c>
      <x:c r="P512" s="26" t="str">
        <x:v>Ability words are labels in Oracle text; this does not imply every related card uses the label.</x:v>
      </x:c>
      <x:c r="Q512" s="26" t="str">
        <x:v>https://scryfall.com/docs/syntax</x:v>
      </x:c>
      <x:c r="R512" s="26" t="str">
        <x:v>2026-08-21</x:v>
      </x:c>
    </x:row>
    <x:row r="513">
      <x:c r="A513" s="26" t="str">
        <x:v>Keywords!A176:C176</x:v>
      </x:c>
      <x:c r="B513" s="26" t="str">
        <x:v>Ability Words</x:v>
      </x:c>
      <x:c r="C513" s="26" t="str">
        <x:v>Threshold</x:v>
      </x:c>
      <x:c r="D513" s="26" t="str">
        <x:v>Keyword reference</x:v>
      </x:c>
      <x:c r="E513" s="26" t="str">
        <x:v>This ability was originally written Threshold — ability. Whenever a player has seven or more cards in the graveyard, their cards gain any threshold abilities they might have. A player cannot activate an ability tied to threshold unless they have seven or more cards in the graveyard. Threshold appears in Odyssey block and on some timeshifted cards in Time Spiral. With the release of Time Spiral, Threshold ceased to be a keyworded mechanic. It was redefined to be an ability word with no rules meaning.</x:v>
      </x:c>
      <x:c r="F513" s="26" t="str">
        <x:v>o:"Threshold"</x:v>
      </x:c>
      <x:c r="G513" s="26" t="str">
        <x:v>Medium</x:v>
      </x:c>
      <x:c r="H513" s="26" t="str">
        <x:v>Ability word</x:v>
      </x:c>
      <x:c r="I513" s="26" t="str">
        <x:v>oracle:</x:v>
      </x:c>
      <x:c r="J513" s="26" t="str">
        <x:v>o:"Threshold"</x:v>
      </x:c>
      <x:c r="K513" s="26" t="str"/>
      <x:c r="L513" s="26" t="str">
        <x:v>threshold</x:v>
      </x:c>
      <x:c r="M513" s="26" t="str">
        <x:v>Translate directly</x:v>
      </x:c>
      <x:c r="N513" s="26" t="str">
        <x:v>Production-ready</x:v>
      </x:c>
      <x:c r="O513" s="43" t="n">
        <x:v>0.95</x:v>
      </x:c>
      <x:c r="P513" s="26" t="str">
        <x:v>Ability words are labels in Oracle text; this does not imply every related card uses the label.</x:v>
      </x:c>
      <x:c r="Q513" s="26" t="str">
        <x:v>https://scryfall.com/docs/syntax</x:v>
      </x:c>
      <x:c r="R513" s="26" t="str">
        <x:v>2026-08-21</x:v>
      </x:c>
    </x:row>
    <x:row r="514">
      <x:c r="A514" s="26" t="str">
        <x:v>Keywords!A177:C177</x:v>
      </x:c>
      <x:c r="B514" s="26" t="str">
        <x:v>Ability Words</x:v>
      </x:c>
      <x:c r="C514" s="26" t="str">
        <x:v>Undergrowth</x:v>
      </x:c>
      <x:c r="D514" s="26" t="str">
        <x:v>Keyword reference</x:v>
      </x:c>
      <x:c r="E514" s="26" t="str">
        <x:v>Undergrowth provides benefits depending on the number of creatures in the player's graveyard. This mechanic appears in Guilds of Ravnica and is associated with the Golgari Swarm.</x:v>
      </x:c>
      <x:c r="F514" s="26" t="str">
        <x:v>o:"Undergrowth"</x:v>
      </x:c>
      <x:c r="G514" s="26" t="str">
        <x:v>Medium</x:v>
      </x:c>
      <x:c r="H514" s="26" t="str">
        <x:v>Ability word</x:v>
      </x:c>
      <x:c r="I514" s="26" t="str">
        <x:v>oracle:</x:v>
      </x:c>
      <x:c r="J514" s="26" t="str">
        <x:v>o:"Undergrowth"</x:v>
      </x:c>
      <x:c r="K514" s="26" t="str"/>
      <x:c r="L514" s="26" t="str">
        <x:v>undergrowth</x:v>
      </x:c>
      <x:c r="M514" s="26" t="str">
        <x:v>Translate directly</x:v>
      </x:c>
      <x:c r="N514" s="26" t="str">
        <x:v>Production-ready</x:v>
      </x:c>
      <x:c r="O514" s="43" t="n">
        <x:v>0.95</x:v>
      </x:c>
      <x:c r="P514" s="26" t="str">
        <x:v>Ability words are labels in Oracle text; this does not imply every related card uses the label.</x:v>
      </x:c>
      <x:c r="Q514" s="26" t="str">
        <x:v>https://scryfall.com/docs/syntax</x:v>
      </x:c>
      <x:c r="R514" s="26" t="str">
        <x:v>2026-08-21</x:v>
      </x:c>
    </x:row>
    <x:row r="515">
      <x:c r="A515" s="26" t="str">
        <x:v>Keywords!A178:C178</x:v>
      </x:c>
      <x:c r="B515" s="26" t="str">
        <x:v>Discontinued Keywords</x:v>
      </x:c>
      <x:c r="C515" s="26" t="str">
        <x:v>Banding</x:v>
      </x:c>
      <x:c r="D515" s="26" t="str">
        <x:v>Keyword reference</x:v>
      </x:c>
      <x:c r="E515" s="26" t="str">
        <x:v>Banding is an ability that has defensive and offensive functions. A defending player determines how combat damage is dealt by an opposing creature if at least one of the creatures blocking has banding (without banding, the attacking player determines this). An attacking player may form "bands" of creatures with banding, which may also include one non-banding creature. If one creature in the band becomes blocked, the whole band becomes blocked as well, whether or not the defender could block other creatures in the band. This can allow many small creatures to "gang up" on a single bigger creature that would survive blocking any one of these smaller creatures. Banding appears primarily in white cards. Weatherlight was the last set to print cards with banding; Mark Rosewater has since indicated that the ability was retired because "[even] the top players in the world [...] were confused by banding."</x:v>
      </x:c>
      <x:c r="F515" s="26" t="str">
        <x:v>o:"Banding"</x:v>
      </x:c>
      <x:c r="G515" s="26" t="str">
        <x:v>Medium</x:v>
      </x:c>
      <x:c r="H515" s="26" t="str">
        <x:v>Named keyword / mechanic</x:v>
      </x:c>
      <x:c r="I515" s="26" t="str">
        <x:v>keyword: preferred</x:v>
      </x:c>
      <x:c r="J515" s="26" t="str">
        <x:v>kw:Banding</x:v>
      </x:c>
      <x:c r="K515" s="26" t="str">
        <x:v>o:"Banding"</x:v>
      </x:c>
      <x:c r="L515" s="26" t="str">
        <x:v>banding</x:v>
      </x:c>
      <x:c r="M515" s="26" t="str">
        <x:v>Translate, but retain fallback</x:v>
      </x:c>
      <x:c r="N515" s="26" t="str">
        <x:v>Review</x:v>
      </x:c>
      <x:c r="O515" s="43" t="n">
        <x:v>0.88</x:v>
      </x:c>
      <x:c r="P515" s="26" t="str">
        <x:v>Mechanic taxonomy evolves; validate edge cases where the source list mixes keyword abilities, actions, or layouts.</x:v>
      </x:c>
      <x:c r="Q515" s="26" t="str">
        <x:v>https://scryfall.com/docs/syntax</x:v>
      </x:c>
      <x:c r="R515" s="26" t="str">
        <x:v>2026-08-21</x:v>
      </x:c>
    </x:row>
    <x:row r="516">
      <x:c r="A516" s="26" t="str">
        <x:v>Keywords!A179:C179</x:v>
      </x:c>
      <x:c r="B516" s="26" t="str">
        <x:v>Discontinued Keywords</x:v>
      </x:c>
      <x:c r="C516" s="26" t="str">
        <x:v>Bury</x:v>
      </x:c>
      <x:c r="D516" s="26" t="str">
        <x:v>Keyword reference</x:v>
      </x:c>
      <x:c r="E516" s="26" t="str">
        <x:v>The term bury or buried was used in some early sets, where it served as shorthand for a two-part effect: destroying a permanent, and preventing that permanent from regenerating. It is still functionally present in the game, with newer cards using a complete explanation for each part of the effect. (e.g. "Destroy target creature. It cannot be regenerated.") Bury is found only in sets prior to Tempest; all cards which contained the term have been issued new wording to use either a "destroy" or "sacrifice" effect.</x:v>
      </x:c>
      <x:c r="F516" s="26" t="str">
        <x:v>o:"Bury"</x:v>
      </x:c>
      <x:c r="G516" s="26" t="str">
        <x:v>Medium</x:v>
      </x:c>
      <x:c r="H516" s="26" t="str">
        <x:v>Named keyword / mechanic</x:v>
      </x:c>
      <x:c r="I516" s="26" t="str">
        <x:v>keyword: preferred</x:v>
      </x:c>
      <x:c r="J516" s="26" t="str">
        <x:v>kw:Bury</x:v>
      </x:c>
      <x:c r="K516" s="26" t="str">
        <x:v>o:"Bury"</x:v>
      </x:c>
      <x:c r="L516" s="26" t="str">
        <x:v>bury</x:v>
      </x:c>
      <x:c r="M516" s="26" t="str">
        <x:v>Translate, but retain fallback</x:v>
      </x:c>
      <x:c r="N516" s="26" t="str">
        <x:v>Review</x:v>
      </x:c>
      <x:c r="O516" s="43" t="n">
        <x:v>0.88</x:v>
      </x:c>
      <x:c r="P516" s="26" t="str">
        <x:v>Mechanic taxonomy evolves; validate edge cases where the source list mixes keyword abilities, actions, or layouts.</x:v>
      </x:c>
      <x:c r="Q516" s="26" t="str">
        <x:v>https://scryfall.com/docs/syntax</x:v>
      </x:c>
      <x:c r="R516" s="26" t="str">
        <x:v>2026-08-21</x:v>
      </x:c>
    </x:row>
    <x:row r="517">
      <x:c r="A517" s="26" t="str">
        <x:v>Keywords!A180:C180</x:v>
      </x:c>
      <x:c r="B517" s="26" t="str">
        <x:v>Discontinued Keywords</x:v>
      </x:c>
      <x:c r="C517" s="26" t="str">
        <x:v>Fear</x:v>
      </x:c>
      <x:c r="D517" s="26" t="str">
        <x:v>Keyword reference</x:v>
      </x:c>
      <x:c r="E517" s="26" t="str">
        <x:v>Fear is an example of "retroactive keywording", meaning it was an ability that had existed long before it was given a keyword; its eponymous card, Fear, was in the original set Limited Edition Alpha. Creatures with fear cannot be blocked except by black creatures and by artifact creatures. Fear has almost always appeared on black creatures. Fear was replaced as a viable keyword by intimidate.</x:v>
      </x:c>
      <x:c r="F517" s="26" t="str">
        <x:v>o:"Fear"</x:v>
      </x:c>
      <x:c r="G517" s="26" t="str">
        <x:v>Medium</x:v>
      </x:c>
      <x:c r="H517" s="26" t="str">
        <x:v>Named keyword / mechanic</x:v>
      </x:c>
      <x:c r="I517" s="26" t="str">
        <x:v>keyword: preferred</x:v>
      </x:c>
      <x:c r="J517" s="26" t="str">
        <x:v>kw:Fear</x:v>
      </x:c>
      <x:c r="K517" s="26" t="str">
        <x:v>o:"Fear"</x:v>
      </x:c>
      <x:c r="L517" s="26" t="str">
        <x:v>fear</x:v>
      </x:c>
      <x:c r="M517" s="26" t="str">
        <x:v>Translate, but retain fallback</x:v>
      </x:c>
      <x:c r="N517" s="26" t="str">
        <x:v>Review</x:v>
      </x:c>
      <x:c r="O517" s="43" t="n">
        <x:v>0.88</x:v>
      </x:c>
      <x:c r="P517" s="26" t="str">
        <x:v>Mechanic taxonomy evolves; validate edge cases where the source list mixes keyword abilities, actions, or layouts.</x:v>
      </x:c>
      <x:c r="Q517" s="26" t="str">
        <x:v>https://scryfall.com/docs/syntax</x:v>
      </x:c>
      <x:c r="R517" s="26" t="str">
        <x:v>2026-08-21</x:v>
      </x:c>
    </x:row>
    <x:row r="518">
      <x:c r="A518" s="26" t="str">
        <x:v>Keywords!A181:C181</x:v>
      </x:c>
      <x:c r="B518" s="26" t="str">
        <x:v>Discontinued Keywords</x:v>
      </x:c>
      <x:c r="C518" s="26" t="str">
        <x:v>Intimidate</x:v>
      </x:c>
      <x:c r="D518" s="26" t="str">
        <x:v>Keyword reference</x:v>
      </x:c>
      <x:c r="E518" s="26" t="str">
        <x:v>A creature with intimidate cannot be blocked except by artifact creatures and creatures that share a color with it. It first appeared in Zendikar. In 2009, intimidate was announced as an evergreen keyword to replace fear, though it did not appear in a Core Set until Hideous Visage was printed in Magic 2012. As with fear, intimidate appeared on predominantly black colors, but did appear on other colors, particularly red. With Magic Origins, intimidate was phased out and supplanted by menace.</x:v>
      </x:c>
      <x:c r="F518" s="26" t="str">
        <x:v>o:"Intimidate"</x:v>
      </x:c>
      <x:c r="G518" s="26" t="str">
        <x:v>Medium</x:v>
      </x:c>
      <x:c r="H518" s="26" t="str">
        <x:v>Named keyword / mechanic</x:v>
      </x:c>
      <x:c r="I518" s="26" t="str">
        <x:v>keyword: preferred</x:v>
      </x:c>
      <x:c r="J518" s="26" t="str">
        <x:v>kw:Intimidate</x:v>
      </x:c>
      <x:c r="K518" s="26" t="str">
        <x:v>o:"Intimidate"</x:v>
      </x:c>
      <x:c r="L518" s="26" t="str">
        <x:v>intimidate</x:v>
      </x:c>
      <x:c r="M518" s="26" t="str">
        <x:v>Translate, but retain fallback</x:v>
      </x:c>
      <x:c r="N518" s="26" t="str">
        <x:v>Review</x:v>
      </x:c>
      <x:c r="O518" s="43" t="n">
        <x:v>0.88</x:v>
      </x:c>
      <x:c r="P518" s="26" t="str">
        <x:v>Mechanic taxonomy evolves; validate edge cases where the source list mixes keyword abilities, actions, or layouts.</x:v>
      </x:c>
      <x:c r="Q518" s="26" t="str">
        <x:v>https://scryfall.com/docs/syntax</x:v>
      </x:c>
      <x:c r="R518" s="26" t="str">
        <x:v>2026-08-21</x:v>
      </x:c>
    </x:row>
    <x:row r="519">
      <x:c r="A519" s="26" t="str">
        <x:v>Keywords!A182:C182</x:v>
      </x:c>
      <x:c r="B519" s="26" t="str">
        <x:v>Discontinued Keywords</x:v>
      </x:c>
      <x:c r="C519" s="26" t="str">
        <x:v>Landhome</x:v>
      </x:c>
      <x:c r="D519" s="26" t="str">
        <x:v>Keyword reference</x:v>
      </x:c>
      <x:c r="E519" s="26" t="str">
        <x:v>This ability is written as (land type) home. A creature with landhome may only attack a player who controls a land of the specified land type, and must be sacrificed if its controller does not control at least one land of that same type. The ability was present since the Limited Editions of the game, and was first keyworded in Mirage with Kukemssa Serpent. The keyworded ability was only printed on blue cards of the "islandhome" variety. The last card to be printed with a keyworded landhome ability was Manta Ray from Weatherlight. Landhome is unique in that it is the only printed keyworded ability to later be retroactively removed from the rules. While cards which previously had landhome still feature the associated restrictions, they have been issued errata replacing the keyword "landhome" with rules text describing the abilities.</x:v>
      </x:c>
      <x:c r="F519" s="26" t="str">
        <x:v>o:"Landhome"</x:v>
      </x:c>
      <x:c r="G519" s="26" t="str">
        <x:v>Medium</x:v>
      </x:c>
      <x:c r="H519" s="26" t="str">
        <x:v>Named keyword / mechanic</x:v>
      </x:c>
      <x:c r="I519" s="26" t="str">
        <x:v>keyword: preferred</x:v>
      </x:c>
      <x:c r="J519" s="26" t="str">
        <x:v>kw:Landhome</x:v>
      </x:c>
      <x:c r="K519" s="26" t="str">
        <x:v>o:"Landhome"</x:v>
      </x:c>
      <x:c r="L519" s="26" t="str">
        <x:v>landhome</x:v>
      </x:c>
      <x:c r="M519" s="26" t="str">
        <x:v>Translate, but retain fallback</x:v>
      </x:c>
      <x:c r="N519" s="26" t="str">
        <x:v>Review</x:v>
      </x:c>
      <x:c r="O519" s="43" t="n">
        <x:v>0.88</x:v>
      </x:c>
      <x:c r="P519" s="26" t="str">
        <x:v>Mechanic taxonomy evolves; validate edge cases where the source list mixes keyword abilities, actions, or layouts.</x:v>
      </x:c>
      <x:c r="Q519" s="26" t="str">
        <x:v>https://scryfall.com/docs/syntax</x:v>
      </x:c>
      <x:c r="R519" s="26" t="str">
        <x:v>2026-08-21</x:v>
      </x:c>
    </x:row>
    <x:row r="520">
      <x:c r="A520" s="26" t="str">
        <x:v>Keywords!A183:C183</x:v>
      </x:c>
      <x:c r="B520" s="26" t="str">
        <x:v>Discontinued Keywords</x:v>
      </x:c>
      <x:c r="C520" s="26" t="str">
        <x:v>Landwalk</x:v>
      </x:c>
      <x:c r="D520" s="26" t="str">
        <x:v>Keyword reference</x:v>
      </x:c>
      <x:c r="E520" s="26" t="str">
        <x:v>This ability is written as (Land type) walk. A creature with this ability can not be blocked while the defending player controls at least one land with the printed land type (e.g. a creature with swampwalk can not be blocked if the opponent has a swamp on the battlefield). This ability is somewhat rare, with swampwalk and plainswalk being the most and least common, respectively. Landwalk is not limited to the five basic lands; for example, cards with legendary landwalk, snow landwalk, and nonbasic landwalk have been printed. Landwalk was discontinued with Magic Origins.</x:v>
      </x:c>
      <x:c r="F520" s="26" t="str">
        <x:v>o:"Landwalk"</x:v>
      </x:c>
      <x:c r="G520" s="26" t="str">
        <x:v>Medium</x:v>
      </x:c>
      <x:c r="H520" s="26" t="str">
        <x:v>Named keyword / mechanic</x:v>
      </x:c>
      <x:c r="I520" s="26" t="str">
        <x:v>keyword: preferred</x:v>
      </x:c>
      <x:c r="J520" s="26" t="str">
        <x:v>kw:Landwalk</x:v>
      </x:c>
      <x:c r="K520" s="26" t="str">
        <x:v>o:"Landwalk"</x:v>
      </x:c>
      <x:c r="L520" s="26" t="str">
        <x:v>landwalk</x:v>
      </x:c>
      <x:c r="M520" s="26" t="str">
        <x:v>Translate, but retain fallback</x:v>
      </x:c>
      <x:c r="N520" s="26" t="str">
        <x:v>Review</x:v>
      </x:c>
      <x:c r="O520" s="43" t="n">
        <x:v>0.88</x:v>
      </x:c>
      <x:c r="P520" s="26" t="str">
        <x:v>Mechanic taxonomy evolves; validate edge cases where the source list mixes keyword abilities, actions, or layouts.</x:v>
      </x:c>
      <x:c r="Q520" s="26" t="str">
        <x:v>https://scryfall.com/docs/syntax</x:v>
      </x:c>
      <x:c r="R520" s="26" t="str">
        <x:v>2026-08-21</x:v>
      </x:c>
    </x:row>
    <x:row r="521">
      <x:c r="A521" s="26" t="str">
        <x:v>Keywords!A184:C184</x:v>
      </x:c>
      <x:c r="B521" s="26" t="str">
        <x:v>Discontinued Keywords</x:v>
      </x:c>
      <x:c r="C521" s="26" t="str">
        <x:v>Phasing</x:v>
      </x:c>
      <x:c r="D521" s="26" t="str">
        <x:v>Keyword reference</x:v>
      </x:c>
      <x:c r="E521" s="26" t="str">
        <x:v>Phasing introduced a new rule to the game. Cards with the status "phased out" are treated as though they do not exist except for cards that specifically interact with phased-out cards. At the beginning of each player's turn, all permanents the player controls which have phasing become "phased out", along with anything attached to the phasing cards. Any cards the player controls which were phased out become "phased in" and return to the battlefield at the same time. Phasing in or out does not tap or untap the permanent. A token that phases out ceases to exist, while anything attached to it phases out and does not phase in on the token's controller's next turn. Phasing appears in the Mirage block. Phasing returned on the card Teferi's Protection in The Vampiric Bloodlust Deck in Commander 2017. Additionally, rules for phasing changes with this release allowing tokens to return rather than ceasing to exist when phased out.</x:v>
      </x:c>
      <x:c r="F521" s="26" t="str">
        <x:v>o:"Phasing"</x:v>
      </x:c>
      <x:c r="G521" s="26" t="str">
        <x:v>Medium</x:v>
      </x:c>
      <x:c r="H521" s="26" t="str">
        <x:v>Named keyword / mechanic</x:v>
      </x:c>
      <x:c r="I521" s="26" t="str">
        <x:v>keyword: preferred</x:v>
      </x:c>
      <x:c r="J521" s="26" t="str">
        <x:v>kw:Phasing</x:v>
      </x:c>
      <x:c r="K521" s="26" t="str">
        <x:v>o:"Phasing"</x:v>
      </x:c>
      <x:c r="L521" s="26" t="str">
        <x:v>phasing</x:v>
      </x:c>
      <x:c r="M521" s="26" t="str">
        <x:v>Translate, but retain fallback</x:v>
      </x:c>
      <x:c r="N521" s="26" t="str">
        <x:v>Review</x:v>
      </x:c>
      <x:c r="O521" s="43" t="n">
        <x:v>0.88</x:v>
      </x:c>
      <x:c r="P521" s="26" t="str">
        <x:v>Mechanic taxonomy evolves; validate edge cases where the source list mixes keyword abilities, actions, or layouts.</x:v>
      </x:c>
      <x:c r="Q521" s="26" t="str">
        <x:v>https://scryfall.com/docs/syntax</x:v>
      </x:c>
      <x:c r="R521" s="26" t="str">
        <x:v>2026-08-21</x:v>
      </x:c>
    </x:row>
    <x:row r="522">
      <x:c r="A522" s="26" t="str">
        <x:v>Keywords!A185:C185</x:v>
      </x:c>
      <x:c r="B522" s="26" t="str">
        <x:v>Discontinued Keywords</x:v>
      </x:c>
      <x:c r="C522" s="26" t="str">
        <x:v>Regenerate</x:v>
      </x:c>
      <x:c r="D522" s="26" t="str">
        <x:v>Keyword reference</x:v>
      </x:c>
      <x:c r="E522" s="26" t="str">
        <x:v>Regenerate represented two related keyword actions. An ability such as "Regenerate [this creature]" could be activated; in this context "regenerate" means "set up a regeneration shield", which protects the affected permanent from the next time it would be destroyed (either due to damage or to "destroy" effects). Instead of being destroyed, the permanent would become tapped and be removed from combat. The second keyword action refers to when this actually occurs: cards like Skeleton Scavengers have a delayed triggered ability that only triggers when the creature has a destroy effect prevented by its regeneration ability. This ability was generally found on creatures, though any permanent can be regenerated.</x:v>
      </x:c>
      <x:c r="F522" s="26" t="str">
        <x:v>o:"Regenerate"</x:v>
      </x:c>
      <x:c r="G522" s="26" t="str">
        <x:v>Medium</x:v>
      </x:c>
      <x:c r="H522" s="26" t="str">
        <x:v>Named keyword / mechanic</x:v>
      </x:c>
      <x:c r="I522" s="26" t="str">
        <x:v>keyword: preferred</x:v>
      </x:c>
      <x:c r="J522" s="26" t="str">
        <x:v>kw:Regenerate</x:v>
      </x:c>
      <x:c r="K522" s="26" t="str">
        <x:v>o:"Regenerate"</x:v>
      </x:c>
      <x:c r="L522" s="26" t="str">
        <x:v>regenerate</x:v>
      </x:c>
      <x:c r="M522" s="26" t="str">
        <x:v>Translate, but retain fallback</x:v>
      </x:c>
      <x:c r="N522" s="26" t="str">
        <x:v>Review</x:v>
      </x:c>
      <x:c r="O522" s="43" t="n">
        <x:v>0.88</x:v>
      </x:c>
      <x:c r="P522" s="26" t="str">
        <x:v>Mechanic taxonomy evolves; validate edge cases where the source list mixes keyword abilities, actions, or layouts.</x:v>
      </x:c>
      <x:c r="Q522" s="26" t="str">
        <x:v>https://scryfall.com/docs/syntax</x:v>
      </x:c>
      <x:c r="R522" s="26" t="str">
        <x:v>2026-08-21</x:v>
      </x:c>
    </x:row>
    <x:row r="523">
      <x:c r="A523" s="26" t="str">
        <x:v>Keywords!A186:C186</x:v>
      </x:c>
      <x:c r="B523" s="26" t="str">
        <x:v>Discontinued Keywords</x:v>
      </x:c>
      <x:c r="C523" s="26" t="str">
        <x:v>Substance</x:v>
      </x:c>
      <x:c r="D523" s="26" t="str">
        <x:v>Keyword reference</x:v>
      </x:c>
      <x:c r="E523" s="26" t="str">
        <x:v>Substance was a static ability with no effect which was never printed on a Magic card. It was originally created for the Magic: The Gathering Online release of Mirage, as a cycle of cards such as Armor of Thorns did not work as originally intended under the rules established with the release of 6th Edition. These cards were all enchantments that could be played as instants, but only lasted for one turn if played as an instant. Under the newer rules, the original wording would cause the enchantment to leave the battlefield before damage was removed from creatures. The creation of substance restored the cards' intended functionality. With the rule changes announced in July 2009, all cards edited to use this keyword were re-edited to no longer use it. The official text of such cards now refers to the cleanup step explicitly. This maintained the same functionality as the substance keyword, but without some unintended rules quirks.</x:v>
      </x:c>
      <x:c r="F523" s="26" t="str">
        <x:v>o:"Substance"</x:v>
      </x:c>
      <x:c r="G523" s="26" t="str">
        <x:v>Medium</x:v>
      </x:c>
      <x:c r="H523" s="26" t="str">
        <x:v>Named keyword / mechanic</x:v>
      </x:c>
      <x:c r="I523" s="26" t="str">
        <x:v>keyword: preferred</x:v>
      </x:c>
      <x:c r="J523" s="26" t="str">
        <x:v>kw:Substance</x:v>
      </x:c>
      <x:c r="K523" s="26" t="str">
        <x:v>o:"Substance"</x:v>
      </x:c>
      <x:c r="L523" s="26" t="str">
        <x:v>substance</x:v>
      </x:c>
      <x:c r="M523" s="26" t="str">
        <x:v>Translate, but retain fallback</x:v>
      </x:c>
      <x:c r="N523" s="26" t="str">
        <x:v>Review</x:v>
      </x:c>
      <x:c r="O523" s="43" t="n">
        <x:v>0.88</x:v>
      </x:c>
      <x:c r="P523" s="26" t="str">
        <x:v>Mechanic taxonomy evolves; validate edge cases where the source list mixes keyword abilities, actions, or layouts.</x:v>
      </x:c>
      <x:c r="Q523" s="26" t="str">
        <x:v>https://scryfall.com/docs/syntax</x:v>
      </x:c>
      <x:c r="R523" s="26" t="str">
        <x:v>2026-08-21</x:v>
      </x:c>
    </x:row>
    <x:row r="524">
      <x:c r="A524" s="26" t="str">
        <x:v>AbilityWords!A2</x:v>
      </x:c>
      <x:c r="B524" s="26" t="str">
        <x:v>Ability Word</x:v>
      </x:c>
      <x:c r="C524" s="26" t="str">
        <x:v>Ability word</x:v>
      </x:c>
      <x:c r="D524" s="26" t="str">
        <x:v>Rules-text label</x:v>
      </x:c>
      <x:c r="E524" s="26"/>
      <x:c r="F524" s="26" t="str">
        <x:v>o:"Ability word"</x:v>
      </x:c>
      <x:c r="G524" s="26" t="str">
        <x:v>Medium</x:v>
      </x:c>
      <x:c r="H524" s="26" t="str">
        <x:v>Ability word</x:v>
      </x:c>
      <x:c r="I524" s="26" t="str">
        <x:v>oracle:</x:v>
      </x:c>
      <x:c r="J524" s="26" t="str">
        <x:v>o:"Ability word"</x:v>
      </x:c>
      <x:c r="K524" s="26" t="str"/>
      <x:c r="L524" s="26" t="str">
        <x:v>ability word</x:v>
      </x:c>
      <x:c r="M524" s="26" t="str">
        <x:v>Translate directly</x:v>
      </x:c>
      <x:c r="N524" s="26" t="str">
        <x:v>Production-ready</x:v>
      </x:c>
      <x:c r="O524" s="43" t="n">
        <x:v>0.95</x:v>
      </x:c>
      <x:c r="P524" s="26" t="str">
        <x:v>Ability words are labels in Oracle text; this does not imply every related card uses the label.</x:v>
      </x:c>
      <x:c r="Q524" s="26" t="str">
        <x:v>https://scryfall.com/docs/syntax</x:v>
      </x:c>
      <x:c r="R524" s="26" t="str">
        <x:v>2026-08-21</x:v>
      </x:c>
    </x:row>
    <x:row r="525">
      <x:c r="A525" s="26" t="str">
        <x:v>AbilityWords!A3</x:v>
      </x:c>
      <x:c r="B525" s="26" t="str">
        <x:v>Ability Word</x:v>
      </x:c>
      <x:c r="C525" s="26" t="str">
        <x:v>Adamant</x:v>
      </x:c>
      <x:c r="D525" s="26" t="str">
        <x:v>Rules-text label</x:v>
      </x:c>
      <x:c r="E525" s="26"/>
      <x:c r="F525" s="26" t="str">
        <x:v>o:"Adamant"</x:v>
      </x:c>
      <x:c r="G525" s="26" t="str">
        <x:v>Medium</x:v>
      </x:c>
      <x:c r="H525" s="26" t="str">
        <x:v>Ability word</x:v>
      </x:c>
      <x:c r="I525" s="26" t="str">
        <x:v>oracle:</x:v>
      </x:c>
      <x:c r="J525" s="26" t="str">
        <x:v>o:"Adamant"</x:v>
      </x:c>
      <x:c r="K525" s="26" t="str"/>
      <x:c r="L525" s="26" t="str">
        <x:v>adamant</x:v>
      </x:c>
      <x:c r="M525" s="26" t="str">
        <x:v>Translate directly</x:v>
      </x:c>
      <x:c r="N525" s="26" t="str">
        <x:v>Production-ready</x:v>
      </x:c>
      <x:c r="O525" s="43" t="n">
        <x:v>0.95</x:v>
      </x:c>
      <x:c r="P525" s="26" t="str">
        <x:v>Ability words are labels in Oracle text; this does not imply every related card uses the label.</x:v>
      </x:c>
      <x:c r="Q525" s="26" t="str">
        <x:v>https://scryfall.com/docs/syntax</x:v>
      </x:c>
      <x:c r="R525" s="26" t="str">
        <x:v>2026-08-21</x:v>
      </x:c>
    </x:row>
    <x:row r="526">
      <x:c r="A526" s="26" t="str">
        <x:v>AbilityWords!A4</x:v>
      </x:c>
      <x:c r="B526" s="26" t="str">
        <x:v>Ability Word</x:v>
      </x:c>
      <x:c r="C526" s="26" t="str">
        <x:v>Addendum</x:v>
      </x:c>
      <x:c r="D526" s="26" t="str">
        <x:v>Rules-text label</x:v>
      </x:c>
      <x:c r="E526" s="26"/>
      <x:c r="F526" s="26" t="str">
        <x:v>o:"Addendum"</x:v>
      </x:c>
      <x:c r="G526" s="26" t="str">
        <x:v>Medium</x:v>
      </x:c>
      <x:c r="H526" s="26" t="str">
        <x:v>Ability word</x:v>
      </x:c>
      <x:c r="I526" s="26" t="str">
        <x:v>oracle:</x:v>
      </x:c>
      <x:c r="J526" s="26" t="str">
        <x:v>o:"Addendum"</x:v>
      </x:c>
      <x:c r="K526" s="26" t="str"/>
      <x:c r="L526" s="26" t="str">
        <x:v>addendum</x:v>
      </x:c>
      <x:c r="M526" s="26" t="str">
        <x:v>Translate directly</x:v>
      </x:c>
      <x:c r="N526" s="26" t="str">
        <x:v>Production-ready</x:v>
      </x:c>
      <x:c r="O526" s="43" t="n">
        <x:v>0.95</x:v>
      </x:c>
      <x:c r="P526" s="26" t="str">
        <x:v>Ability words are labels in Oracle text; this does not imply every related card uses the label.</x:v>
      </x:c>
      <x:c r="Q526" s="26" t="str">
        <x:v>https://scryfall.com/docs/syntax</x:v>
      </x:c>
      <x:c r="R526" s="26" t="str">
        <x:v>2026-08-21</x:v>
      </x:c>
    </x:row>
    <x:row r="527">
      <x:c r="A527" s="26" t="str">
        <x:v>AbilityWords!A5</x:v>
      </x:c>
      <x:c r="B527" s="26" t="str">
        <x:v>Ability Word</x:v>
      </x:c>
      <x:c r="C527" s="26" t="str">
        <x:v>Alliance</x:v>
      </x:c>
      <x:c r="D527" s="26" t="str">
        <x:v>Rules-text label</x:v>
      </x:c>
      <x:c r="E527" s="26"/>
      <x:c r="F527" s="26" t="str">
        <x:v>o:"Alliance"</x:v>
      </x:c>
      <x:c r="G527" s="26" t="str">
        <x:v>Medium</x:v>
      </x:c>
      <x:c r="H527" s="26" t="str">
        <x:v>Ability word</x:v>
      </x:c>
      <x:c r="I527" s="26" t="str">
        <x:v>oracle:</x:v>
      </x:c>
      <x:c r="J527" s="26" t="str">
        <x:v>o:"Alliance"</x:v>
      </x:c>
      <x:c r="K527" s="26" t="str"/>
      <x:c r="L527" s="26" t="str">
        <x:v>alliance</x:v>
      </x:c>
      <x:c r="M527" s="26" t="str">
        <x:v>Translate directly</x:v>
      </x:c>
      <x:c r="N527" s="26" t="str">
        <x:v>Production-ready</x:v>
      </x:c>
      <x:c r="O527" s="43" t="n">
        <x:v>0.95</x:v>
      </x:c>
      <x:c r="P527" s="26" t="str">
        <x:v>Ability words are labels in Oracle text; this does not imply every related card uses the label.</x:v>
      </x:c>
      <x:c r="Q527" s="26" t="str">
        <x:v>https://scryfall.com/docs/syntax</x:v>
      </x:c>
      <x:c r="R527" s="26" t="str">
        <x:v>2026-08-21</x:v>
      </x:c>
    </x:row>
    <x:row r="528">
      <x:c r="A528" s="26" t="str">
        <x:v>AbilityWords!A6</x:v>
      </x:c>
      <x:c r="B528" s="26" t="str">
        <x:v>Ability Word</x:v>
      </x:c>
      <x:c r="C528" s="26" t="str">
        <x:v>Battalion</x:v>
      </x:c>
      <x:c r="D528" s="26" t="str">
        <x:v>Rules-text label</x:v>
      </x:c>
      <x:c r="E528" s="26"/>
      <x:c r="F528" s="26" t="str">
        <x:v>o:"Battalion"</x:v>
      </x:c>
      <x:c r="G528" s="26" t="str">
        <x:v>Medium</x:v>
      </x:c>
      <x:c r="H528" s="26" t="str">
        <x:v>Ability word</x:v>
      </x:c>
      <x:c r="I528" s="26" t="str">
        <x:v>oracle:</x:v>
      </x:c>
      <x:c r="J528" s="26" t="str">
        <x:v>o:"Battalion"</x:v>
      </x:c>
      <x:c r="K528" s="26" t="str"/>
      <x:c r="L528" s="26" t="str">
        <x:v>battalion</x:v>
      </x:c>
      <x:c r="M528" s="26" t="str">
        <x:v>Translate directly</x:v>
      </x:c>
      <x:c r="N528" s="26" t="str">
        <x:v>Production-ready</x:v>
      </x:c>
      <x:c r="O528" s="43" t="n">
        <x:v>0.95</x:v>
      </x:c>
      <x:c r="P528" s="26" t="str">
        <x:v>Ability words are labels in Oracle text; this does not imply every related card uses the label.</x:v>
      </x:c>
      <x:c r="Q528" s="26" t="str">
        <x:v>https://scryfall.com/docs/syntax</x:v>
      </x:c>
      <x:c r="R528" s="26" t="str">
        <x:v>2026-08-21</x:v>
      </x:c>
    </x:row>
    <x:row r="529">
      <x:c r="A529" s="26" t="str">
        <x:v>AbilityWords!A7</x:v>
      </x:c>
      <x:c r="B529" s="26" t="str">
        <x:v>Ability Word</x:v>
      </x:c>
      <x:c r="C529" s="26" t="str">
        <x:v>Bloodrush</x:v>
      </x:c>
      <x:c r="D529" s="26" t="str">
        <x:v>Rules-text label</x:v>
      </x:c>
      <x:c r="E529" s="26"/>
      <x:c r="F529" s="26" t="str">
        <x:v>o:"Bloodrush"</x:v>
      </x:c>
      <x:c r="G529" s="26" t="str">
        <x:v>Medium</x:v>
      </x:c>
      <x:c r="H529" s="26" t="str">
        <x:v>Ability word</x:v>
      </x:c>
      <x:c r="I529" s="26" t="str">
        <x:v>oracle:</x:v>
      </x:c>
      <x:c r="J529" s="26" t="str">
        <x:v>o:"Bloodrush"</x:v>
      </x:c>
      <x:c r="K529" s="26" t="str"/>
      <x:c r="L529" s="26" t="str">
        <x:v>bloodrush</x:v>
      </x:c>
      <x:c r="M529" s="26" t="str">
        <x:v>Translate directly</x:v>
      </x:c>
      <x:c r="N529" s="26" t="str">
        <x:v>Production-ready</x:v>
      </x:c>
      <x:c r="O529" s="43" t="n">
        <x:v>0.95</x:v>
      </x:c>
      <x:c r="P529" s="26" t="str">
        <x:v>Ability words are labels in Oracle text; this does not imply every related card uses the label.</x:v>
      </x:c>
      <x:c r="Q529" s="26" t="str">
        <x:v>https://scryfall.com/docs/syntax</x:v>
      </x:c>
      <x:c r="R529" s="26" t="str">
        <x:v>2026-08-21</x:v>
      </x:c>
    </x:row>
    <x:row r="530">
      <x:c r="A530" s="26" t="str">
        <x:v>AbilityWords!A8</x:v>
      </x:c>
      <x:c r="B530" s="26" t="str">
        <x:v>Ability Word</x:v>
      </x:c>
      <x:c r="C530" s="26" t="str">
        <x:v>Celebration</x:v>
      </x:c>
      <x:c r="D530" s="26" t="str">
        <x:v>Rules-text label</x:v>
      </x:c>
      <x:c r="E530" s="26"/>
      <x:c r="F530" s="26" t="str">
        <x:v>o:"Celebration"</x:v>
      </x:c>
      <x:c r="G530" s="26" t="str">
        <x:v>Medium</x:v>
      </x:c>
      <x:c r="H530" s="26" t="str">
        <x:v>Ability word</x:v>
      </x:c>
      <x:c r="I530" s="26" t="str">
        <x:v>oracle:</x:v>
      </x:c>
      <x:c r="J530" s="26" t="str">
        <x:v>o:"Celebration"</x:v>
      </x:c>
      <x:c r="K530" s="26" t="str"/>
      <x:c r="L530" s="26" t="str">
        <x:v>celebration</x:v>
      </x:c>
      <x:c r="M530" s="26" t="str">
        <x:v>Translate directly</x:v>
      </x:c>
      <x:c r="N530" s="26" t="str">
        <x:v>Production-ready</x:v>
      </x:c>
      <x:c r="O530" s="43" t="n">
        <x:v>0.95</x:v>
      </x:c>
      <x:c r="P530" s="26" t="str">
        <x:v>Ability words are labels in Oracle text; this does not imply every related card uses the label.</x:v>
      </x:c>
      <x:c r="Q530" s="26" t="str">
        <x:v>https://scryfall.com/docs/syntax</x:v>
      </x:c>
      <x:c r="R530" s="26" t="str">
        <x:v>2026-08-21</x:v>
      </x:c>
    </x:row>
    <x:row r="531">
      <x:c r="A531" s="26" t="str">
        <x:v>AbilityWords!A9</x:v>
      </x:c>
      <x:c r="B531" s="26" t="str">
        <x:v>Ability Word</x:v>
      </x:c>
      <x:c r="C531" s="26" t="str">
        <x:v>Channel</x:v>
      </x:c>
      <x:c r="D531" s="26" t="str">
        <x:v>Rules-text label</x:v>
      </x:c>
      <x:c r="E531" s="26"/>
      <x:c r="F531" s="26" t="str">
        <x:v>o:"Channel"</x:v>
      </x:c>
      <x:c r="G531" s="26" t="str">
        <x:v>Medium</x:v>
      </x:c>
      <x:c r="H531" s="26" t="str">
        <x:v>Ability word</x:v>
      </x:c>
      <x:c r="I531" s="26" t="str">
        <x:v>oracle:</x:v>
      </x:c>
      <x:c r="J531" s="26" t="str">
        <x:v>o:"Channel"</x:v>
      </x:c>
      <x:c r="K531" s="26" t="str"/>
      <x:c r="L531" s="26" t="str">
        <x:v>channel</x:v>
      </x:c>
      <x:c r="M531" s="26" t="str">
        <x:v>Translate directly</x:v>
      </x:c>
      <x:c r="N531" s="26" t="str">
        <x:v>Production-ready</x:v>
      </x:c>
      <x:c r="O531" s="43" t="n">
        <x:v>0.95</x:v>
      </x:c>
      <x:c r="P531" s="26" t="str">
        <x:v>Ability words are labels in Oracle text; this does not imply every related card uses the label.</x:v>
      </x:c>
      <x:c r="Q531" s="26" t="str">
        <x:v>https://scryfall.com/docs/syntax</x:v>
      </x:c>
      <x:c r="R531" s="26" t="str">
        <x:v>2026-08-21</x:v>
      </x:c>
    </x:row>
    <x:row r="532">
      <x:c r="A532" s="26" t="str">
        <x:v>AbilityWords!A10</x:v>
      </x:c>
      <x:c r="B532" s="26" t="str">
        <x:v>Ability Word</x:v>
      </x:c>
      <x:c r="C532" s="26" t="str">
        <x:v>Chroma</x:v>
      </x:c>
      <x:c r="D532" s="26" t="str">
        <x:v>Rules-text label</x:v>
      </x:c>
      <x:c r="E532" s="26"/>
      <x:c r="F532" s="26" t="str">
        <x:v>o:"Chroma"</x:v>
      </x:c>
      <x:c r="G532" s="26" t="str">
        <x:v>Medium</x:v>
      </x:c>
      <x:c r="H532" s="26" t="str">
        <x:v>Ability word</x:v>
      </x:c>
      <x:c r="I532" s="26" t="str">
        <x:v>oracle:</x:v>
      </x:c>
      <x:c r="J532" s="26" t="str">
        <x:v>o:"Chroma"</x:v>
      </x:c>
      <x:c r="K532" s="26" t="str"/>
      <x:c r="L532" s="26" t="str">
        <x:v>chroma</x:v>
      </x:c>
      <x:c r="M532" s="26" t="str">
        <x:v>Translate directly</x:v>
      </x:c>
      <x:c r="N532" s="26" t="str">
        <x:v>Production-ready</x:v>
      </x:c>
      <x:c r="O532" s="43" t="n">
        <x:v>0.95</x:v>
      </x:c>
      <x:c r="P532" s="26" t="str">
        <x:v>Ability words are labels in Oracle text; this does not imply every related card uses the label.</x:v>
      </x:c>
      <x:c r="Q532" s="26" t="str">
        <x:v>https://scryfall.com/docs/syntax</x:v>
      </x:c>
      <x:c r="R532" s="26" t="str">
        <x:v>2026-08-21</x:v>
      </x:c>
    </x:row>
    <x:row r="533">
      <x:c r="A533" s="26" t="str">
        <x:v>AbilityWords!A11</x:v>
      </x:c>
      <x:c r="B533" s="26" t="str">
        <x:v>Ability Word</x:v>
      </x:c>
      <x:c r="C533" s="26" t="str">
        <x:v>Cohort</x:v>
      </x:c>
      <x:c r="D533" s="26" t="str">
        <x:v>Rules-text label</x:v>
      </x:c>
      <x:c r="E533" s="26"/>
      <x:c r="F533" s="26" t="str">
        <x:v>o:"Cohort"</x:v>
      </x:c>
      <x:c r="G533" s="26" t="str">
        <x:v>Medium</x:v>
      </x:c>
      <x:c r="H533" s="26" t="str">
        <x:v>Ability word</x:v>
      </x:c>
      <x:c r="I533" s="26" t="str">
        <x:v>oracle:</x:v>
      </x:c>
      <x:c r="J533" s="26" t="str">
        <x:v>o:"Cohort"</x:v>
      </x:c>
      <x:c r="K533" s="26" t="str"/>
      <x:c r="L533" s="26" t="str">
        <x:v>cohort</x:v>
      </x:c>
      <x:c r="M533" s="26" t="str">
        <x:v>Translate directly</x:v>
      </x:c>
      <x:c r="N533" s="26" t="str">
        <x:v>Production-ready</x:v>
      </x:c>
      <x:c r="O533" s="43" t="n">
        <x:v>0.95</x:v>
      </x:c>
      <x:c r="P533" s="26" t="str">
        <x:v>Ability words are labels in Oracle text; this does not imply every related card uses the label.</x:v>
      </x:c>
      <x:c r="Q533" s="26" t="str">
        <x:v>https://scryfall.com/docs/syntax</x:v>
      </x:c>
      <x:c r="R533" s="26" t="str">
        <x:v>2026-08-21</x:v>
      </x:c>
    </x:row>
    <x:row r="534">
      <x:c r="A534" s="26" t="str">
        <x:v>AbilityWords!A12</x:v>
      </x:c>
      <x:c r="B534" s="26" t="str">
        <x:v>Ability Word</x:v>
      </x:c>
      <x:c r="C534" s="26" t="str">
        <x:v>Constellation</x:v>
      </x:c>
      <x:c r="D534" s="26" t="str">
        <x:v>Rules-text label</x:v>
      </x:c>
      <x:c r="E534" s="26"/>
      <x:c r="F534" s="26" t="str">
        <x:v>o:"Constellation"</x:v>
      </x:c>
      <x:c r="G534" s="26" t="str">
        <x:v>Medium</x:v>
      </x:c>
      <x:c r="H534" s="26" t="str">
        <x:v>Ability word</x:v>
      </x:c>
      <x:c r="I534" s="26" t="str">
        <x:v>oracle:</x:v>
      </x:c>
      <x:c r="J534" s="26" t="str">
        <x:v>o:"Constellation"</x:v>
      </x:c>
      <x:c r="K534" s="26" t="str"/>
      <x:c r="L534" s="26" t="str">
        <x:v>constellation</x:v>
      </x:c>
      <x:c r="M534" s="26" t="str">
        <x:v>Translate directly</x:v>
      </x:c>
      <x:c r="N534" s="26" t="str">
        <x:v>Production-ready</x:v>
      </x:c>
      <x:c r="O534" s="43" t="n">
        <x:v>0.95</x:v>
      </x:c>
      <x:c r="P534" s="26" t="str">
        <x:v>Ability words are labels in Oracle text; this does not imply every related card uses the label.</x:v>
      </x:c>
      <x:c r="Q534" s="26" t="str">
        <x:v>https://scryfall.com/docs/syntax</x:v>
      </x:c>
      <x:c r="R534" s="26" t="str">
        <x:v>2026-08-21</x:v>
      </x:c>
    </x:row>
    <x:row r="535">
      <x:c r="A535" s="26" t="str">
        <x:v>AbilityWords!A13</x:v>
      </x:c>
      <x:c r="B535" s="26" t="str">
        <x:v>Ability Word</x:v>
      </x:c>
      <x:c r="C535" s="26" t="str">
        <x:v>Converge</x:v>
      </x:c>
      <x:c r="D535" s="26" t="str">
        <x:v>Rules-text label</x:v>
      </x:c>
      <x:c r="E535" s="26"/>
      <x:c r="F535" s="26" t="str">
        <x:v>o:"Converge"</x:v>
      </x:c>
      <x:c r="G535" s="26" t="str">
        <x:v>Medium</x:v>
      </x:c>
      <x:c r="H535" s="26" t="str">
        <x:v>Ability word</x:v>
      </x:c>
      <x:c r="I535" s="26" t="str">
        <x:v>oracle:</x:v>
      </x:c>
      <x:c r="J535" s="26" t="str">
        <x:v>o:"Converge"</x:v>
      </x:c>
      <x:c r="K535" s="26" t="str"/>
      <x:c r="L535" s="26" t="str">
        <x:v>converge</x:v>
      </x:c>
      <x:c r="M535" s="26" t="str">
        <x:v>Translate directly</x:v>
      </x:c>
      <x:c r="N535" s="26" t="str">
        <x:v>Production-ready</x:v>
      </x:c>
      <x:c r="O535" s="43" t="n">
        <x:v>0.95</x:v>
      </x:c>
      <x:c r="P535" s="26" t="str">
        <x:v>Ability words are labels in Oracle text; this does not imply every related card uses the label.</x:v>
      </x:c>
      <x:c r="Q535" s="26" t="str">
        <x:v>https://scryfall.com/docs/syntax</x:v>
      </x:c>
      <x:c r="R535" s="26" t="str">
        <x:v>2026-08-21</x:v>
      </x:c>
    </x:row>
    <x:row r="536">
      <x:c r="A536" s="26" t="str">
        <x:v>AbilityWords!A14</x:v>
      </x:c>
      <x:c r="B536" s="26" t="str">
        <x:v>Ability Word</x:v>
      </x:c>
      <x:c r="C536" s="26" t="str">
        <x:v>Corrupted</x:v>
      </x:c>
      <x:c r="D536" s="26" t="str">
        <x:v>Rules-text label</x:v>
      </x:c>
      <x:c r="E536" s="26"/>
      <x:c r="F536" s="26" t="str">
        <x:v>o:"Corrupted"</x:v>
      </x:c>
      <x:c r="G536" s="26" t="str">
        <x:v>Medium</x:v>
      </x:c>
      <x:c r="H536" s="26" t="str">
        <x:v>Ability word</x:v>
      </x:c>
      <x:c r="I536" s="26" t="str">
        <x:v>oracle:</x:v>
      </x:c>
      <x:c r="J536" s="26" t="str">
        <x:v>o:"Corrupted"</x:v>
      </x:c>
      <x:c r="K536" s="26" t="str"/>
      <x:c r="L536" s="26" t="str">
        <x:v>corrupted</x:v>
      </x:c>
      <x:c r="M536" s="26" t="str">
        <x:v>Translate directly</x:v>
      </x:c>
      <x:c r="N536" s="26" t="str">
        <x:v>Production-ready</x:v>
      </x:c>
      <x:c r="O536" s="43" t="n">
        <x:v>0.95</x:v>
      </x:c>
      <x:c r="P536" s="26" t="str">
        <x:v>Ability words are labels in Oracle text; this does not imply every related card uses the label.</x:v>
      </x:c>
      <x:c r="Q536" s="26" t="str">
        <x:v>https://scryfall.com/docs/syntax</x:v>
      </x:c>
      <x:c r="R536" s="26" t="str">
        <x:v>2026-08-21</x:v>
      </x:c>
    </x:row>
    <x:row r="537">
      <x:c r="A537" s="26" t="str">
        <x:v>AbilityWords!A15</x:v>
      </x:c>
      <x:c r="B537" s="26" t="str">
        <x:v>Ability Word</x:v>
      </x:c>
      <x:c r="C537" s="26" t="str">
        <x:v>Council's dilemma</x:v>
      </x:c>
      <x:c r="D537" s="26" t="str">
        <x:v>Rules-text label</x:v>
      </x:c>
      <x:c r="E537" s="26"/>
      <x:c r="F537" s="26" t="str">
        <x:v>o:"Council's dilemma"</x:v>
      </x:c>
      <x:c r="G537" s="26" t="str">
        <x:v>Medium</x:v>
      </x:c>
      <x:c r="H537" s="26" t="str">
        <x:v>Ability word</x:v>
      </x:c>
      <x:c r="I537" s="26" t="str">
        <x:v>oracle:</x:v>
      </x:c>
      <x:c r="J537" s="26" t="str">
        <x:v>o:"Council's dilemma"</x:v>
      </x:c>
      <x:c r="K537" s="26" t="str"/>
      <x:c r="L537" s="26" t="str">
        <x:v>council's dilemma</x:v>
      </x:c>
      <x:c r="M537" s="26" t="str">
        <x:v>Translate directly</x:v>
      </x:c>
      <x:c r="N537" s="26" t="str">
        <x:v>Production-ready</x:v>
      </x:c>
      <x:c r="O537" s="43" t="n">
        <x:v>0.95</x:v>
      </x:c>
      <x:c r="P537" s="26" t="str">
        <x:v>Ability words are labels in Oracle text; this does not imply every related card uses the label.</x:v>
      </x:c>
      <x:c r="Q537" s="26" t="str">
        <x:v>https://scryfall.com/docs/syntax</x:v>
      </x:c>
      <x:c r="R537" s="26" t="str">
        <x:v>2026-08-21</x:v>
      </x:c>
    </x:row>
    <x:row r="538">
      <x:c r="A538" s="26" t="str">
        <x:v>AbilityWords!A16</x:v>
      </x:c>
      <x:c r="B538" s="26" t="str">
        <x:v>Ability Word</x:v>
      </x:c>
      <x:c r="C538" s="26" t="str">
        <x:v>Coven</x:v>
      </x:c>
      <x:c r="D538" s="26" t="str">
        <x:v>Rules-text label</x:v>
      </x:c>
      <x:c r="E538" s="26"/>
      <x:c r="F538" s="26" t="str">
        <x:v>o:"Coven"</x:v>
      </x:c>
      <x:c r="G538" s="26" t="str">
        <x:v>Medium</x:v>
      </x:c>
      <x:c r="H538" s="26" t="str">
        <x:v>Ability word</x:v>
      </x:c>
      <x:c r="I538" s="26" t="str">
        <x:v>oracle:</x:v>
      </x:c>
      <x:c r="J538" s="26" t="str">
        <x:v>o:"Coven"</x:v>
      </x:c>
      <x:c r="K538" s="26" t="str"/>
      <x:c r="L538" s="26" t="str">
        <x:v>coven</x:v>
      </x:c>
      <x:c r="M538" s="26" t="str">
        <x:v>Translate directly</x:v>
      </x:c>
      <x:c r="N538" s="26" t="str">
        <x:v>Production-ready</x:v>
      </x:c>
      <x:c r="O538" s="43" t="n">
        <x:v>0.95</x:v>
      </x:c>
      <x:c r="P538" s="26" t="str">
        <x:v>Ability words are labels in Oracle text; this does not imply every related card uses the label.</x:v>
      </x:c>
      <x:c r="Q538" s="26" t="str">
        <x:v>https://scryfall.com/docs/syntax</x:v>
      </x:c>
      <x:c r="R538" s="26" t="str">
        <x:v>2026-08-21</x:v>
      </x:c>
    </x:row>
    <x:row r="539">
      <x:c r="A539" s="26" t="str">
        <x:v>AbilityWords!A17</x:v>
      </x:c>
      <x:c r="B539" s="26" t="str">
        <x:v>Ability Word</x:v>
      </x:c>
      <x:c r="C539" s="26" t="str">
        <x:v>Covercast</x:v>
      </x:c>
      <x:c r="D539" s="26" t="str">
        <x:v>Rules-text label</x:v>
      </x:c>
      <x:c r="E539" s="26"/>
      <x:c r="F539" s="26" t="str">
        <x:v>o:"Covercast"</x:v>
      </x:c>
      <x:c r="G539" s="26" t="str">
        <x:v>Medium</x:v>
      </x:c>
      <x:c r="H539" s="26" t="str">
        <x:v>Ability word</x:v>
      </x:c>
      <x:c r="I539" s="26" t="str">
        <x:v>oracle:</x:v>
      </x:c>
      <x:c r="J539" s="26" t="str">
        <x:v>o:"Covercast"</x:v>
      </x:c>
      <x:c r="K539" s="26" t="str"/>
      <x:c r="L539" s="26" t="str">
        <x:v>covercast</x:v>
      </x:c>
      <x:c r="M539" s="26" t="str">
        <x:v>Translate directly</x:v>
      </x:c>
      <x:c r="N539" s="26" t="str">
        <x:v>Production-ready</x:v>
      </x:c>
      <x:c r="O539" s="43" t="n">
        <x:v>0.95</x:v>
      </x:c>
      <x:c r="P539" s="26" t="str">
        <x:v>Ability words are labels in Oracle text; this does not imply every related card uses the label.</x:v>
      </x:c>
      <x:c r="Q539" s="26" t="str">
        <x:v>https://scryfall.com/docs/syntax</x:v>
      </x:c>
      <x:c r="R539" s="26" t="str">
        <x:v>2026-08-21</x:v>
      </x:c>
    </x:row>
    <x:row r="540">
      <x:c r="A540" s="26" t="str">
        <x:v>AbilityWords!A18</x:v>
      </x:c>
      <x:c r="B540" s="26" t="str">
        <x:v>Ability Word</x:v>
      </x:c>
      <x:c r="C540" s="26" t="str">
        <x:v>Craft</x:v>
      </x:c>
      <x:c r="D540" s="26" t="str">
        <x:v>Rules-text label</x:v>
      </x:c>
      <x:c r="E540" s="26"/>
      <x:c r="F540" s="26" t="str">
        <x:v>o:"Craft"</x:v>
      </x:c>
      <x:c r="G540" s="26" t="str">
        <x:v>Medium</x:v>
      </x:c>
      <x:c r="H540" s="26" t="str">
        <x:v>Ability word</x:v>
      </x:c>
      <x:c r="I540" s="26" t="str">
        <x:v>oracle:</x:v>
      </x:c>
      <x:c r="J540" s="26" t="str">
        <x:v>o:"Craft"</x:v>
      </x:c>
      <x:c r="K540" s="26" t="str"/>
      <x:c r="L540" s="26" t="str">
        <x:v>craft</x:v>
      </x:c>
      <x:c r="M540" s="26" t="str">
        <x:v>Translate directly</x:v>
      </x:c>
      <x:c r="N540" s="26" t="str">
        <x:v>Production-ready</x:v>
      </x:c>
      <x:c r="O540" s="43" t="n">
        <x:v>0.95</x:v>
      </x:c>
      <x:c r="P540" s="26" t="str">
        <x:v>Ability words are labels in Oracle text; this does not imply every related card uses the label.</x:v>
      </x:c>
      <x:c r="Q540" s="26" t="str">
        <x:v>https://scryfall.com/docs/syntax</x:v>
      </x:c>
      <x:c r="R540" s="26" t="str">
        <x:v>2026-08-21</x:v>
      </x:c>
    </x:row>
    <x:row r="541">
      <x:c r="A541" s="26" t="str">
        <x:v>AbilityWords!A19</x:v>
      </x:c>
      <x:c r="B541" s="26" t="str">
        <x:v>Ability Word</x:v>
      </x:c>
      <x:c r="C541" s="26" t="str">
        <x:v>Delirium</x:v>
      </x:c>
      <x:c r="D541" s="26" t="str">
        <x:v>Rules-text label</x:v>
      </x:c>
      <x:c r="E541" s="26"/>
      <x:c r="F541" s="26" t="str">
        <x:v>o:"Delirium"</x:v>
      </x:c>
      <x:c r="G541" s="26" t="str">
        <x:v>Medium</x:v>
      </x:c>
      <x:c r="H541" s="26" t="str">
        <x:v>Ability word</x:v>
      </x:c>
      <x:c r="I541" s="26" t="str">
        <x:v>oracle:</x:v>
      </x:c>
      <x:c r="J541" s="26" t="str">
        <x:v>o:"Delirium"</x:v>
      </x:c>
      <x:c r="K541" s="26" t="str"/>
      <x:c r="L541" s="26" t="str">
        <x:v>delirium</x:v>
      </x:c>
      <x:c r="M541" s="26" t="str">
        <x:v>Translate directly</x:v>
      </x:c>
      <x:c r="N541" s="26" t="str">
        <x:v>Production-ready</x:v>
      </x:c>
      <x:c r="O541" s="43" t="n">
        <x:v>0.95</x:v>
      </x:c>
      <x:c r="P541" s="26" t="str">
        <x:v>Ability words are labels in Oracle text; this does not imply every related card uses the label.</x:v>
      </x:c>
      <x:c r="Q541" s="26" t="str">
        <x:v>https://scryfall.com/docs/syntax</x:v>
      </x:c>
      <x:c r="R541" s="26" t="str">
        <x:v>2026-08-21</x:v>
      </x:c>
    </x:row>
    <x:row r="542">
      <x:c r="A542" s="26" t="str">
        <x:v>AbilityWords!A20</x:v>
      </x:c>
      <x:c r="B542" s="26" t="str">
        <x:v>Ability Word</x:v>
      </x:c>
      <x:c r="C542" s="26" t="str">
        <x:v>Descend</x:v>
      </x:c>
      <x:c r="D542" s="26" t="str">
        <x:v>Rules-text label</x:v>
      </x:c>
      <x:c r="E542" s="26"/>
      <x:c r="F542" s="26" t="str">
        <x:v>o:"Descend"</x:v>
      </x:c>
      <x:c r="G542" s="26" t="str">
        <x:v>Medium</x:v>
      </x:c>
      <x:c r="H542" s="26" t="str">
        <x:v>Ability word</x:v>
      </x:c>
      <x:c r="I542" s="26" t="str">
        <x:v>oracle:</x:v>
      </x:c>
      <x:c r="J542" s="26" t="str">
        <x:v>o:"Descend"</x:v>
      </x:c>
      <x:c r="K542" s="26" t="str"/>
      <x:c r="L542" s="26" t="str">
        <x:v>descend</x:v>
      </x:c>
      <x:c r="M542" s="26" t="str">
        <x:v>Translate directly</x:v>
      </x:c>
      <x:c r="N542" s="26" t="str">
        <x:v>Production-ready</x:v>
      </x:c>
      <x:c r="O542" s="43" t="n">
        <x:v>0.95</x:v>
      </x:c>
      <x:c r="P542" s="26" t="str">
        <x:v>Ability words are labels in Oracle text; this does not imply every related card uses the label.</x:v>
      </x:c>
      <x:c r="Q542" s="26" t="str">
        <x:v>https://scryfall.com/docs/syntax</x:v>
      </x:c>
      <x:c r="R542" s="26" t="str">
        <x:v>2026-08-21</x:v>
      </x:c>
    </x:row>
    <x:row r="543">
      <x:c r="A543" s="26" t="str">
        <x:v>AbilityWords!A21</x:v>
      </x:c>
      <x:c r="B543" s="26" t="str">
        <x:v>Ability Word</x:v>
      </x:c>
      <x:c r="C543" s="26" t="str">
        <x:v>Disappear</x:v>
      </x:c>
      <x:c r="D543" s="26" t="str">
        <x:v>Rules-text label</x:v>
      </x:c>
      <x:c r="E543" s="26"/>
      <x:c r="F543" s="26" t="str">
        <x:v>o:"Disappear"</x:v>
      </x:c>
      <x:c r="G543" s="26" t="str">
        <x:v>Medium</x:v>
      </x:c>
      <x:c r="H543" s="26" t="str">
        <x:v>Ability word</x:v>
      </x:c>
      <x:c r="I543" s="26" t="str">
        <x:v>oracle:</x:v>
      </x:c>
      <x:c r="J543" s="26" t="str">
        <x:v>o:"Disappear"</x:v>
      </x:c>
      <x:c r="K543" s="26" t="str"/>
      <x:c r="L543" s="26" t="str">
        <x:v>disappear</x:v>
      </x:c>
      <x:c r="M543" s="26" t="str">
        <x:v>Translate directly</x:v>
      </x:c>
      <x:c r="N543" s="26" t="str">
        <x:v>Production-ready</x:v>
      </x:c>
      <x:c r="O543" s="43" t="n">
        <x:v>0.95</x:v>
      </x:c>
      <x:c r="P543" s="26" t="str">
        <x:v>Ability words are labels in Oracle text; this does not imply every related card uses the label.</x:v>
      </x:c>
      <x:c r="Q543" s="26" t="str">
        <x:v>https://scryfall.com/docs/syntax</x:v>
      </x:c>
      <x:c r="R543" s="26" t="str">
        <x:v>2026-08-21</x:v>
      </x:c>
    </x:row>
    <x:row r="544">
      <x:c r="A544" s="26" t="str">
        <x:v>AbilityWords!A22</x:v>
      </x:c>
      <x:c r="B544" s="26" t="str">
        <x:v>Ability Word</x:v>
      </x:c>
      <x:c r="C544" s="26" t="str">
        <x:v>Domain</x:v>
      </x:c>
      <x:c r="D544" s="26" t="str">
        <x:v>Rules-text label</x:v>
      </x:c>
      <x:c r="E544" s="26"/>
      <x:c r="F544" s="26" t="str">
        <x:v>o:"Domain"</x:v>
      </x:c>
      <x:c r="G544" s="26" t="str">
        <x:v>Medium</x:v>
      </x:c>
      <x:c r="H544" s="26" t="str">
        <x:v>Ability word</x:v>
      </x:c>
      <x:c r="I544" s="26" t="str">
        <x:v>oracle:</x:v>
      </x:c>
      <x:c r="J544" s="26" t="str">
        <x:v>o:"Domain"</x:v>
      </x:c>
      <x:c r="K544" s="26" t="str"/>
      <x:c r="L544" s="26" t="str">
        <x:v>domain</x:v>
      </x:c>
      <x:c r="M544" s="26" t="str">
        <x:v>Translate directly</x:v>
      </x:c>
      <x:c r="N544" s="26" t="str">
        <x:v>Production-ready</x:v>
      </x:c>
      <x:c r="O544" s="43" t="n">
        <x:v>0.95</x:v>
      </x:c>
      <x:c r="P544" s="26" t="str">
        <x:v>Ability words are labels in Oracle text; this does not imply every related card uses the label.</x:v>
      </x:c>
      <x:c r="Q544" s="26" t="str">
        <x:v>https://scryfall.com/docs/syntax</x:v>
      </x:c>
      <x:c r="R544" s="26" t="str">
        <x:v>2026-08-21</x:v>
      </x:c>
    </x:row>
    <x:row r="545">
      <x:c r="A545" s="26" t="str">
        <x:v>AbilityWords!A23</x:v>
      </x:c>
      <x:c r="B545" s="26" t="str">
        <x:v>Ability Word</x:v>
      </x:c>
      <x:c r="C545" s="26" t="str">
        <x:v>Eerie</x:v>
      </x:c>
      <x:c r="D545" s="26" t="str">
        <x:v>Rules-text label</x:v>
      </x:c>
      <x:c r="E545" s="26"/>
      <x:c r="F545" s="26" t="str">
        <x:v>o:"Eerie"</x:v>
      </x:c>
      <x:c r="G545" s="26" t="str">
        <x:v>Medium</x:v>
      </x:c>
      <x:c r="H545" s="26" t="str">
        <x:v>Ability word</x:v>
      </x:c>
      <x:c r="I545" s="26" t="str">
        <x:v>oracle:</x:v>
      </x:c>
      <x:c r="J545" s="26" t="str">
        <x:v>o:"Eerie"</x:v>
      </x:c>
      <x:c r="K545" s="26" t="str"/>
      <x:c r="L545" s="26" t="str">
        <x:v>eerie</x:v>
      </x:c>
      <x:c r="M545" s="26" t="str">
        <x:v>Translate directly</x:v>
      </x:c>
      <x:c r="N545" s="26" t="str">
        <x:v>Production-ready</x:v>
      </x:c>
      <x:c r="O545" s="43" t="n">
        <x:v>0.95</x:v>
      </x:c>
      <x:c r="P545" s="26" t="str">
        <x:v>Ability words are labels in Oracle text; this does not imply every related card uses the label.</x:v>
      </x:c>
      <x:c r="Q545" s="26" t="str">
        <x:v>https://scryfall.com/docs/syntax</x:v>
      </x:c>
      <x:c r="R545" s="26" t="str">
        <x:v>2026-08-21</x:v>
      </x:c>
    </x:row>
    <x:row r="546">
      <x:c r="A546" s="26" t="str">
        <x:v>AbilityWords!A24</x:v>
      </x:c>
      <x:c r="B546" s="26" t="str">
        <x:v>Ability Word</x:v>
      </x:c>
      <x:c r="C546" s="26" t="str">
        <x:v>Eminence</x:v>
      </x:c>
      <x:c r="D546" s="26" t="str">
        <x:v>Rules-text label</x:v>
      </x:c>
      <x:c r="E546" s="26"/>
      <x:c r="F546" s="26" t="str">
        <x:v>o:"Eminence"</x:v>
      </x:c>
      <x:c r="G546" s="26" t="str">
        <x:v>Medium</x:v>
      </x:c>
      <x:c r="H546" s="26" t="str">
        <x:v>Ability word</x:v>
      </x:c>
      <x:c r="I546" s="26" t="str">
        <x:v>oracle:</x:v>
      </x:c>
      <x:c r="J546" s="26" t="str">
        <x:v>o:"Eminence"</x:v>
      </x:c>
      <x:c r="K546" s="26" t="str"/>
      <x:c r="L546" s="26" t="str">
        <x:v>eminence</x:v>
      </x:c>
      <x:c r="M546" s="26" t="str">
        <x:v>Translate directly</x:v>
      </x:c>
      <x:c r="N546" s="26" t="str">
        <x:v>Production-ready</x:v>
      </x:c>
      <x:c r="O546" s="43" t="n">
        <x:v>0.95</x:v>
      </x:c>
      <x:c r="P546" s="26" t="str">
        <x:v>Ability words are labels in Oracle text; this does not imply every related card uses the label.</x:v>
      </x:c>
      <x:c r="Q546" s="26" t="str">
        <x:v>https://scryfall.com/docs/syntax</x:v>
      </x:c>
      <x:c r="R546" s="26" t="str">
        <x:v>2026-08-21</x:v>
      </x:c>
    </x:row>
    <x:row r="547">
      <x:c r="A547" s="26" t="str">
        <x:v>AbilityWords!A25</x:v>
      </x:c>
      <x:c r="B547" s="26" t="str">
        <x:v>Ability Word</x:v>
      </x:c>
      <x:c r="C547" s="26" t="str">
        <x:v>Enrage</x:v>
      </x:c>
      <x:c r="D547" s="26" t="str">
        <x:v>Rules-text label</x:v>
      </x:c>
      <x:c r="E547" s="26"/>
      <x:c r="F547" s="26" t="str">
        <x:v>o:"Enrage"</x:v>
      </x:c>
      <x:c r="G547" s="26" t="str">
        <x:v>Medium</x:v>
      </x:c>
      <x:c r="H547" s="26" t="str">
        <x:v>Ability word</x:v>
      </x:c>
      <x:c r="I547" s="26" t="str">
        <x:v>oracle:</x:v>
      </x:c>
      <x:c r="J547" s="26" t="str">
        <x:v>o:"Enrage"</x:v>
      </x:c>
      <x:c r="K547" s="26" t="str"/>
      <x:c r="L547" s="26" t="str">
        <x:v>enrage</x:v>
      </x:c>
      <x:c r="M547" s="26" t="str">
        <x:v>Translate directly</x:v>
      </x:c>
      <x:c r="N547" s="26" t="str">
        <x:v>Production-ready</x:v>
      </x:c>
      <x:c r="O547" s="43" t="n">
        <x:v>0.95</x:v>
      </x:c>
      <x:c r="P547" s="26" t="str">
        <x:v>Ability words are labels in Oracle text; this does not imply every related card uses the label.</x:v>
      </x:c>
      <x:c r="Q547" s="26" t="str">
        <x:v>https://scryfall.com/docs/syntax</x:v>
      </x:c>
      <x:c r="R547" s="26" t="str">
        <x:v>2026-08-21</x:v>
      </x:c>
    </x:row>
    <x:row r="548">
      <x:c r="A548" s="26" t="str">
        <x:v>AbilityWords!A26</x:v>
      </x:c>
      <x:c r="B548" s="26" t="str">
        <x:v>Ability Word</x:v>
      </x:c>
      <x:c r="C548" s="26" t="str">
        <x:v>Family gathering</x:v>
      </x:c>
      <x:c r="D548" s="26" t="str">
        <x:v>Rules-text label</x:v>
      </x:c>
      <x:c r="E548" s="26"/>
      <x:c r="F548" s="26" t="str">
        <x:v>o:"Family gathering"</x:v>
      </x:c>
      <x:c r="G548" s="26" t="str">
        <x:v>Medium</x:v>
      </x:c>
      <x:c r="H548" s="26" t="str">
        <x:v>Ability word</x:v>
      </x:c>
      <x:c r="I548" s="26" t="str">
        <x:v>oracle:</x:v>
      </x:c>
      <x:c r="J548" s="26" t="str">
        <x:v>o:"Family gathering"</x:v>
      </x:c>
      <x:c r="K548" s="26" t="str"/>
      <x:c r="L548" s="26" t="str">
        <x:v>family gathering</x:v>
      </x:c>
      <x:c r="M548" s="26" t="str">
        <x:v>Translate directly</x:v>
      </x:c>
      <x:c r="N548" s="26" t="str">
        <x:v>Production-ready</x:v>
      </x:c>
      <x:c r="O548" s="43" t="n">
        <x:v>0.95</x:v>
      </x:c>
      <x:c r="P548" s="26" t="str">
        <x:v>Ability words are labels in Oracle text; this does not imply every related card uses the label.</x:v>
      </x:c>
      <x:c r="Q548" s="26" t="str">
        <x:v>https://scryfall.com/docs/syntax</x:v>
      </x:c>
      <x:c r="R548" s="26" t="str">
        <x:v>2026-08-21</x:v>
      </x:c>
    </x:row>
    <x:row r="549">
      <x:c r="A549" s="26" t="str">
        <x:v>AbilityWords!A27</x:v>
      </x:c>
      <x:c r="B549" s="26" t="str">
        <x:v>Ability Word</x:v>
      </x:c>
      <x:c r="C549" s="26" t="str">
        <x:v>Fateful hour</x:v>
      </x:c>
      <x:c r="D549" s="26" t="str">
        <x:v>Rules-text label</x:v>
      </x:c>
      <x:c r="E549" s="26"/>
      <x:c r="F549" s="26" t="str">
        <x:v>o:"Fateful hour"</x:v>
      </x:c>
      <x:c r="G549" s="26" t="str">
        <x:v>Medium</x:v>
      </x:c>
      <x:c r="H549" s="26" t="str">
        <x:v>Ability word</x:v>
      </x:c>
      <x:c r="I549" s="26" t="str">
        <x:v>oracle:</x:v>
      </x:c>
      <x:c r="J549" s="26" t="str">
        <x:v>o:"Fateful hour"</x:v>
      </x:c>
      <x:c r="K549" s="26" t="str"/>
      <x:c r="L549" s="26" t="str">
        <x:v>fateful hour</x:v>
      </x:c>
      <x:c r="M549" s="26" t="str">
        <x:v>Translate directly</x:v>
      </x:c>
      <x:c r="N549" s="26" t="str">
        <x:v>Production-ready</x:v>
      </x:c>
      <x:c r="O549" s="43" t="n">
        <x:v>0.95</x:v>
      </x:c>
      <x:c r="P549" s="26" t="str">
        <x:v>Ability words are labels in Oracle text; this does not imply every related card uses the label.</x:v>
      </x:c>
      <x:c r="Q549" s="26" t="str">
        <x:v>https://scryfall.com/docs/syntax</x:v>
      </x:c>
      <x:c r="R549" s="26" t="str">
        <x:v>2026-08-21</x:v>
      </x:c>
    </x:row>
    <x:row r="550">
      <x:c r="A550" s="26" t="str">
        <x:v>AbilityWords!A28</x:v>
      </x:c>
      <x:c r="B550" s="26" t="str">
        <x:v>Ability Word</x:v>
      </x:c>
      <x:c r="C550" s="26" t="str">
        <x:v>Fathomless descent</x:v>
      </x:c>
      <x:c r="D550" s="26" t="str">
        <x:v>Rules-text label</x:v>
      </x:c>
      <x:c r="E550" s="26"/>
      <x:c r="F550" s="26" t="str">
        <x:v>o:"Fathomless descent"</x:v>
      </x:c>
      <x:c r="G550" s="26" t="str">
        <x:v>Medium</x:v>
      </x:c>
      <x:c r="H550" s="26" t="str">
        <x:v>Ability word</x:v>
      </x:c>
      <x:c r="I550" s="26" t="str">
        <x:v>oracle:</x:v>
      </x:c>
      <x:c r="J550" s="26" t="str">
        <x:v>o:"Fathomless descent"</x:v>
      </x:c>
      <x:c r="K550" s="26" t="str"/>
      <x:c r="L550" s="26" t="str">
        <x:v>fathomless descent</x:v>
      </x:c>
      <x:c r="M550" s="26" t="str">
        <x:v>Translate directly</x:v>
      </x:c>
      <x:c r="N550" s="26" t="str">
        <x:v>Production-ready</x:v>
      </x:c>
      <x:c r="O550" s="43" t="n">
        <x:v>0.95</x:v>
      </x:c>
      <x:c r="P550" s="26" t="str">
        <x:v>Ability words are labels in Oracle text; this does not imply every related card uses the label.</x:v>
      </x:c>
      <x:c r="Q550" s="26" t="str">
        <x:v>https://scryfall.com/docs/syntax</x:v>
      </x:c>
      <x:c r="R550" s="26" t="str">
        <x:v>2026-08-21</x:v>
      </x:c>
    </x:row>
    <x:row r="551">
      <x:c r="A551" s="26" t="str">
        <x:v>AbilityWords!A29</x:v>
      </x:c>
      <x:c r="B551" s="26" t="str">
        <x:v>Ability Word</x:v>
      </x:c>
      <x:c r="C551" s="26" t="str">
        <x:v>Ferocious</x:v>
      </x:c>
      <x:c r="D551" s="26" t="str">
        <x:v>Rules-text label</x:v>
      </x:c>
      <x:c r="E551" s="26"/>
      <x:c r="F551" s="26" t="str">
        <x:v>o:"Ferocious"</x:v>
      </x:c>
      <x:c r="G551" s="26" t="str">
        <x:v>Medium</x:v>
      </x:c>
      <x:c r="H551" s="26" t="str">
        <x:v>Ability word</x:v>
      </x:c>
      <x:c r="I551" s="26" t="str">
        <x:v>oracle:</x:v>
      </x:c>
      <x:c r="J551" s="26" t="str">
        <x:v>o:"Ferocious"</x:v>
      </x:c>
      <x:c r="K551" s="26" t="str"/>
      <x:c r="L551" s="26" t="str">
        <x:v>ferocious</x:v>
      </x:c>
      <x:c r="M551" s="26" t="str">
        <x:v>Translate directly</x:v>
      </x:c>
      <x:c r="N551" s="26" t="str">
        <x:v>Production-ready</x:v>
      </x:c>
      <x:c r="O551" s="43" t="n">
        <x:v>0.95</x:v>
      </x:c>
      <x:c r="P551" s="26" t="str">
        <x:v>Ability words are labels in Oracle text; this does not imply every related card uses the label.</x:v>
      </x:c>
      <x:c r="Q551" s="26" t="str">
        <x:v>https://scryfall.com/docs/syntax</x:v>
      </x:c>
      <x:c r="R551" s="26" t="str">
        <x:v>2026-08-21</x:v>
      </x:c>
    </x:row>
    <x:row r="552">
      <x:c r="A552" s="26" t="str">
        <x:v>AbilityWords!A30</x:v>
      </x:c>
      <x:c r="B552" s="26" t="str">
        <x:v>Ability Word</x:v>
      </x:c>
      <x:c r="C552" s="26" t="str">
        <x:v>Flavor word</x:v>
      </x:c>
      <x:c r="D552" s="26" t="str">
        <x:v>Rules-text label</x:v>
      </x:c>
      <x:c r="E552" s="26"/>
      <x:c r="F552" s="26" t="str">
        <x:v>o:"Flavor word"</x:v>
      </x:c>
      <x:c r="G552" s="26" t="str">
        <x:v>Medium</x:v>
      </x:c>
      <x:c r="H552" s="26" t="str">
        <x:v>Ability word</x:v>
      </x:c>
      <x:c r="I552" s="26" t="str">
        <x:v>oracle:</x:v>
      </x:c>
      <x:c r="J552" s="26" t="str">
        <x:v>o:"Flavor word"</x:v>
      </x:c>
      <x:c r="K552" s="26" t="str"/>
      <x:c r="L552" s="26" t="str">
        <x:v>flavor word</x:v>
      </x:c>
      <x:c r="M552" s="26" t="str">
        <x:v>Translate directly</x:v>
      </x:c>
      <x:c r="N552" s="26" t="str">
        <x:v>Production-ready</x:v>
      </x:c>
      <x:c r="O552" s="43" t="n">
        <x:v>0.95</x:v>
      </x:c>
      <x:c r="P552" s="26" t="str">
        <x:v>Ability words are labels in Oracle text; this does not imply every related card uses the label.</x:v>
      </x:c>
      <x:c r="Q552" s="26" t="str">
        <x:v>https://scryfall.com/docs/syntax</x:v>
      </x:c>
      <x:c r="R552" s="26" t="str">
        <x:v>2026-08-21</x:v>
      </x:c>
    </x:row>
    <x:row r="553">
      <x:c r="A553" s="26" t="str">
        <x:v>AbilityWords!A31</x:v>
      </x:c>
      <x:c r="B553" s="26" t="str">
        <x:v>Ability Word</x:v>
      </x:c>
      <x:c r="C553" s="26" t="str">
        <x:v>Flurry</x:v>
      </x:c>
      <x:c r="D553" s="26" t="str">
        <x:v>Rules-text label</x:v>
      </x:c>
      <x:c r="E553" s="26"/>
      <x:c r="F553" s="26" t="str">
        <x:v>o:"Flurry"</x:v>
      </x:c>
      <x:c r="G553" s="26" t="str">
        <x:v>Medium</x:v>
      </x:c>
      <x:c r="H553" s="26" t="str">
        <x:v>Ability word</x:v>
      </x:c>
      <x:c r="I553" s="26" t="str">
        <x:v>oracle:</x:v>
      </x:c>
      <x:c r="J553" s="26" t="str">
        <x:v>o:"Flurry"</x:v>
      </x:c>
      <x:c r="K553" s="26" t="str"/>
      <x:c r="L553" s="26" t="str">
        <x:v>flurry</x:v>
      </x:c>
      <x:c r="M553" s="26" t="str">
        <x:v>Translate directly</x:v>
      </x:c>
      <x:c r="N553" s="26" t="str">
        <x:v>Production-ready</x:v>
      </x:c>
      <x:c r="O553" s="43" t="n">
        <x:v>0.95</x:v>
      </x:c>
      <x:c r="P553" s="26" t="str">
        <x:v>Ability words are labels in Oracle text; this does not imply every related card uses the label.</x:v>
      </x:c>
      <x:c r="Q553" s="26" t="str">
        <x:v>https://scryfall.com/docs/syntax</x:v>
      </x:c>
      <x:c r="R553" s="26" t="str">
        <x:v>2026-08-21</x:v>
      </x:c>
    </x:row>
    <x:row r="554">
      <x:c r="A554" s="26" t="str">
        <x:v>AbilityWords!A32</x:v>
      </x:c>
      <x:c r="B554" s="26" t="str">
        <x:v>Ability Word</x:v>
      </x:c>
      <x:c r="C554" s="26" t="str">
        <x:v>Formidable</x:v>
      </x:c>
      <x:c r="D554" s="26" t="str">
        <x:v>Rules-text label</x:v>
      </x:c>
      <x:c r="E554" s="26"/>
      <x:c r="F554" s="26" t="str">
        <x:v>o:"Formidable"</x:v>
      </x:c>
      <x:c r="G554" s="26" t="str">
        <x:v>Medium</x:v>
      </x:c>
      <x:c r="H554" s="26" t="str">
        <x:v>Ability word</x:v>
      </x:c>
      <x:c r="I554" s="26" t="str">
        <x:v>oracle:</x:v>
      </x:c>
      <x:c r="J554" s="26" t="str">
        <x:v>o:"Formidable"</x:v>
      </x:c>
      <x:c r="K554" s="26" t="str"/>
      <x:c r="L554" s="26" t="str">
        <x:v>formidable</x:v>
      </x:c>
      <x:c r="M554" s="26" t="str">
        <x:v>Translate directly</x:v>
      </x:c>
      <x:c r="N554" s="26" t="str">
        <x:v>Production-ready</x:v>
      </x:c>
      <x:c r="O554" s="43" t="n">
        <x:v>0.95</x:v>
      </x:c>
      <x:c r="P554" s="26" t="str">
        <x:v>Ability words are labels in Oracle text; this does not imply every related card uses the label.</x:v>
      </x:c>
      <x:c r="Q554" s="26" t="str">
        <x:v>https://scryfall.com/docs/syntax</x:v>
      </x:c>
      <x:c r="R554" s="26" t="str">
        <x:v>2026-08-21</x:v>
      </x:c>
    </x:row>
    <x:row r="555">
      <x:c r="A555" s="26" t="str">
        <x:v>AbilityWords!A33</x:v>
      </x:c>
      <x:c r="B555" s="26" t="str">
        <x:v>Ability Word</x:v>
      </x:c>
      <x:c r="C555" s="26" t="str">
        <x:v>Gear Up, sponsored by Wizards of the Coast</x:v>
      </x:c>
      <x:c r="D555" s="26" t="str">
        <x:v>Rules-text label</x:v>
      </x:c>
      <x:c r="E555" s="26"/>
      <x:c r="F555" s="26" t="str">
        <x:v>o:"Gear Up, sponsored by Wizards of the Coast"</x:v>
      </x:c>
      <x:c r="G555" s="26" t="str">
        <x:v>Medium</x:v>
      </x:c>
      <x:c r="H555" s="26" t="str">
        <x:v>Ability word</x:v>
      </x:c>
      <x:c r="I555" s="26" t="str">
        <x:v>oracle:</x:v>
      </x:c>
      <x:c r="J555" s="26" t="str">
        <x:v>o:"Gear Up, sponsored by Wizards of the Coast"</x:v>
      </x:c>
      <x:c r="K555" s="26" t="str"/>
      <x:c r="L555" s="26" t="str">
        <x:v>gear up, sponsored by wizards of the coast</x:v>
      </x:c>
      <x:c r="M555" s="26" t="str">
        <x:v>Translate directly</x:v>
      </x:c>
      <x:c r="N555" s="26" t="str">
        <x:v>Production-ready</x:v>
      </x:c>
      <x:c r="O555" s="43" t="n">
        <x:v>0.95</x:v>
      </x:c>
      <x:c r="P555" s="26" t="str">
        <x:v>Ability words are labels in Oracle text; this does not imply every related card uses the label.</x:v>
      </x:c>
      <x:c r="Q555" s="26" t="str">
        <x:v>https://scryfall.com/docs/syntax</x:v>
      </x:c>
      <x:c r="R555" s="26" t="str">
        <x:v>2026-08-21</x:v>
      </x:c>
    </x:row>
    <x:row r="556">
      <x:c r="A556" s="26" t="str">
        <x:v>AbilityWords!A34</x:v>
      </x:c>
      <x:c r="B556" s="26" t="str">
        <x:v>Ability Word</x:v>
      </x:c>
      <x:c r="C556" s="26" t="str">
        <x:v>Gotcha</x:v>
      </x:c>
      <x:c r="D556" s="26" t="str">
        <x:v>Rules-text label</x:v>
      </x:c>
      <x:c r="E556" s="26"/>
      <x:c r="F556" s="26" t="str">
        <x:v>o:"Gotcha"</x:v>
      </x:c>
      <x:c r="G556" s="26" t="str">
        <x:v>Medium</x:v>
      </x:c>
      <x:c r="H556" s="26" t="str">
        <x:v>Ability word</x:v>
      </x:c>
      <x:c r="I556" s="26" t="str">
        <x:v>oracle:</x:v>
      </x:c>
      <x:c r="J556" s="26" t="str">
        <x:v>o:"Gotcha"</x:v>
      </x:c>
      <x:c r="K556" s="26" t="str"/>
      <x:c r="L556" s="26" t="str">
        <x:v>gotcha</x:v>
      </x:c>
      <x:c r="M556" s="26" t="str">
        <x:v>Translate directly</x:v>
      </x:c>
      <x:c r="N556" s="26" t="str">
        <x:v>Production-ready</x:v>
      </x:c>
      <x:c r="O556" s="43" t="n">
        <x:v>0.95</x:v>
      </x:c>
      <x:c r="P556" s="26" t="str">
        <x:v>Ability words are labels in Oracle text; this does not imply every related card uses the label.</x:v>
      </x:c>
      <x:c r="Q556" s="26" t="str">
        <x:v>https://scryfall.com/docs/syntax</x:v>
      </x:c>
      <x:c r="R556" s="26" t="str">
        <x:v>2026-08-21</x:v>
      </x:c>
    </x:row>
    <x:row r="557">
      <x:c r="A557" s="26" t="str">
        <x:v>AbilityWords!A35</x:v>
      </x:c>
      <x:c r="B557" s="26" t="str">
        <x:v>Ability Word</x:v>
      </x:c>
      <x:c r="C557" s="26" t="str">
        <x:v>Grandeur</x:v>
      </x:c>
      <x:c r="D557" s="26" t="str">
        <x:v>Rules-text label</x:v>
      </x:c>
      <x:c r="E557" s="26"/>
      <x:c r="F557" s="26" t="str">
        <x:v>o:"Grandeur"</x:v>
      </x:c>
      <x:c r="G557" s="26" t="str">
        <x:v>Medium</x:v>
      </x:c>
      <x:c r="H557" s="26" t="str">
        <x:v>Ability word</x:v>
      </x:c>
      <x:c r="I557" s="26" t="str">
        <x:v>oracle:</x:v>
      </x:c>
      <x:c r="J557" s="26" t="str">
        <x:v>o:"Grandeur"</x:v>
      </x:c>
      <x:c r="K557" s="26" t="str"/>
      <x:c r="L557" s="26" t="str">
        <x:v>grandeur</x:v>
      </x:c>
      <x:c r="M557" s="26" t="str">
        <x:v>Translate directly</x:v>
      </x:c>
      <x:c r="N557" s="26" t="str">
        <x:v>Production-ready</x:v>
      </x:c>
      <x:c r="O557" s="43" t="n">
        <x:v>0.95</x:v>
      </x:c>
      <x:c r="P557" s="26" t="str">
        <x:v>Ability words are labels in Oracle text; this does not imply every related card uses the label.</x:v>
      </x:c>
      <x:c r="Q557" s="26" t="str">
        <x:v>https://scryfall.com/docs/syntax</x:v>
      </x:c>
      <x:c r="R557" s="26" t="str">
        <x:v>2026-08-21</x:v>
      </x:c>
    </x:row>
    <x:row r="558">
      <x:c r="A558" s="26" t="str">
        <x:v>AbilityWords!A36</x:v>
      </x:c>
      <x:c r="B558" s="26" t="str">
        <x:v>Ability Word</x:v>
      </x:c>
      <x:c r="C558" s="26" t="str">
        <x:v>Hellbent</x:v>
      </x:c>
      <x:c r="D558" s="26" t="str">
        <x:v>Rules-text label</x:v>
      </x:c>
      <x:c r="E558" s="26"/>
      <x:c r="F558" s="26" t="str">
        <x:v>o:"Hellbent"</x:v>
      </x:c>
      <x:c r="G558" s="26" t="str">
        <x:v>Medium</x:v>
      </x:c>
      <x:c r="H558" s="26" t="str">
        <x:v>Ability word</x:v>
      </x:c>
      <x:c r="I558" s="26" t="str">
        <x:v>oracle:</x:v>
      </x:c>
      <x:c r="J558" s="26" t="str">
        <x:v>o:"Hellbent"</x:v>
      </x:c>
      <x:c r="K558" s="26" t="str"/>
      <x:c r="L558" s="26" t="str">
        <x:v>hellbent</x:v>
      </x:c>
      <x:c r="M558" s="26" t="str">
        <x:v>Translate directly</x:v>
      </x:c>
      <x:c r="N558" s="26" t="str">
        <x:v>Production-ready</x:v>
      </x:c>
      <x:c r="O558" s="43" t="n">
        <x:v>0.95</x:v>
      </x:c>
      <x:c r="P558" s="26" t="str">
        <x:v>Ability words are labels in Oracle text; this does not imply every related card uses the label.</x:v>
      </x:c>
      <x:c r="Q558" s="26" t="str">
        <x:v>https://scryfall.com/docs/syntax</x:v>
      </x:c>
      <x:c r="R558" s="26" t="str">
        <x:v>2026-08-21</x:v>
      </x:c>
    </x:row>
    <x:row r="559">
      <x:c r="A559" s="26" t="str">
        <x:v>AbilityWords!A37</x:v>
      </x:c>
      <x:c r="B559" s="26" t="str">
        <x:v>Ability Word</x:v>
      </x:c>
      <x:c r="C559" s="26" t="str">
        <x:v>Hero's Reward</x:v>
      </x:c>
      <x:c r="D559" s="26" t="str">
        <x:v>Rules-text label</x:v>
      </x:c>
      <x:c r="E559" s="26"/>
      <x:c r="F559" s="26" t="str">
        <x:v>o:"Hero's Reward"</x:v>
      </x:c>
      <x:c r="G559" s="26" t="str">
        <x:v>Medium</x:v>
      </x:c>
      <x:c r="H559" s="26" t="str">
        <x:v>Ability word</x:v>
      </x:c>
      <x:c r="I559" s="26" t="str">
        <x:v>oracle:</x:v>
      </x:c>
      <x:c r="J559" s="26" t="str">
        <x:v>o:"Hero's Reward"</x:v>
      </x:c>
      <x:c r="K559" s="26" t="str"/>
      <x:c r="L559" s="26" t="str">
        <x:v>hero's reward</x:v>
      </x:c>
      <x:c r="M559" s="26" t="str">
        <x:v>Translate directly</x:v>
      </x:c>
      <x:c r="N559" s="26" t="str">
        <x:v>Production-ready</x:v>
      </x:c>
      <x:c r="O559" s="43" t="n">
        <x:v>0.95</x:v>
      </x:c>
      <x:c r="P559" s="26" t="str">
        <x:v>Ability words are labels in Oracle text; this does not imply every related card uses the label.</x:v>
      </x:c>
      <x:c r="Q559" s="26" t="str">
        <x:v>https://scryfall.com/docs/syntax</x:v>
      </x:c>
      <x:c r="R559" s="26" t="str">
        <x:v>2026-08-21</x:v>
      </x:c>
    </x:row>
    <x:row r="560">
      <x:c r="A560" s="26" t="str">
        <x:v>AbilityWords!A38</x:v>
      </x:c>
      <x:c r="B560" s="26" t="str">
        <x:v>Ability Word</x:v>
      </x:c>
      <x:c r="C560" s="26" t="str">
        <x:v>Heroic</x:v>
      </x:c>
      <x:c r="D560" s="26" t="str">
        <x:v>Rules-text label</x:v>
      </x:c>
      <x:c r="E560" s="26"/>
      <x:c r="F560" s="26" t="str">
        <x:v>o:"Heroic"</x:v>
      </x:c>
      <x:c r="G560" s="26" t="str">
        <x:v>Medium</x:v>
      </x:c>
      <x:c r="H560" s="26" t="str">
        <x:v>Ability word</x:v>
      </x:c>
      <x:c r="I560" s="26" t="str">
        <x:v>oracle:</x:v>
      </x:c>
      <x:c r="J560" s="26" t="str">
        <x:v>o:"Heroic"</x:v>
      </x:c>
      <x:c r="K560" s="26" t="str"/>
      <x:c r="L560" s="26" t="str">
        <x:v>heroic</x:v>
      </x:c>
      <x:c r="M560" s="26" t="str">
        <x:v>Translate directly</x:v>
      </x:c>
      <x:c r="N560" s="26" t="str">
        <x:v>Production-ready</x:v>
      </x:c>
      <x:c r="O560" s="43" t="n">
        <x:v>0.95</x:v>
      </x:c>
      <x:c r="P560" s="26" t="str">
        <x:v>Ability words are labels in Oracle text; this does not imply every related card uses the label.</x:v>
      </x:c>
      <x:c r="Q560" s="26" t="str">
        <x:v>https://scryfall.com/docs/syntax</x:v>
      </x:c>
      <x:c r="R560" s="26" t="str">
        <x:v>2026-08-21</x:v>
      </x:c>
    </x:row>
    <x:row r="561">
      <x:c r="A561" s="26" t="str">
        <x:v>AbilityWords!A39</x:v>
      </x:c>
      <x:c r="B561" s="26" t="str">
        <x:v>Ability Word</x:v>
      </x:c>
      <x:c r="C561" s="26" t="str">
        <x:v>Imprint</x:v>
      </x:c>
      <x:c r="D561" s="26" t="str">
        <x:v>Rules-text label</x:v>
      </x:c>
      <x:c r="E561" s="26"/>
      <x:c r="F561" s="26" t="str">
        <x:v>o:"Imprint"</x:v>
      </x:c>
      <x:c r="G561" s="26" t="str">
        <x:v>Medium</x:v>
      </x:c>
      <x:c r="H561" s="26" t="str">
        <x:v>Ability word</x:v>
      </x:c>
      <x:c r="I561" s="26" t="str">
        <x:v>oracle:</x:v>
      </x:c>
      <x:c r="J561" s="26" t="str">
        <x:v>o:"Imprint"</x:v>
      </x:c>
      <x:c r="K561" s="26" t="str"/>
      <x:c r="L561" s="26" t="str">
        <x:v>imprint</x:v>
      </x:c>
      <x:c r="M561" s="26" t="str">
        <x:v>Translate directly</x:v>
      </x:c>
      <x:c r="N561" s="26" t="str">
        <x:v>Production-ready</x:v>
      </x:c>
      <x:c r="O561" s="43" t="n">
        <x:v>0.95</x:v>
      </x:c>
      <x:c r="P561" s="26" t="str">
        <x:v>Ability words are labels in Oracle text; this does not imply every related card uses the label.</x:v>
      </x:c>
      <x:c r="Q561" s="26" t="str">
        <x:v>https://scryfall.com/docs/syntax</x:v>
      </x:c>
      <x:c r="R561" s="26" t="str">
        <x:v>2026-08-21</x:v>
      </x:c>
    </x:row>
    <x:row r="562">
      <x:c r="A562" s="26" t="str">
        <x:v>AbilityWords!A40</x:v>
      </x:c>
      <x:c r="B562" s="26" t="str">
        <x:v>Ability Word</x:v>
      </x:c>
      <x:c r="C562" s="26" t="str">
        <x:v>Infusion</x:v>
      </x:c>
      <x:c r="D562" s="26" t="str">
        <x:v>Rules-text label</x:v>
      </x:c>
      <x:c r="E562" s="26"/>
      <x:c r="F562" s="26" t="str">
        <x:v>o:"Infusion"</x:v>
      </x:c>
      <x:c r="G562" s="26" t="str">
        <x:v>Medium</x:v>
      </x:c>
      <x:c r="H562" s="26" t="str">
        <x:v>Ability word</x:v>
      </x:c>
      <x:c r="I562" s="26" t="str">
        <x:v>oracle:</x:v>
      </x:c>
      <x:c r="J562" s="26" t="str">
        <x:v>o:"Infusion"</x:v>
      </x:c>
      <x:c r="K562" s="26" t="str"/>
      <x:c r="L562" s="26" t="str">
        <x:v>infusion</x:v>
      </x:c>
      <x:c r="M562" s="26" t="str">
        <x:v>Translate directly</x:v>
      </x:c>
      <x:c r="N562" s="26" t="str">
        <x:v>Production-ready</x:v>
      </x:c>
      <x:c r="O562" s="43" t="n">
        <x:v>0.95</x:v>
      </x:c>
      <x:c r="P562" s="26" t="str">
        <x:v>Ability words are labels in Oracle text; this does not imply every related card uses the label.</x:v>
      </x:c>
      <x:c r="Q562" s="26" t="str">
        <x:v>https://scryfall.com/docs/syntax</x:v>
      </x:c>
      <x:c r="R562" s="26" t="str">
        <x:v>2026-08-21</x:v>
      </x:c>
    </x:row>
    <x:row r="563">
      <x:c r="A563" s="26" t="str">
        <x:v>AbilityWords!A41</x:v>
      </x:c>
      <x:c r="B563" s="26" t="str">
        <x:v>Ability Word</x:v>
      </x:c>
      <x:c r="C563" s="26" t="str">
        <x:v>Inspired</x:v>
      </x:c>
      <x:c r="D563" s="26" t="str">
        <x:v>Rules-text label</x:v>
      </x:c>
      <x:c r="E563" s="26"/>
      <x:c r="F563" s="26" t="str">
        <x:v>o:"Inspired"</x:v>
      </x:c>
      <x:c r="G563" s="26" t="str">
        <x:v>Medium</x:v>
      </x:c>
      <x:c r="H563" s="26" t="str">
        <x:v>Ability word</x:v>
      </x:c>
      <x:c r="I563" s="26" t="str">
        <x:v>oracle:</x:v>
      </x:c>
      <x:c r="J563" s="26" t="str">
        <x:v>o:"Inspired"</x:v>
      </x:c>
      <x:c r="K563" s="26" t="str"/>
      <x:c r="L563" s="26" t="str">
        <x:v>inspired</x:v>
      </x:c>
      <x:c r="M563" s="26" t="str">
        <x:v>Translate directly</x:v>
      </x:c>
      <x:c r="N563" s="26" t="str">
        <x:v>Production-ready</x:v>
      </x:c>
      <x:c r="O563" s="43" t="n">
        <x:v>0.95</x:v>
      </x:c>
      <x:c r="P563" s="26" t="str">
        <x:v>Ability words are labels in Oracle text; this does not imply every related card uses the label.</x:v>
      </x:c>
      <x:c r="Q563" s="26" t="str">
        <x:v>https://scryfall.com/docs/syntax</x:v>
      </x:c>
      <x:c r="R563" s="26" t="str">
        <x:v>2026-08-21</x:v>
      </x:c>
    </x:row>
    <x:row r="564">
      <x:c r="A564" s="26" t="str">
        <x:v>AbilityWords!A42</x:v>
      </x:c>
      <x:c r="B564" s="26" t="str">
        <x:v>Ability Word</x:v>
      </x:c>
      <x:c r="C564" s="26" t="str">
        <x:v>Join forces</x:v>
      </x:c>
      <x:c r="D564" s="26" t="str">
        <x:v>Rules-text label</x:v>
      </x:c>
      <x:c r="E564" s="26"/>
      <x:c r="F564" s="26" t="str">
        <x:v>o:"Join forces"</x:v>
      </x:c>
      <x:c r="G564" s="26" t="str">
        <x:v>Medium</x:v>
      </x:c>
      <x:c r="H564" s="26" t="str">
        <x:v>Ability word</x:v>
      </x:c>
      <x:c r="I564" s="26" t="str">
        <x:v>oracle:</x:v>
      </x:c>
      <x:c r="J564" s="26" t="str">
        <x:v>o:"Join forces"</x:v>
      </x:c>
      <x:c r="K564" s="26" t="str"/>
      <x:c r="L564" s="26" t="str">
        <x:v>join forces</x:v>
      </x:c>
      <x:c r="M564" s="26" t="str">
        <x:v>Translate directly</x:v>
      </x:c>
      <x:c r="N564" s="26" t="str">
        <x:v>Production-ready</x:v>
      </x:c>
      <x:c r="O564" s="43" t="n">
        <x:v>0.95</x:v>
      </x:c>
      <x:c r="P564" s="26" t="str">
        <x:v>Ability words are labels in Oracle text; this does not imply every related card uses the label.</x:v>
      </x:c>
      <x:c r="Q564" s="26" t="str">
        <x:v>https://scryfall.com/docs/syntax</x:v>
      </x:c>
      <x:c r="R564" s="26" t="str">
        <x:v>2026-08-21</x:v>
      </x:c>
    </x:row>
    <x:row r="565">
      <x:c r="A565" s="26" t="str">
        <x:v>AbilityWords!A43</x:v>
      </x:c>
      <x:c r="B565" s="26" t="str">
        <x:v>Ability Word</x:v>
      </x:c>
      <x:c r="C565" s="26" t="str">
        <x:v>Kinfall</x:v>
      </x:c>
      <x:c r="D565" s="26" t="str">
        <x:v>Rules-text label</x:v>
      </x:c>
      <x:c r="E565" s="26"/>
      <x:c r="F565" s="26" t="str">
        <x:v>o:"Kinfall"</x:v>
      </x:c>
      <x:c r="G565" s="26" t="str">
        <x:v>Medium</x:v>
      </x:c>
      <x:c r="H565" s="26" t="str">
        <x:v>Ability word</x:v>
      </x:c>
      <x:c r="I565" s="26" t="str">
        <x:v>oracle:</x:v>
      </x:c>
      <x:c r="J565" s="26" t="str">
        <x:v>o:"Kinfall"</x:v>
      </x:c>
      <x:c r="K565" s="26" t="str"/>
      <x:c r="L565" s="26" t="str">
        <x:v>kinfall</x:v>
      </x:c>
      <x:c r="M565" s="26" t="str">
        <x:v>Translate directly</x:v>
      </x:c>
      <x:c r="N565" s="26" t="str">
        <x:v>Production-ready</x:v>
      </x:c>
      <x:c r="O565" s="43" t="n">
        <x:v>0.95</x:v>
      </x:c>
      <x:c r="P565" s="26" t="str">
        <x:v>Ability words are labels in Oracle text; this does not imply every related card uses the label.</x:v>
      </x:c>
      <x:c r="Q565" s="26" t="str">
        <x:v>https://scryfall.com/docs/syntax</x:v>
      </x:c>
      <x:c r="R565" s="26" t="str">
        <x:v>2026-08-21</x:v>
      </x:c>
    </x:row>
    <x:row r="566">
      <x:c r="A566" s="26" t="str">
        <x:v>AbilityWords!A44</x:v>
      </x:c>
      <x:c r="B566" s="26" t="str">
        <x:v>Ability Word</x:v>
      </x:c>
      <x:c r="C566" s="26" t="str">
        <x:v>Kinship</x:v>
      </x:c>
      <x:c r="D566" s="26" t="str">
        <x:v>Rules-text label</x:v>
      </x:c>
      <x:c r="E566" s="26"/>
      <x:c r="F566" s="26" t="str">
        <x:v>o:"Kinship"</x:v>
      </x:c>
      <x:c r="G566" s="26" t="str">
        <x:v>Medium</x:v>
      </x:c>
      <x:c r="H566" s="26" t="str">
        <x:v>Ability word</x:v>
      </x:c>
      <x:c r="I566" s="26" t="str">
        <x:v>oracle:</x:v>
      </x:c>
      <x:c r="J566" s="26" t="str">
        <x:v>o:"Kinship"</x:v>
      </x:c>
      <x:c r="K566" s="26" t="str"/>
      <x:c r="L566" s="26" t="str">
        <x:v>kinship</x:v>
      </x:c>
      <x:c r="M566" s="26" t="str">
        <x:v>Translate directly</x:v>
      </x:c>
      <x:c r="N566" s="26" t="str">
        <x:v>Production-ready</x:v>
      </x:c>
      <x:c r="O566" s="43" t="n">
        <x:v>0.95</x:v>
      </x:c>
      <x:c r="P566" s="26" t="str">
        <x:v>Ability words are labels in Oracle text; this does not imply every related card uses the label.</x:v>
      </x:c>
      <x:c r="Q566" s="26" t="str">
        <x:v>https://scryfall.com/docs/syntax</x:v>
      </x:c>
      <x:c r="R566" s="26" t="str">
        <x:v>2026-08-21</x:v>
      </x:c>
    </x:row>
    <x:row r="567">
      <x:c r="A567" s="26" t="str">
        <x:v>AbilityWords!A45</x:v>
      </x:c>
      <x:c r="B567" s="26" t="str">
        <x:v>Ability Word</x:v>
      </x:c>
      <x:c r="C567" s="26" t="str">
        <x:v>Landfall</x:v>
      </x:c>
      <x:c r="D567" s="26" t="str">
        <x:v>Rules-text label</x:v>
      </x:c>
      <x:c r="E567" s="26"/>
      <x:c r="F567" s="26" t="str">
        <x:v>o:"Landfall"</x:v>
      </x:c>
      <x:c r="G567" s="26" t="str">
        <x:v>Medium</x:v>
      </x:c>
      <x:c r="H567" s="26" t="str">
        <x:v>Ability word</x:v>
      </x:c>
      <x:c r="I567" s="26" t="str">
        <x:v>oracle:</x:v>
      </x:c>
      <x:c r="J567" s="26" t="str">
        <x:v>o:"Landfall"</x:v>
      </x:c>
      <x:c r="K567" s="26" t="str"/>
      <x:c r="L567" s="26" t="str">
        <x:v>landfall</x:v>
      </x:c>
      <x:c r="M567" s="26" t="str">
        <x:v>Translate directly</x:v>
      </x:c>
      <x:c r="N567" s="26" t="str">
        <x:v>Production-ready</x:v>
      </x:c>
      <x:c r="O567" s="43" t="n">
        <x:v>0.95</x:v>
      </x:c>
      <x:c r="P567" s="26" t="str">
        <x:v>Ability words are labels in Oracle text; this does not imply every related card uses the label.</x:v>
      </x:c>
      <x:c r="Q567" s="26" t="str">
        <x:v>https://scryfall.com/docs/syntax</x:v>
      </x:c>
      <x:c r="R567" s="26" t="str">
        <x:v>2026-08-21</x:v>
      </x:c>
    </x:row>
    <x:row r="568">
      <x:c r="A568" s="26" t="str">
        <x:v>AbilityWords!A46</x:v>
      </x:c>
      <x:c r="B568" s="26" t="str">
        <x:v>Ability Word</x:v>
      </x:c>
      <x:c r="C568" s="26" t="str">
        <x:v>Landship</x:v>
      </x:c>
      <x:c r="D568" s="26" t="str">
        <x:v>Rules-text label</x:v>
      </x:c>
      <x:c r="E568" s="26"/>
      <x:c r="F568" s="26" t="str">
        <x:v>o:"Landship"</x:v>
      </x:c>
      <x:c r="G568" s="26" t="str">
        <x:v>Medium</x:v>
      </x:c>
      <x:c r="H568" s="26" t="str">
        <x:v>Ability word</x:v>
      </x:c>
      <x:c r="I568" s="26" t="str">
        <x:v>oracle:</x:v>
      </x:c>
      <x:c r="J568" s="26" t="str">
        <x:v>o:"Landship"</x:v>
      </x:c>
      <x:c r="K568" s="26" t="str"/>
      <x:c r="L568" s="26" t="str">
        <x:v>landship</x:v>
      </x:c>
      <x:c r="M568" s="26" t="str">
        <x:v>Translate directly</x:v>
      </x:c>
      <x:c r="N568" s="26" t="str">
        <x:v>Production-ready</x:v>
      </x:c>
      <x:c r="O568" s="43" t="n">
        <x:v>0.95</x:v>
      </x:c>
      <x:c r="P568" s="26" t="str">
        <x:v>Ability words are labels in Oracle text; this does not imply every related card uses the label.</x:v>
      </x:c>
      <x:c r="Q568" s="26" t="str">
        <x:v>https://scryfall.com/docs/syntax</x:v>
      </x:c>
      <x:c r="R568" s="26" t="str">
        <x:v>2026-08-21</x:v>
      </x:c>
    </x:row>
    <x:row r="569">
      <x:c r="A569" s="26" t="str">
        <x:v>AbilityWords!A47</x:v>
      </x:c>
      <x:c r="B569" s="26" t="str">
        <x:v>Ability Word</x:v>
      </x:c>
      <x:c r="C569" s="26" t="str">
        <x:v>Legacy</x:v>
      </x:c>
      <x:c r="D569" s="26" t="str">
        <x:v>Rules-text label</x:v>
      </x:c>
      <x:c r="E569" s="26"/>
      <x:c r="F569" s="26" t="str">
        <x:v>o:"Legacy"</x:v>
      </x:c>
      <x:c r="G569" s="26" t="str">
        <x:v>Medium</x:v>
      </x:c>
      <x:c r="H569" s="26" t="str">
        <x:v>Ability word</x:v>
      </x:c>
      <x:c r="I569" s="26" t="str">
        <x:v>oracle:</x:v>
      </x:c>
      <x:c r="J569" s="26" t="str">
        <x:v>o:"Legacy"</x:v>
      </x:c>
      <x:c r="K569" s="26" t="str"/>
      <x:c r="L569" s="26" t="str">
        <x:v>legacy</x:v>
      </x:c>
      <x:c r="M569" s="26" t="str">
        <x:v>Translate directly</x:v>
      </x:c>
      <x:c r="N569" s="26" t="str">
        <x:v>Production-ready</x:v>
      </x:c>
      <x:c r="O569" s="43" t="n">
        <x:v>0.95</x:v>
      </x:c>
      <x:c r="P569" s="26" t="str">
        <x:v>Ability words are labels in Oracle text; this does not imply every related card uses the label.</x:v>
      </x:c>
      <x:c r="Q569" s="26" t="str">
        <x:v>https://scryfall.com/docs/syntax</x:v>
      </x:c>
      <x:c r="R569" s="26" t="str">
        <x:v>2026-08-21</x:v>
      </x:c>
    </x:row>
    <x:row r="570">
      <x:c r="A570" s="26" t="str">
        <x:v>AbilityWords!A48</x:v>
      </x:c>
      <x:c r="B570" s="26" t="str">
        <x:v>Ability Word</x:v>
      </x:c>
      <x:c r="C570" s="26" t="str">
        <x:v>Lieutenant</x:v>
      </x:c>
      <x:c r="D570" s="26" t="str">
        <x:v>Rules-text label</x:v>
      </x:c>
      <x:c r="E570" s="26"/>
      <x:c r="F570" s="26" t="str">
        <x:v>o:"Lieutenant"</x:v>
      </x:c>
      <x:c r="G570" s="26" t="str">
        <x:v>Medium</x:v>
      </x:c>
      <x:c r="H570" s="26" t="str">
        <x:v>Ability word</x:v>
      </x:c>
      <x:c r="I570" s="26" t="str">
        <x:v>oracle:</x:v>
      </x:c>
      <x:c r="J570" s="26" t="str">
        <x:v>o:"Lieutenant"</x:v>
      </x:c>
      <x:c r="K570" s="26" t="str"/>
      <x:c r="L570" s="26" t="str">
        <x:v>lieutenant</x:v>
      </x:c>
      <x:c r="M570" s="26" t="str">
        <x:v>Translate directly</x:v>
      </x:c>
      <x:c r="N570" s="26" t="str">
        <x:v>Production-ready</x:v>
      </x:c>
      <x:c r="O570" s="43" t="n">
        <x:v>0.95</x:v>
      </x:c>
      <x:c r="P570" s="26" t="str">
        <x:v>Ability words are labels in Oracle text; this does not imply every related card uses the label.</x:v>
      </x:c>
      <x:c r="Q570" s="26" t="str">
        <x:v>https://scryfall.com/docs/syntax</x:v>
      </x:c>
      <x:c r="R570" s="26" t="str">
        <x:v>2026-08-21</x:v>
      </x:c>
    </x:row>
    <x:row r="571">
      <x:c r="A571" s="26" t="str">
        <x:v>AbilityWords!A49</x:v>
      </x:c>
      <x:c r="B571" s="26" t="str">
        <x:v>Ability Word</x:v>
      </x:c>
      <x:c r="C571" s="26" t="str">
        <x:v>Magecraft</x:v>
      </x:c>
      <x:c r="D571" s="26" t="str">
        <x:v>Rules-text label</x:v>
      </x:c>
      <x:c r="E571" s="26"/>
      <x:c r="F571" s="26" t="str">
        <x:v>o:"Magecraft"</x:v>
      </x:c>
      <x:c r="G571" s="26" t="str">
        <x:v>Medium</x:v>
      </x:c>
      <x:c r="H571" s="26" t="str">
        <x:v>Ability word</x:v>
      </x:c>
      <x:c r="I571" s="26" t="str">
        <x:v>oracle:</x:v>
      </x:c>
      <x:c r="J571" s="26" t="str">
        <x:v>o:"Magecraft"</x:v>
      </x:c>
      <x:c r="K571" s="26" t="str"/>
      <x:c r="L571" s="26" t="str">
        <x:v>magecraft</x:v>
      </x:c>
      <x:c r="M571" s="26" t="str">
        <x:v>Translate directly</x:v>
      </x:c>
      <x:c r="N571" s="26" t="str">
        <x:v>Production-ready</x:v>
      </x:c>
      <x:c r="O571" s="43" t="n">
        <x:v>0.95</x:v>
      </x:c>
      <x:c r="P571" s="26" t="str">
        <x:v>Ability words are labels in Oracle text; this does not imply every related card uses the label.</x:v>
      </x:c>
      <x:c r="Q571" s="26" t="str">
        <x:v>https://scryfall.com/docs/syntax</x:v>
      </x:c>
      <x:c r="R571" s="26" t="str">
        <x:v>2026-08-21</x:v>
      </x:c>
    </x:row>
    <x:row r="572">
      <x:c r="A572" s="26" t="str">
        <x:v>AbilityWords!A50</x:v>
      </x:c>
      <x:c r="B572" s="26" t="str">
        <x:v>Ability Word</x:v>
      </x:c>
      <x:c r="C572" s="26" t="str">
        <x:v>Metalcraft</x:v>
      </x:c>
      <x:c r="D572" s="26" t="str">
        <x:v>Rules-text label</x:v>
      </x:c>
      <x:c r="E572" s="26"/>
      <x:c r="F572" s="26" t="str">
        <x:v>o:"Metalcraft"</x:v>
      </x:c>
      <x:c r="G572" s="26" t="str">
        <x:v>Medium</x:v>
      </x:c>
      <x:c r="H572" s="26" t="str">
        <x:v>Ability word</x:v>
      </x:c>
      <x:c r="I572" s="26" t="str">
        <x:v>oracle:</x:v>
      </x:c>
      <x:c r="J572" s="26" t="str">
        <x:v>o:"Metalcraft"</x:v>
      </x:c>
      <x:c r="K572" s="26" t="str"/>
      <x:c r="L572" s="26" t="str">
        <x:v>metalcraft</x:v>
      </x:c>
      <x:c r="M572" s="26" t="str">
        <x:v>Translate directly</x:v>
      </x:c>
      <x:c r="N572" s="26" t="str">
        <x:v>Production-ready</x:v>
      </x:c>
      <x:c r="O572" s="43" t="n">
        <x:v>0.95</x:v>
      </x:c>
      <x:c r="P572" s="26" t="str">
        <x:v>Ability words are labels in Oracle text; this does not imply every related card uses the label.</x:v>
      </x:c>
      <x:c r="Q572" s="26" t="str">
        <x:v>https://scryfall.com/docs/syntax</x:v>
      </x:c>
      <x:c r="R572" s="26" t="str">
        <x:v>2026-08-21</x:v>
      </x:c>
    </x:row>
    <x:row r="573">
      <x:c r="A573" s="26" t="str">
        <x:v>AbilityWords!A51</x:v>
      </x:c>
      <x:c r="B573" s="26" t="str">
        <x:v>Ability Word</x:v>
      </x:c>
      <x:c r="C573" s="26" t="str">
        <x:v>Mono Eminence</x:v>
      </x:c>
      <x:c r="D573" s="26" t="str">
        <x:v>Rules-text label</x:v>
      </x:c>
      <x:c r="E573" s="26"/>
      <x:c r="F573" s="26" t="str">
        <x:v>o:"Mono Eminence"</x:v>
      </x:c>
      <x:c r="G573" s="26" t="str">
        <x:v>Medium</x:v>
      </x:c>
      <x:c r="H573" s="26" t="str">
        <x:v>Ability word</x:v>
      </x:c>
      <x:c r="I573" s="26" t="str">
        <x:v>oracle:</x:v>
      </x:c>
      <x:c r="J573" s="26" t="str">
        <x:v>o:"Mono Eminence"</x:v>
      </x:c>
      <x:c r="K573" s="26" t="str"/>
      <x:c r="L573" s="26" t="str">
        <x:v>mono eminence</x:v>
      </x:c>
      <x:c r="M573" s="26" t="str">
        <x:v>Translate directly</x:v>
      </x:c>
      <x:c r="N573" s="26" t="str">
        <x:v>Production-ready</x:v>
      </x:c>
      <x:c r="O573" s="43" t="n">
        <x:v>0.95</x:v>
      </x:c>
      <x:c r="P573" s="26" t="str">
        <x:v>Ability words are labels in Oracle text; this does not imply every related card uses the label.</x:v>
      </x:c>
      <x:c r="Q573" s="26" t="str">
        <x:v>https://scryfall.com/docs/syntax</x:v>
      </x:c>
      <x:c r="R573" s="26" t="str">
        <x:v>2026-08-21</x:v>
      </x:c>
    </x:row>
    <x:row r="574">
      <x:c r="A574" s="26" t="str">
        <x:v>AbilityWords!A52</x:v>
      </x:c>
      <x:c r="B574" s="26" t="str">
        <x:v>Ability Word</x:v>
      </x:c>
      <x:c r="C574" s="26" t="str">
        <x:v>Morbid</x:v>
      </x:c>
      <x:c r="D574" s="26" t="str">
        <x:v>Rules-text label</x:v>
      </x:c>
      <x:c r="E574" s="26"/>
      <x:c r="F574" s="26" t="str">
        <x:v>o:"Morbid"</x:v>
      </x:c>
      <x:c r="G574" s="26" t="str">
        <x:v>Medium</x:v>
      </x:c>
      <x:c r="H574" s="26" t="str">
        <x:v>Ability word</x:v>
      </x:c>
      <x:c r="I574" s="26" t="str">
        <x:v>oracle:</x:v>
      </x:c>
      <x:c r="J574" s="26" t="str">
        <x:v>o:"Morbid"</x:v>
      </x:c>
      <x:c r="K574" s="26" t="str"/>
      <x:c r="L574" s="26" t="str">
        <x:v>morbid</x:v>
      </x:c>
      <x:c r="M574" s="26" t="str">
        <x:v>Translate directly</x:v>
      </x:c>
      <x:c r="N574" s="26" t="str">
        <x:v>Production-ready</x:v>
      </x:c>
      <x:c r="O574" s="43" t="n">
        <x:v>0.95</x:v>
      </x:c>
      <x:c r="P574" s="26" t="str">
        <x:v>Ability words are labels in Oracle text; this does not imply every related card uses the label.</x:v>
      </x:c>
      <x:c r="Q574" s="26" t="str">
        <x:v>https://scryfall.com/docs/syntax</x:v>
      </x:c>
      <x:c r="R574" s="26" t="str">
        <x:v>2026-08-21</x:v>
      </x:c>
    </x:row>
    <x:row r="575">
      <x:c r="A575" s="26" t="str">
        <x:v>AbilityWords!A53</x:v>
      </x:c>
      <x:c r="B575" s="26" t="str">
        <x:v>Ability Word</x:v>
      </x:c>
      <x:c r="C575" s="26" t="str">
        <x:v>Opus</x:v>
      </x:c>
      <x:c r="D575" s="26" t="str">
        <x:v>Rules-text label</x:v>
      </x:c>
      <x:c r="E575" s="26"/>
      <x:c r="F575" s="26" t="str">
        <x:v>o:"Opus"</x:v>
      </x:c>
      <x:c r="G575" s="26" t="str">
        <x:v>Medium</x:v>
      </x:c>
      <x:c r="H575" s="26" t="str">
        <x:v>Ability word</x:v>
      </x:c>
      <x:c r="I575" s="26" t="str">
        <x:v>oracle:</x:v>
      </x:c>
      <x:c r="J575" s="26" t="str">
        <x:v>o:"Opus"</x:v>
      </x:c>
      <x:c r="K575" s="26" t="str"/>
      <x:c r="L575" s="26" t="str">
        <x:v>opus</x:v>
      </x:c>
      <x:c r="M575" s="26" t="str">
        <x:v>Translate directly</x:v>
      </x:c>
      <x:c r="N575" s="26" t="str">
        <x:v>Production-ready</x:v>
      </x:c>
      <x:c r="O575" s="43" t="n">
        <x:v>0.95</x:v>
      </x:c>
      <x:c r="P575" s="26" t="str">
        <x:v>Ability words are labels in Oracle text; this does not imply every related card uses the label.</x:v>
      </x:c>
      <x:c r="Q575" s="26" t="str">
        <x:v>https://scryfall.com/docs/syntax</x:v>
      </x:c>
      <x:c r="R575" s="26" t="str">
        <x:v>2026-08-21</x:v>
      </x:c>
    </x:row>
    <x:row r="576">
      <x:c r="A576" s="26" t="str">
        <x:v>AbilityWords!A54</x:v>
      </x:c>
      <x:c r="B576" s="26" t="str">
        <x:v>Ability Word</x:v>
      </x:c>
      <x:c r="C576" s="26" t="str">
        <x:v>Pack tactics</x:v>
      </x:c>
      <x:c r="D576" s="26" t="str">
        <x:v>Rules-text label</x:v>
      </x:c>
      <x:c r="E576" s="26"/>
      <x:c r="F576" s="26" t="str">
        <x:v>o:"Pack tactics"</x:v>
      </x:c>
      <x:c r="G576" s="26" t="str">
        <x:v>Medium</x:v>
      </x:c>
      <x:c r="H576" s="26" t="str">
        <x:v>Ability word</x:v>
      </x:c>
      <x:c r="I576" s="26" t="str">
        <x:v>oracle:</x:v>
      </x:c>
      <x:c r="J576" s="26" t="str">
        <x:v>o:"Pack tactics"</x:v>
      </x:c>
      <x:c r="K576" s="26" t="str"/>
      <x:c r="L576" s="26" t="str">
        <x:v>pack tactics</x:v>
      </x:c>
      <x:c r="M576" s="26" t="str">
        <x:v>Translate directly</x:v>
      </x:c>
      <x:c r="N576" s="26" t="str">
        <x:v>Production-ready</x:v>
      </x:c>
      <x:c r="O576" s="43" t="n">
        <x:v>0.95</x:v>
      </x:c>
      <x:c r="P576" s="26" t="str">
        <x:v>Ability words are labels in Oracle text; this does not imply every related card uses the label.</x:v>
      </x:c>
      <x:c r="Q576" s="26" t="str">
        <x:v>https://scryfall.com/docs/syntax</x:v>
      </x:c>
      <x:c r="R576" s="26" t="str">
        <x:v>2026-08-21</x:v>
      </x:c>
    </x:row>
    <x:row r="577">
      <x:c r="A577" s="26" t="str">
        <x:v>AbilityWords!A55</x:v>
      </x:c>
      <x:c r="B577" s="26" t="str">
        <x:v>Ability Word</x:v>
      </x:c>
      <x:c r="C577" s="26" t="str">
        <x:v>Parade!</x:v>
      </x:c>
      <x:c r="D577" s="26" t="str">
        <x:v>Rules-text label</x:v>
      </x:c>
      <x:c r="E577" s="26"/>
      <x:c r="F577" s="26" t="str">
        <x:v>o:"Parade!"</x:v>
      </x:c>
      <x:c r="G577" s="26" t="str">
        <x:v>Medium</x:v>
      </x:c>
      <x:c r="H577" s="26" t="str">
        <x:v>Ability word</x:v>
      </x:c>
      <x:c r="I577" s="26" t="str">
        <x:v>oracle:</x:v>
      </x:c>
      <x:c r="J577" s="26" t="str">
        <x:v>o:"Parade!"</x:v>
      </x:c>
      <x:c r="K577" s="26" t="str"/>
      <x:c r="L577" s="26" t="str">
        <x:v>parade!</x:v>
      </x:c>
      <x:c r="M577" s="26" t="str">
        <x:v>Translate directly</x:v>
      </x:c>
      <x:c r="N577" s="26" t="str">
        <x:v>Production-ready</x:v>
      </x:c>
      <x:c r="O577" s="43" t="n">
        <x:v>0.95</x:v>
      </x:c>
      <x:c r="P577" s="26" t="str">
        <x:v>Ability words are labels in Oracle text; this does not imply every related card uses the label.</x:v>
      </x:c>
      <x:c r="Q577" s="26" t="str">
        <x:v>https://scryfall.com/docs/syntax</x:v>
      </x:c>
      <x:c r="R577" s="26" t="str">
        <x:v>2026-08-21</x:v>
      </x:c>
    </x:row>
    <x:row r="578">
      <x:c r="A578" s="26" t="str">
        <x:v>AbilityWords!A56</x:v>
      </x:c>
      <x:c r="B578" s="26" t="str">
        <x:v>Ability Word</x:v>
      </x:c>
      <x:c r="C578" s="26" t="str">
        <x:v>Paradox</x:v>
      </x:c>
      <x:c r="D578" s="26" t="str">
        <x:v>Rules-text label</x:v>
      </x:c>
      <x:c r="E578" s="26"/>
      <x:c r="F578" s="26" t="str">
        <x:v>o:"Paradox"</x:v>
      </x:c>
      <x:c r="G578" s="26" t="str">
        <x:v>Medium</x:v>
      </x:c>
      <x:c r="H578" s="26" t="str">
        <x:v>Ability word</x:v>
      </x:c>
      <x:c r="I578" s="26" t="str">
        <x:v>oracle:</x:v>
      </x:c>
      <x:c r="J578" s="26" t="str">
        <x:v>o:"Paradox"</x:v>
      </x:c>
      <x:c r="K578" s="26" t="str"/>
      <x:c r="L578" s="26" t="str">
        <x:v>paradox</x:v>
      </x:c>
      <x:c r="M578" s="26" t="str">
        <x:v>Translate directly</x:v>
      </x:c>
      <x:c r="N578" s="26" t="str">
        <x:v>Production-ready</x:v>
      </x:c>
      <x:c r="O578" s="43" t="n">
        <x:v>0.95</x:v>
      </x:c>
      <x:c r="P578" s="26" t="str">
        <x:v>Ability words are labels in Oracle text; this does not imply every related card uses the label.</x:v>
      </x:c>
      <x:c r="Q578" s="26" t="str">
        <x:v>https://scryfall.com/docs/syntax</x:v>
      </x:c>
      <x:c r="R578" s="26" t="str">
        <x:v>2026-08-21</x:v>
      </x:c>
    </x:row>
    <x:row r="579">
      <x:c r="A579" s="26" t="str">
        <x:v>AbilityWords!A57</x:v>
      </x:c>
      <x:c r="B579" s="26" t="str">
        <x:v>Ability Word</x:v>
      </x:c>
      <x:c r="C579" s="26" t="str">
        <x:v>Parley</x:v>
      </x:c>
      <x:c r="D579" s="26" t="str">
        <x:v>Rules-text label</x:v>
      </x:c>
      <x:c r="E579" s="26"/>
      <x:c r="F579" s="26" t="str">
        <x:v>o:"Parley"</x:v>
      </x:c>
      <x:c r="G579" s="26" t="str">
        <x:v>Medium</x:v>
      </x:c>
      <x:c r="H579" s="26" t="str">
        <x:v>Ability word</x:v>
      </x:c>
      <x:c r="I579" s="26" t="str">
        <x:v>oracle:</x:v>
      </x:c>
      <x:c r="J579" s="26" t="str">
        <x:v>o:"Parley"</x:v>
      </x:c>
      <x:c r="K579" s="26" t="str"/>
      <x:c r="L579" s="26" t="str">
        <x:v>parley</x:v>
      </x:c>
      <x:c r="M579" s="26" t="str">
        <x:v>Translate directly</x:v>
      </x:c>
      <x:c r="N579" s="26" t="str">
        <x:v>Production-ready</x:v>
      </x:c>
      <x:c r="O579" s="43" t="n">
        <x:v>0.95</x:v>
      </x:c>
      <x:c r="P579" s="26" t="str">
        <x:v>Ability words are labels in Oracle text; this does not imply every related card uses the label.</x:v>
      </x:c>
      <x:c r="Q579" s="26" t="str">
        <x:v>https://scryfall.com/docs/syntax</x:v>
      </x:c>
      <x:c r="R579" s="26" t="str">
        <x:v>2026-08-21</x:v>
      </x:c>
    </x:row>
    <x:row r="580">
      <x:c r="A580" s="26" t="str">
        <x:v>AbilityWords!A58</x:v>
      </x:c>
      <x:c r="B580" s="26" t="str">
        <x:v>Ability Word</x:v>
      </x:c>
      <x:c r="C580" s="26" t="str">
        <x:v>Radiance</x:v>
      </x:c>
      <x:c r="D580" s="26" t="str">
        <x:v>Rules-text label</x:v>
      </x:c>
      <x:c r="E580" s="26"/>
      <x:c r="F580" s="26" t="str">
        <x:v>o:"Radiance"</x:v>
      </x:c>
      <x:c r="G580" s="26" t="str">
        <x:v>Medium</x:v>
      </x:c>
      <x:c r="H580" s="26" t="str">
        <x:v>Ability word</x:v>
      </x:c>
      <x:c r="I580" s="26" t="str">
        <x:v>oracle:</x:v>
      </x:c>
      <x:c r="J580" s="26" t="str">
        <x:v>o:"Radiance"</x:v>
      </x:c>
      <x:c r="K580" s="26" t="str"/>
      <x:c r="L580" s="26" t="str">
        <x:v>radiance</x:v>
      </x:c>
      <x:c r="M580" s="26" t="str">
        <x:v>Translate directly</x:v>
      </x:c>
      <x:c r="N580" s="26" t="str">
        <x:v>Production-ready</x:v>
      </x:c>
      <x:c r="O580" s="43" t="n">
        <x:v>0.95</x:v>
      </x:c>
      <x:c r="P580" s="26" t="str">
        <x:v>Ability words are labels in Oracle text; this does not imply every related card uses the label.</x:v>
      </x:c>
      <x:c r="Q580" s="26" t="str">
        <x:v>https://scryfall.com/docs/syntax</x:v>
      </x:c>
      <x:c r="R580" s="26" t="str">
        <x:v>2026-08-21</x:v>
      </x:c>
    </x:row>
    <x:row r="581">
      <x:c r="A581" s="26" t="str">
        <x:v>AbilityWords!A59</x:v>
      </x:c>
      <x:c r="B581" s="26" t="str">
        <x:v>Ability Word</x:v>
      </x:c>
      <x:c r="C581" s="26" t="str">
        <x:v>Raid</x:v>
      </x:c>
      <x:c r="D581" s="26" t="str">
        <x:v>Rules-text label</x:v>
      </x:c>
      <x:c r="E581" s="26"/>
      <x:c r="F581" s="26" t="str">
        <x:v>o:"Raid"</x:v>
      </x:c>
      <x:c r="G581" s="26" t="str">
        <x:v>Medium</x:v>
      </x:c>
      <x:c r="H581" s="26" t="str">
        <x:v>Ability word</x:v>
      </x:c>
      <x:c r="I581" s="26" t="str">
        <x:v>oracle:</x:v>
      </x:c>
      <x:c r="J581" s="26" t="str">
        <x:v>o:"Raid"</x:v>
      </x:c>
      <x:c r="K581" s="26" t="str"/>
      <x:c r="L581" s="26" t="str">
        <x:v>raid</x:v>
      </x:c>
      <x:c r="M581" s="26" t="str">
        <x:v>Translate directly</x:v>
      </x:c>
      <x:c r="N581" s="26" t="str">
        <x:v>Production-ready</x:v>
      </x:c>
      <x:c r="O581" s="43" t="n">
        <x:v>0.95</x:v>
      </x:c>
      <x:c r="P581" s="26" t="str">
        <x:v>Ability words are labels in Oracle text; this does not imply every related card uses the label.</x:v>
      </x:c>
      <x:c r="Q581" s="26" t="str">
        <x:v>https://scryfall.com/docs/syntax</x:v>
      </x:c>
      <x:c r="R581" s="26" t="str">
        <x:v>2026-08-21</x:v>
      </x:c>
    </x:row>
    <x:row r="582">
      <x:c r="A582" s="26" t="str">
        <x:v>AbilityWords!A60</x:v>
      </x:c>
      <x:c r="B582" s="26" t="str">
        <x:v>Ability Word</x:v>
      </x:c>
      <x:c r="C582" s="26" t="str">
        <x:v>Rally</x:v>
      </x:c>
      <x:c r="D582" s="26" t="str">
        <x:v>Rules-text label</x:v>
      </x:c>
      <x:c r="E582" s="26"/>
      <x:c r="F582" s="26" t="str">
        <x:v>o:"Rally"</x:v>
      </x:c>
      <x:c r="G582" s="26" t="str">
        <x:v>Medium</x:v>
      </x:c>
      <x:c r="H582" s="26" t="str">
        <x:v>Ability word</x:v>
      </x:c>
      <x:c r="I582" s="26" t="str">
        <x:v>oracle:</x:v>
      </x:c>
      <x:c r="J582" s="26" t="str">
        <x:v>o:"Rally"</x:v>
      </x:c>
      <x:c r="K582" s="26" t="str"/>
      <x:c r="L582" s="26" t="str">
        <x:v>rally</x:v>
      </x:c>
      <x:c r="M582" s="26" t="str">
        <x:v>Translate directly</x:v>
      </x:c>
      <x:c r="N582" s="26" t="str">
        <x:v>Production-ready</x:v>
      </x:c>
      <x:c r="O582" s="43" t="n">
        <x:v>0.95</x:v>
      </x:c>
      <x:c r="P582" s="26" t="str">
        <x:v>Ability words are labels in Oracle text; this does not imply every related card uses the label.</x:v>
      </x:c>
      <x:c r="Q582" s="26" t="str">
        <x:v>https://scryfall.com/docs/syntax</x:v>
      </x:c>
      <x:c r="R582" s="26" t="str">
        <x:v>2026-08-21</x:v>
      </x:c>
    </x:row>
    <x:row r="583">
      <x:c r="A583" s="26" t="str">
        <x:v>AbilityWords!A61</x:v>
      </x:c>
      <x:c r="B583" s="26" t="str">
        <x:v>Ability Word</x:v>
      </x:c>
      <x:c r="C583" s="26" t="str">
        <x:v>Renew</x:v>
      </x:c>
      <x:c r="D583" s="26" t="str">
        <x:v>Rules-text label</x:v>
      </x:c>
      <x:c r="E583" s="26"/>
      <x:c r="F583" s="26" t="str">
        <x:v>o:"Renew"</x:v>
      </x:c>
      <x:c r="G583" s="26" t="str">
        <x:v>Medium</x:v>
      </x:c>
      <x:c r="H583" s="26" t="str">
        <x:v>Ability word</x:v>
      </x:c>
      <x:c r="I583" s="26" t="str">
        <x:v>oracle:</x:v>
      </x:c>
      <x:c r="J583" s="26" t="str">
        <x:v>o:"Renew"</x:v>
      </x:c>
      <x:c r="K583" s="26" t="str"/>
      <x:c r="L583" s="26" t="str">
        <x:v>renew</x:v>
      </x:c>
      <x:c r="M583" s="26" t="str">
        <x:v>Translate directly</x:v>
      </x:c>
      <x:c r="N583" s="26" t="str">
        <x:v>Production-ready</x:v>
      </x:c>
      <x:c r="O583" s="43" t="n">
        <x:v>0.95</x:v>
      </x:c>
      <x:c r="P583" s="26" t="str">
        <x:v>Ability words are labels in Oracle text; this does not imply every related card uses the label.</x:v>
      </x:c>
      <x:c r="Q583" s="26" t="str">
        <x:v>https://scryfall.com/docs/syntax</x:v>
      </x:c>
      <x:c r="R583" s="26" t="str">
        <x:v>2026-08-21</x:v>
      </x:c>
    </x:row>
    <x:row r="584">
      <x:c r="A584" s="26" t="str">
        <x:v>AbilityWords!A62</x:v>
      </x:c>
      <x:c r="B584" s="26" t="str">
        <x:v>Ability Word</x:v>
      </x:c>
      <x:c r="C584" s="26" t="str">
        <x:v>Repartee</x:v>
      </x:c>
      <x:c r="D584" s="26" t="str">
        <x:v>Rules-text label</x:v>
      </x:c>
      <x:c r="E584" s="26"/>
      <x:c r="F584" s="26" t="str">
        <x:v>o:"Repartee"</x:v>
      </x:c>
      <x:c r="G584" s="26" t="str">
        <x:v>Medium</x:v>
      </x:c>
      <x:c r="H584" s="26" t="str">
        <x:v>Ability word</x:v>
      </x:c>
      <x:c r="I584" s="26" t="str">
        <x:v>oracle:</x:v>
      </x:c>
      <x:c r="J584" s="26" t="str">
        <x:v>o:"Repartee"</x:v>
      </x:c>
      <x:c r="K584" s="26" t="str"/>
      <x:c r="L584" s="26" t="str">
        <x:v>repartee</x:v>
      </x:c>
      <x:c r="M584" s="26" t="str">
        <x:v>Translate directly</x:v>
      </x:c>
      <x:c r="N584" s="26" t="str">
        <x:v>Production-ready</x:v>
      </x:c>
      <x:c r="O584" s="43" t="n">
        <x:v>0.95</x:v>
      </x:c>
      <x:c r="P584" s="26" t="str">
        <x:v>Ability words are labels in Oracle text; this does not imply every related card uses the label.</x:v>
      </x:c>
      <x:c r="Q584" s="26" t="str">
        <x:v>https://scryfall.com/docs/syntax</x:v>
      </x:c>
      <x:c r="R584" s="26" t="str">
        <x:v>2026-08-21</x:v>
      </x:c>
    </x:row>
    <x:row r="585">
      <x:c r="A585" s="26" t="str">
        <x:v>AbilityWords!A63</x:v>
      </x:c>
      <x:c r="B585" s="26" t="str">
        <x:v>Ability Word</x:v>
      </x:c>
      <x:c r="C585" s="26" t="str">
        <x:v>Revolt</x:v>
      </x:c>
      <x:c r="D585" s="26" t="str">
        <x:v>Rules-text label</x:v>
      </x:c>
      <x:c r="E585" s="26"/>
      <x:c r="F585" s="26" t="str">
        <x:v>o:"Revolt"</x:v>
      </x:c>
      <x:c r="G585" s="26" t="str">
        <x:v>Medium</x:v>
      </x:c>
      <x:c r="H585" s="26" t="str">
        <x:v>Ability word</x:v>
      </x:c>
      <x:c r="I585" s="26" t="str">
        <x:v>oracle:</x:v>
      </x:c>
      <x:c r="J585" s="26" t="str">
        <x:v>o:"Revolt"</x:v>
      </x:c>
      <x:c r="K585" s="26" t="str"/>
      <x:c r="L585" s="26" t="str">
        <x:v>revolt</x:v>
      </x:c>
      <x:c r="M585" s="26" t="str">
        <x:v>Translate directly</x:v>
      </x:c>
      <x:c r="N585" s="26" t="str">
        <x:v>Production-ready</x:v>
      </x:c>
      <x:c r="O585" s="43" t="n">
        <x:v>0.95</x:v>
      </x:c>
      <x:c r="P585" s="26" t="str">
        <x:v>Ability words are labels in Oracle text; this does not imply every related card uses the label.</x:v>
      </x:c>
      <x:c r="Q585" s="26" t="str">
        <x:v>https://scryfall.com/docs/syntax</x:v>
      </x:c>
      <x:c r="R585" s="26" t="str">
        <x:v>2026-08-21</x:v>
      </x:c>
    </x:row>
    <x:row r="586">
      <x:c r="A586" s="26" t="str">
        <x:v>AbilityWords!A64</x:v>
      </x:c>
      <x:c r="B586" s="26" t="str">
        <x:v>Ability Word</x:v>
      </x:c>
      <x:c r="C586" s="26" t="str">
        <x:v>Rulebreaker</x:v>
      </x:c>
      <x:c r="D586" s="26" t="str">
        <x:v>Rules-text label</x:v>
      </x:c>
      <x:c r="E586" s="26"/>
      <x:c r="F586" s="26" t="str">
        <x:v>o:"Rulebreaker"</x:v>
      </x:c>
      <x:c r="G586" s="26" t="str">
        <x:v>Medium</x:v>
      </x:c>
      <x:c r="H586" s="26" t="str">
        <x:v>Ability word</x:v>
      </x:c>
      <x:c r="I586" s="26" t="str">
        <x:v>oracle:</x:v>
      </x:c>
      <x:c r="J586" s="26" t="str">
        <x:v>o:"Rulebreaker"</x:v>
      </x:c>
      <x:c r="K586" s="26" t="str"/>
      <x:c r="L586" s="26" t="str">
        <x:v>rulebreaker</x:v>
      </x:c>
      <x:c r="M586" s="26" t="str">
        <x:v>Translate directly</x:v>
      </x:c>
      <x:c r="N586" s="26" t="str">
        <x:v>Production-ready</x:v>
      </x:c>
      <x:c r="O586" s="43" t="n">
        <x:v>0.95</x:v>
      </x:c>
      <x:c r="P586" s="26" t="str">
        <x:v>Ability words are labels in Oracle text; this does not imply every related card uses the label.</x:v>
      </x:c>
      <x:c r="Q586" s="26" t="str">
        <x:v>https://scryfall.com/docs/syntax</x:v>
      </x:c>
      <x:c r="R586" s="26" t="str">
        <x:v>2026-08-21</x:v>
      </x:c>
    </x:row>
    <x:row r="587">
      <x:c r="A587" s="26" t="str">
        <x:v>AbilityWords!A65</x:v>
      </x:c>
      <x:c r="B587" s="26" t="str">
        <x:v>Ability Word</x:v>
      </x:c>
      <x:c r="C587" s="26" t="str">
        <x:v>Scryfall (ability word)</x:v>
      </x:c>
      <x:c r="D587" s="26" t="str">
        <x:v>Rules-text label</x:v>
      </x:c>
      <x:c r="E587" s="26"/>
      <x:c r="F587" s="26" t="str">
        <x:v>o:"Scryfall (ability word)"</x:v>
      </x:c>
      <x:c r="G587" s="26" t="str">
        <x:v>Medium</x:v>
      </x:c>
      <x:c r="H587" s="26" t="str">
        <x:v>Ability word</x:v>
      </x:c>
      <x:c r="I587" s="26" t="str">
        <x:v>oracle:</x:v>
      </x:c>
      <x:c r="J587" s="26" t="str">
        <x:v>o:"Scryfall (ability word)"</x:v>
      </x:c>
      <x:c r="K587" s="26" t="str"/>
      <x:c r="L587" s="26" t="str">
        <x:v>scryfall (ability word)</x:v>
      </x:c>
      <x:c r="M587" s="26" t="str">
        <x:v>Translate directly</x:v>
      </x:c>
      <x:c r="N587" s="26" t="str">
        <x:v>Production-ready</x:v>
      </x:c>
      <x:c r="O587" s="43" t="n">
        <x:v>0.95</x:v>
      </x:c>
      <x:c r="P587" s="26" t="str">
        <x:v>Ability words are labels in Oracle text; this does not imply every related card uses the label.</x:v>
      </x:c>
      <x:c r="Q587" s="26" t="str">
        <x:v>https://scryfall.com/docs/syntax</x:v>
      </x:c>
      <x:c r="R587" s="26" t="str">
        <x:v>2026-08-21</x:v>
      </x:c>
    </x:row>
    <x:row r="588">
      <x:c r="A588" s="26" t="str">
        <x:v>AbilityWords!A66</x:v>
      </x:c>
      <x:c r="B588" s="26" t="str">
        <x:v>Ability Word</x:v>
      </x:c>
      <x:c r="C588" s="26" t="str">
        <x:v>Secret council</x:v>
      </x:c>
      <x:c r="D588" s="26" t="str">
        <x:v>Rules-text label</x:v>
      </x:c>
      <x:c r="E588" s="26"/>
      <x:c r="F588" s="26" t="str">
        <x:v>o:"Secret council"</x:v>
      </x:c>
      <x:c r="G588" s="26" t="str">
        <x:v>Medium</x:v>
      </x:c>
      <x:c r="H588" s="26" t="str">
        <x:v>Ability word</x:v>
      </x:c>
      <x:c r="I588" s="26" t="str">
        <x:v>oracle:</x:v>
      </x:c>
      <x:c r="J588" s="26" t="str">
        <x:v>o:"Secret council"</x:v>
      </x:c>
      <x:c r="K588" s="26" t="str"/>
      <x:c r="L588" s="26" t="str">
        <x:v>secret council</x:v>
      </x:c>
      <x:c r="M588" s="26" t="str">
        <x:v>Translate directly</x:v>
      </x:c>
      <x:c r="N588" s="26" t="str">
        <x:v>Production-ready</x:v>
      </x:c>
      <x:c r="O588" s="43" t="n">
        <x:v>0.95</x:v>
      </x:c>
      <x:c r="P588" s="26" t="str">
        <x:v>Ability words are labels in Oracle text; this does not imply every related card uses the label.</x:v>
      </x:c>
      <x:c r="Q588" s="26" t="str">
        <x:v>https://scryfall.com/docs/syntax</x:v>
      </x:c>
      <x:c r="R588" s="26" t="str">
        <x:v>2026-08-21</x:v>
      </x:c>
    </x:row>
    <x:row r="589">
      <x:c r="A589" s="26" t="str">
        <x:v>AbilityWords!A67</x:v>
      </x:c>
      <x:c r="B589" s="26" t="str">
        <x:v>Ability Word</x:v>
      </x:c>
      <x:c r="C589" s="26" t="str">
        <x:v>Spell mastery</x:v>
      </x:c>
      <x:c r="D589" s="26" t="str">
        <x:v>Rules-text label</x:v>
      </x:c>
      <x:c r="E589" s="26"/>
      <x:c r="F589" s="26" t="str">
        <x:v>o:"Spell mastery"</x:v>
      </x:c>
      <x:c r="G589" s="26" t="str">
        <x:v>Medium</x:v>
      </x:c>
      <x:c r="H589" s="26" t="str">
        <x:v>Ability word</x:v>
      </x:c>
      <x:c r="I589" s="26" t="str">
        <x:v>oracle:</x:v>
      </x:c>
      <x:c r="J589" s="26" t="str">
        <x:v>o:"Spell mastery"</x:v>
      </x:c>
      <x:c r="K589" s="26" t="str"/>
      <x:c r="L589" s="26" t="str">
        <x:v>spell mastery</x:v>
      </x:c>
      <x:c r="M589" s="26" t="str">
        <x:v>Translate directly</x:v>
      </x:c>
      <x:c r="N589" s="26" t="str">
        <x:v>Production-ready</x:v>
      </x:c>
      <x:c r="O589" s="43" t="n">
        <x:v>0.95</x:v>
      </x:c>
      <x:c r="P589" s="26" t="str">
        <x:v>Ability words are labels in Oracle text; this does not imply every related card uses the label.</x:v>
      </x:c>
      <x:c r="Q589" s="26" t="str">
        <x:v>https://scryfall.com/docs/syntax</x:v>
      </x:c>
      <x:c r="R589" s="26" t="str">
        <x:v>2026-08-21</x:v>
      </x:c>
    </x:row>
    <x:row r="590">
      <x:c r="A590" s="26" t="str">
        <x:v>AbilityWords!A68</x:v>
      </x:c>
      <x:c r="B590" s="26" t="str">
        <x:v>Ability Word</x:v>
      </x:c>
      <x:c r="C590" s="26" t="str">
        <x:v>Start your engines!</x:v>
      </x:c>
      <x:c r="D590" s="26" t="str">
        <x:v>Rules-text label</x:v>
      </x:c>
      <x:c r="E590" s="26"/>
      <x:c r="F590" s="26" t="str">
        <x:v>o:"Start your engines!"</x:v>
      </x:c>
      <x:c r="G590" s="26" t="str">
        <x:v>Medium</x:v>
      </x:c>
      <x:c r="H590" s="26" t="str">
        <x:v>Ability word</x:v>
      </x:c>
      <x:c r="I590" s="26" t="str">
        <x:v>oracle:</x:v>
      </x:c>
      <x:c r="J590" s="26" t="str">
        <x:v>o:"Start your engines!"</x:v>
      </x:c>
      <x:c r="K590" s="26" t="str"/>
      <x:c r="L590" s="26" t="str">
        <x:v>start your engines!</x:v>
      </x:c>
      <x:c r="M590" s="26" t="str">
        <x:v>Translate directly</x:v>
      </x:c>
      <x:c r="N590" s="26" t="str">
        <x:v>Production-ready</x:v>
      </x:c>
      <x:c r="O590" s="43" t="n">
        <x:v>0.95</x:v>
      </x:c>
      <x:c r="P590" s="26" t="str">
        <x:v>Ability words are labels in Oracle text; this does not imply every related card uses the label.</x:v>
      </x:c>
      <x:c r="Q590" s="26" t="str">
        <x:v>https://scryfall.com/docs/syntax</x:v>
      </x:c>
      <x:c r="R590" s="26" t="str">
        <x:v>2026-08-21</x:v>
      </x:c>
    </x:row>
    <x:row r="591">
      <x:c r="A591" s="26" t="str">
        <x:v>AbilityWords!A69</x:v>
      </x:c>
      <x:c r="B591" s="26" t="str">
        <x:v>Ability Word</x:v>
      </x:c>
      <x:c r="C591" s="26" t="str">
        <x:v>Strive</x:v>
      </x:c>
      <x:c r="D591" s="26" t="str">
        <x:v>Rules-text label</x:v>
      </x:c>
      <x:c r="E591" s="26"/>
      <x:c r="F591" s="26" t="str">
        <x:v>o:"Strive"</x:v>
      </x:c>
      <x:c r="G591" s="26" t="str">
        <x:v>Medium</x:v>
      </x:c>
      <x:c r="H591" s="26" t="str">
        <x:v>Ability word</x:v>
      </x:c>
      <x:c r="I591" s="26" t="str">
        <x:v>oracle:</x:v>
      </x:c>
      <x:c r="J591" s="26" t="str">
        <x:v>o:"Strive"</x:v>
      </x:c>
      <x:c r="K591" s="26" t="str"/>
      <x:c r="L591" s="26" t="str">
        <x:v>strive</x:v>
      </x:c>
      <x:c r="M591" s="26" t="str">
        <x:v>Translate directly</x:v>
      </x:c>
      <x:c r="N591" s="26" t="str">
        <x:v>Production-ready</x:v>
      </x:c>
      <x:c r="O591" s="43" t="n">
        <x:v>0.95</x:v>
      </x:c>
      <x:c r="P591" s="26" t="str">
        <x:v>Ability words are labels in Oracle text; this does not imply every related card uses the label.</x:v>
      </x:c>
      <x:c r="Q591" s="26" t="str">
        <x:v>https://scryfall.com/docs/syntax</x:v>
      </x:c>
      <x:c r="R591" s="26" t="str">
        <x:v>2026-08-21</x:v>
      </x:c>
    </x:row>
    <x:row r="592">
      <x:c r="A592" s="26" t="str">
        <x:v>AbilityWords!A70</x:v>
      </x:c>
      <x:c r="B592" s="26" t="str">
        <x:v>Ability Word</x:v>
      </x:c>
      <x:c r="C592" s="26" t="str">
        <x:v>Survival</x:v>
      </x:c>
      <x:c r="D592" s="26" t="str">
        <x:v>Rules-text label</x:v>
      </x:c>
      <x:c r="E592" s="26"/>
      <x:c r="F592" s="26" t="str">
        <x:v>o:"Survival"</x:v>
      </x:c>
      <x:c r="G592" s="26" t="str">
        <x:v>Medium</x:v>
      </x:c>
      <x:c r="H592" s="26" t="str">
        <x:v>Ability word</x:v>
      </x:c>
      <x:c r="I592" s="26" t="str">
        <x:v>oracle:</x:v>
      </x:c>
      <x:c r="J592" s="26" t="str">
        <x:v>o:"Survival"</x:v>
      </x:c>
      <x:c r="K592" s="26" t="str"/>
      <x:c r="L592" s="26" t="str">
        <x:v>survival</x:v>
      </x:c>
      <x:c r="M592" s="26" t="str">
        <x:v>Translate directly</x:v>
      </x:c>
      <x:c r="N592" s="26" t="str">
        <x:v>Production-ready</x:v>
      </x:c>
      <x:c r="O592" s="43" t="n">
        <x:v>0.95</x:v>
      </x:c>
      <x:c r="P592" s="26" t="str">
        <x:v>Ability words are labels in Oracle text; this does not imply every related card uses the label.</x:v>
      </x:c>
      <x:c r="Q592" s="26" t="str">
        <x:v>https://scryfall.com/docs/syntax</x:v>
      </x:c>
      <x:c r="R592" s="26" t="str">
        <x:v>2026-08-21</x:v>
      </x:c>
    </x:row>
    <x:row r="593">
      <x:c r="A593" s="26" t="str">
        <x:v>AbilityWords!A71</x:v>
      </x:c>
      <x:c r="B593" s="26" t="str">
        <x:v>Ability Word</x:v>
      </x:c>
      <x:c r="C593" s="26" t="str">
        <x:v>Sweep</x:v>
      </x:c>
      <x:c r="D593" s="26" t="str">
        <x:v>Rules-text label</x:v>
      </x:c>
      <x:c r="E593" s="26"/>
      <x:c r="F593" s="26" t="str">
        <x:v>o:"Sweep"</x:v>
      </x:c>
      <x:c r="G593" s="26" t="str">
        <x:v>Medium</x:v>
      </x:c>
      <x:c r="H593" s="26" t="str">
        <x:v>Ability word</x:v>
      </x:c>
      <x:c r="I593" s="26" t="str">
        <x:v>oracle:</x:v>
      </x:c>
      <x:c r="J593" s="26" t="str">
        <x:v>o:"Sweep"</x:v>
      </x:c>
      <x:c r="K593" s="26" t="str"/>
      <x:c r="L593" s="26" t="str">
        <x:v>sweep</x:v>
      </x:c>
      <x:c r="M593" s="26" t="str">
        <x:v>Translate directly</x:v>
      </x:c>
      <x:c r="N593" s="26" t="str">
        <x:v>Production-ready</x:v>
      </x:c>
      <x:c r="O593" s="43" t="n">
        <x:v>0.95</x:v>
      </x:c>
      <x:c r="P593" s="26" t="str">
        <x:v>Ability words are labels in Oracle text; this does not imply every related card uses the label.</x:v>
      </x:c>
      <x:c r="Q593" s="26" t="str">
        <x:v>https://scryfall.com/docs/syntax</x:v>
      </x:c>
      <x:c r="R593" s="26" t="str">
        <x:v>2026-08-21</x:v>
      </x:c>
    </x:row>
    <x:row r="594">
      <x:c r="A594" s="26" t="str">
        <x:v>AbilityWords!A72</x:v>
      </x:c>
      <x:c r="B594" s="26" t="str">
        <x:v>Ability Word</x:v>
      </x:c>
      <x:c r="C594" s="26" t="str">
        <x:v>Tempting offer</x:v>
      </x:c>
      <x:c r="D594" s="26" t="str">
        <x:v>Rules-text label</x:v>
      </x:c>
      <x:c r="E594" s="26"/>
      <x:c r="F594" s="26" t="str">
        <x:v>o:"Tempting offer"</x:v>
      </x:c>
      <x:c r="G594" s="26" t="str">
        <x:v>Medium</x:v>
      </x:c>
      <x:c r="H594" s="26" t="str">
        <x:v>Ability word</x:v>
      </x:c>
      <x:c r="I594" s="26" t="str">
        <x:v>oracle:</x:v>
      </x:c>
      <x:c r="J594" s="26" t="str">
        <x:v>o:"Tempting offer"</x:v>
      </x:c>
      <x:c r="K594" s="26" t="str"/>
      <x:c r="L594" s="26" t="str">
        <x:v>tempting offer</x:v>
      </x:c>
      <x:c r="M594" s="26" t="str">
        <x:v>Translate directly</x:v>
      </x:c>
      <x:c r="N594" s="26" t="str">
        <x:v>Production-ready</x:v>
      </x:c>
      <x:c r="O594" s="43" t="n">
        <x:v>0.95</x:v>
      </x:c>
      <x:c r="P594" s="26" t="str">
        <x:v>Ability words are labels in Oracle text; this does not imply every related card uses the label.</x:v>
      </x:c>
      <x:c r="Q594" s="26" t="str">
        <x:v>https://scryfall.com/docs/syntax</x:v>
      </x:c>
      <x:c r="R594" s="26" t="str">
        <x:v>2026-08-21</x:v>
      </x:c>
    </x:row>
    <x:row r="595">
      <x:c r="A595" s="26" t="str">
        <x:v>AbilityWords!A73</x:v>
      </x:c>
      <x:c r="B595" s="26" t="str">
        <x:v>Ability Word</x:v>
      </x:c>
      <x:c r="C595" s="26" t="str">
        <x:v>Threshold</x:v>
      </x:c>
      <x:c r="D595" s="26" t="str">
        <x:v>Rules-text label</x:v>
      </x:c>
      <x:c r="E595" s="26"/>
      <x:c r="F595" s="26" t="str">
        <x:v>o:"Threshold"</x:v>
      </x:c>
      <x:c r="G595" s="26" t="str">
        <x:v>Medium</x:v>
      </x:c>
      <x:c r="H595" s="26" t="str">
        <x:v>Ability word</x:v>
      </x:c>
      <x:c r="I595" s="26" t="str">
        <x:v>oracle:</x:v>
      </x:c>
      <x:c r="J595" s="26" t="str">
        <x:v>o:"Threshold"</x:v>
      </x:c>
      <x:c r="K595" s="26" t="str"/>
      <x:c r="L595" s="26" t="str">
        <x:v>threshold</x:v>
      </x:c>
      <x:c r="M595" s="26" t="str">
        <x:v>Translate directly</x:v>
      </x:c>
      <x:c r="N595" s="26" t="str">
        <x:v>Production-ready</x:v>
      </x:c>
      <x:c r="O595" s="43" t="n">
        <x:v>0.95</x:v>
      </x:c>
      <x:c r="P595" s="26" t="str">
        <x:v>Ability words are labels in Oracle text; this does not imply every related card uses the label.</x:v>
      </x:c>
      <x:c r="Q595" s="26" t="str">
        <x:v>https://scryfall.com/docs/syntax</x:v>
      </x:c>
      <x:c r="R595" s="26" t="str">
        <x:v>2026-08-21</x:v>
      </x:c>
    </x:row>
    <x:row r="596">
      <x:c r="A596" s="26" t="str">
        <x:v>AbilityWords!A74</x:v>
      </x:c>
      <x:c r="B596" s="26" t="str">
        <x:v>Ability Word</x:v>
      </x:c>
      <x:c r="C596" s="26" t="str">
        <x:v>Underdog</x:v>
      </x:c>
      <x:c r="D596" s="26" t="str">
        <x:v>Rules-text label</x:v>
      </x:c>
      <x:c r="E596" s="26"/>
      <x:c r="F596" s="26" t="str">
        <x:v>o:"Underdog"</x:v>
      </x:c>
      <x:c r="G596" s="26" t="str">
        <x:v>Medium</x:v>
      </x:c>
      <x:c r="H596" s="26" t="str">
        <x:v>Ability word</x:v>
      </x:c>
      <x:c r="I596" s="26" t="str">
        <x:v>oracle:</x:v>
      </x:c>
      <x:c r="J596" s="26" t="str">
        <x:v>o:"Underdog"</x:v>
      </x:c>
      <x:c r="K596" s="26" t="str"/>
      <x:c r="L596" s="26" t="str">
        <x:v>underdog</x:v>
      </x:c>
      <x:c r="M596" s="26" t="str">
        <x:v>Translate directly</x:v>
      </x:c>
      <x:c r="N596" s="26" t="str">
        <x:v>Production-ready</x:v>
      </x:c>
      <x:c r="O596" s="43" t="n">
        <x:v>0.95</x:v>
      </x:c>
      <x:c r="P596" s="26" t="str">
        <x:v>Ability words are labels in Oracle text; this does not imply every related card uses the label.</x:v>
      </x:c>
      <x:c r="Q596" s="26" t="str">
        <x:v>https://scryfall.com/docs/syntax</x:v>
      </x:c>
      <x:c r="R596" s="26" t="str">
        <x:v>2026-08-21</x:v>
      </x:c>
    </x:row>
    <x:row r="597">
      <x:c r="A597" s="26" t="str">
        <x:v>AbilityWords!A75</x:v>
      </x:c>
      <x:c r="B597" s="26" t="str">
        <x:v>Ability Word</x:v>
      </x:c>
      <x:c r="C597" s="26" t="str">
        <x:v>Undergrowth</x:v>
      </x:c>
      <x:c r="D597" s="26" t="str">
        <x:v>Rules-text label</x:v>
      </x:c>
      <x:c r="E597" s="26"/>
      <x:c r="F597" s="26" t="str">
        <x:v>o:"Undergrowth"</x:v>
      </x:c>
      <x:c r="G597" s="26" t="str">
        <x:v>Medium</x:v>
      </x:c>
      <x:c r="H597" s="26" t="str">
        <x:v>Ability word</x:v>
      </x:c>
      <x:c r="I597" s="26" t="str">
        <x:v>oracle:</x:v>
      </x:c>
      <x:c r="J597" s="26" t="str">
        <x:v>o:"Undergrowth"</x:v>
      </x:c>
      <x:c r="K597" s="26" t="str"/>
      <x:c r="L597" s="26" t="str">
        <x:v>undergrowth</x:v>
      </x:c>
      <x:c r="M597" s="26" t="str">
        <x:v>Translate directly</x:v>
      </x:c>
      <x:c r="N597" s="26" t="str">
        <x:v>Production-ready</x:v>
      </x:c>
      <x:c r="O597" s="43" t="n">
        <x:v>0.95</x:v>
      </x:c>
      <x:c r="P597" s="26" t="str">
        <x:v>Ability words are labels in Oracle text; this does not imply every related card uses the label.</x:v>
      </x:c>
      <x:c r="Q597" s="26" t="str">
        <x:v>https://scryfall.com/docs/syntax</x:v>
      </x:c>
      <x:c r="R597" s="26" t="str">
        <x:v>2026-08-21</x:v>
      </x:c>
    </x:row>
    <x:row r="598">
      <x:c r="A598" s="26" t="str">
        <x:v>AbilityWords!A76</x:v>
      </x:c>
      <x:c r="B598" s="26" t="str">
        <x:v>Ability Word</x:v>
      </x:c>
      <x:c r="C598" s="26" t="str">
        <x:v>Valiant</x:v>
      </x:c>
      <x:c r="D598" s="26" t="str">
        <x:v>Rules-text label</x:v>
      </x:c>
      <x:c r="E598" s="26"/>
      <x:c r="F598" s="26" t="str">
        <x:v>o:"Valiant"</x:v>
      </x:c>
      <x:c r="G598" s="26" t="str">
        <x:v>Medium</x:v>
      </x:c>
      <x:c r="H598" s="26" t="str">
        <x:v>Ability word</x:v>
      </x:c>
      <x:c r="I598" s="26" t="str">
        <x:v>oracle:</x:v>
      </x:c>
      <x:c r="J598" s="26" t="str">
        <x:v>o:"Valiant"</x:v>
      </x:c>
      <x:c r="K598" s="26" t="str"/>
      <x:c r="L598" s="26" t="str">
        <x:v>valiant</x:v>
      </x:c>
      <x:c r="M598" s="26" t="str">
        <x:v>Translate directly</x:v>
      </x:c>
      <x:c r="N598" s="26" t="str">
        <x:v>Production-ready</x:v>
      </x:c>
      <x:c r="O598" s="43" t="n">
        <x:v>0.95</x:v>
      </x:c>
      <x:c r="P598" s="26" t="str">
        <x:v>Ability words are labels in Oracle text; this does not imply every related card uses the label.</x:v>
      </x:c>
      <x:c r="Q598" s="26" t="str">
        <x:v>https://scryfall.com/docs/syntax</x:v>
      </x:c>
      <x:c r="R598" s="26" t="str">
        <x:v>2026-08-21</x:v>
      </x:c>
    </x:row>
    <x:row r="599">
      <x:c r="A599" s="26" t="str">
        <x:v>AbilityWords!A77</x:v>
      </x:c>
      <x:c r="B599" s="26" t="str">
        <x:v>Ability Word</x:v>
      </x:c>
      <x:c r="C599" s="26" t="str">
        <x:v>Vivid</x:v>
      </x:c>
      <x:c r="D599" s="26" t="str">
        <x:v>Rules-text label</x:v>
      </x:c>
      <x:c r="E599" s="26"/>
      <x:c r="F599" s="26" t="str">
        <x:v>o:"Vivid"</x:v>
      </x:c>
      <x:c r="G599" s="26" t="str">
        <x:v>Medium</x:v>
      </x:c>
      <x:c r="H599" s="26" t="str">
        <x:v>Ability word</x:v>
      </x:c>
      <x:c r="I599" s="26" t="str">
        <x:v>oracle:</x:v>
      </x:c>
      <x:c r="J599" s="26" t="str">
        <x:v>o:"Vivid"</x:v>
      </x:c>
      <x:c r="K599" s="26" t="str"/>
      <x:c r="L599" s="26" t="str">
        <x:v>vivid</x:v>
      </x:c>
      <x:c r="M599" s="26" t="str">
        <x:v>Translate directly</x:v>
      </x:c>
      <x:c r="N599" s="26" t="str">
        <x:v>Production-ready</x:v>
      </x:c>
      <x:c r="O599" s="43" t="n">
        <x:v>0.95</x:v>
      </x:c>
      <x:c r="P599" s="26" t="str">
        <x:v>Ability words are labels in Oracle text; this does not imply every related card uses the label.</x:v>
      </x:c>
      <x:c r="Q599" s="26" t="str">
        <x:v>https://scryfall.com/docs/syntax</x:v>
      </x:c>
      <x:c r="R599" s="26" t="str">
        <x:v>2026-08-21</x:v>
      </x:c>
    </x:row>
    <x:row r="600">
      <x:c r="A600" s="26" t="str">
        <x:v>AbilityWords!A78</x:v>
      </x:c>
      <x:c r="B600" s="26" t="str">
        <x:v>Ability Word</x:v>
      </x:c>
      <x:c r="C600" s="26" t="str">
        <x:v>Void</x:v>
      </x:c>
      <x:c r="D600" s="26" t="str">
        <x:v>Rules-text label</x:v>
      </x:c>
      <x:c r="E600" s="26"/>
      <x:c r="F600" s="26" t="str">
        <x:v>o:"Void"</x:v>
      </x:c>
      <x:c r="G600" s="26" t="str">
        <x:v>Medium</x:v>
      </x:c>
      <x:c r="H600" s="26" t="str">
        <x:v>Ability word</x:v>
      </x:c>
      <x:c r="I600" s="26" t="str">
        <x:v>oracle:</x:v>
      </x:c>
      <x:c r="J600" s="26" t="str">
        <x:v>o:"Void"</x:v>
      </x:c>
      <x:c r="K600" s="26" t="str"/>
      <x:c r="L600" s="26" t="str">
        <x:v>void</x:v>
      </x:c>
      <x:c r="M600" s="26" t="str">
        <x:v>Translate directly</x:v>
      </x:c>
      <x:c r="N600" s="26" t="str">
        <x:v>Production-ready</x:v>
      </x:c>
      <x:c r="O600" s="43" t="n">
        <x:v>0.95</x:v>
      </x:c>
      <x:c r="P600" s="26" t="str">
        <x:v>Ability words are labels in Oracle text; this does not imply every related card uses the label.</x:v>
      </x:c>
      <x:c r="Q600" s="26" t="str">
        <x:v>https://scryfall.com/docs/syntax</x:v>
      </x:c>
      <x:c r="R600" s="26" t="str">
        <x:v>2026-08-21</x:v>
      </x:c>
    </x:row>
    <x:row r="601">
      <x:c r="A601" s="26" t="str">
        <x:v>AbilityWords!A79</x:v>
      </x:c>
      <x:c r="B601" s="26" t="str">
        <x:v>Ability Word</x:v>
      </x:c>
      <x:c r="C601" s="26" t="str">
        <x:v>Will of the council</x:v>
      </x:c>
      <x:c r="D601" s="26" t="str">
        <x:v>Rules-text label</x:v>
      </x:c>
      <x:c r="E601" s="26"/>
      <x:c r="F601" s="26" t="str">
        <x:v>o:"Will of the council"</x:v>
      </x:c>
      <x:c r="G601" s="26" t="str">
        <x:v>Medium</x:v>
      </x:c>
      <x:c r="H601" s="26" t="str">
        <x:v>Ability word</x:v>
      </x:c>
      <x:c r="I601" s="26" t="str">
        <x:v>oracle:</x:v>
      </x:c>
      <x:c r="J601" s="26" t="str">
        <x:v>o:"Will of the council"</x:v>
      </x:c>
      <x:c r="K601" s="26" t="str"/>
      <x:c r="L601" s="26" t="str">
        <x:v>will of the council</x:v>
      </x:c>
      <x:c r="M601" s="26" t="str">
        <x:v>Translate directly</x:v>
      </x:c>
      <x:c r="N601" s="26" t="str">
        <x:v>Production-ready</x:v>
      </x:c>
      <x:c r="O601" s="43" t="n">
        <x:v>0.95</x:v>
      </x:c>
      <x:c r="P601" s="26" t="str">
        <x:v>Ability words are labels in Oracle text; this does not imply every related card uses the label.</x:v>
      </x:c>
      <x:c r="Q601" s="26" t="str">
        <x:v>https://scryfall.com/docs/syntax</x:v>
      </x:c>
      <x:c r="R601" s="26" t="str">
        <x:v>2026-08-21</x:v>
      </x:c>
    </x:row>
    <x:row r="602">
      <x:c r="A602" s="26" t="str">
        <x:v>AbilityWords!A80</x:v>
      </x:c>
      <x:c r="B602" s="26" t="str">
        <x:v>Ability Word</x:v>
      </x:c>
      <x:c r="C602" s="26" t="str">
        <x:v>Will of the Planeswalkers</x:v>
      </x:c>
      <x:c r="D602" s="26" t="str">
        <x:v>Rules-text label</x:v>
      </x:c>
      <x:c r="E602" s="26"/>
      <x:c r="F602" s="26" t="str">
        <x:v>o:"Will of the Planeswalkers"</x:v>
      </x:c>
      <x:c r="G602" s="26" t="str">
        <x:v>Medium</x:v>
      </x:c>
      <x:c r="H602" s="26" t="str">
        <x:v>Ability word</x:v>
      </x:c>
      <x:c r="I602" s="26" t="str">
        <x:v>oracle:</x:v>
      </x:c>
      <x:c r="J602" s="26" t="str">
        <x:v>o:"Will of the Planeswalkers"</x:v>
      </x:c>
      <x:c r="K602" s="26" t="str"/>
      <x:c r="L602" s="26" t="str">
        <x:v>will of the planeswalkers</x:v>
      </x:c>
      <x:c r="M602" s="26" t="str">
        <x:v>Translate directly</x:v>
      </x:c>
      <x:c r="N602" s="26" t="str">
        <x:v>Production-ready</x:v>
      </x:c>
      <x:c r="O602" s="43" t="n">
        <x:v>0.95</x:v>
      </x:c>
      <x:c r="P602" s="26" t="str">
        <x:v>Ability words are labels in Oracle text; this does not imply every related card uses the label.</x:v>
      </x:c>
      <x:c r="Q602" s="26" t="str">
        <x:v>https://scryfall.com/docs/syntax</x:v>
      </x:c>
      <x:c r="R602" s="26" t="str">
        <x:v>2026-08-21</x:v>
      </x:c>
    </x:row>
    <x:row r="603">
      <x:c r="A603" s="26" t="str">
        <x:v>KeywordActions!A2:B2</x:v>
      </x:c>
      <x:c r="B603" s="26" t="str">
        <x:v>Keyword Action</x:v>
      </x:c>
      <x:c r="C603" s="26" t="str">
        <x:v>Abandon</x:v>
      </x:c>
      <x:c r="D603" s="26" t="str">
        <x:v>Rule 701.33</x:v>
      </x:c>
      <x:c r="E603" s="26"/>
      <x:c r="F603" s="26" t="str">
        <x:v>o:"Abandon"</x:v>
      </x:c>
      <x:c r="G603" s="26" t="str">
        <x:v>Medium</x:v>
      </x:c>
      <x:c r="H603" s="26" t="str">
        <x:v>Keyword action</x:v>
      </x:c>
      <x:c r="I603" s="26" t="str">
        <x:v>oracle:</x:v>
      </x:c>
      <x:c r="J603" s="26" t="str">
        <x:v>o:"Abandon"</x:v>
      </x:c>
      <x:c r="K603" s="26" t="str"/>
      <x:c r="L603" s="26" t="str">
        <x:v>abandon</x:v>
      </x:c>
      <x:c r="M603" s="26" t="str">
        <x:v>Translate with wording caveat</x:v>
      </x:c>
      <x:c r="N603" s="26" t="str">
        <x:v>Review</x:v>
      </x:c>
      <x:c r="O603" s="43" t="n">
        <x:v>0.82</x:v>
      </x:c>
      <x:c r="P603" s="26" t="str">
        <x:v>Some action words are ordinary English too; results may need object/context filters.</x:v>
      </x:c>
      <x:c r="Q603" s="26" t="str">
        <x:v>https://scryfall.com/docs/syntax</x:v>
      </x:c>
      <x:c r="R603" s="26" t="str">
        <x:v>2026-08-21</x:v>
      </x:c>
    </x:row>
    <x:row r="604">
      <x:c r="A604" s="26" t="str">
        <x:v>KeywordActions!A3:B3</x:v>
      </x:c>
      <x:c r="B604" s="26" t="str">
        <x:v>Keyword Action</x:v>
      </x:c>
      <x:c r="C604" s="26" t="str">
        <x:v>Activate</x:v>
      </x:c>
      <x:c r="D604" s="26" t="str">
        <x:v>Rule 701.2</x:v>
      </x:c>
      <x:c r="E604" s="26"/>
      <x:c r="F604" s="26" t="str">
        <x:v>o:"Activate"</x:v>
      </x:c>
      <x:c r="G604" s="26" t="str">
        <x:v>Medium</x:v>
      </x:c>
      <x:c r="H604" s="26" t="str">
        <x:v>Keyword action</x:v>
      </x:c>
      <x:c r="I604" s="26" t="str">
        <x:v>oracle:</x:v>
      </x:c>
      <x:c r="J604" s="26" t="str">
        <x:v>o:"Activate"</x:v>
      </x:c>
      <x:c r="K604" s="26" t="str"/>
      <x:c r="L604" s="26" t="str">
        <x:v>activate</x:v>
      </x:c>
      <x:c r="M604" s="26" t="str">
        <x:v>Translate with wording caveat</x:v>
      </x:c>
      <x:c r="N604" s="26" t="str">
        <x:v>Review</x:v>
      </x:c>
      <x:c r="O604" s="43" t="n">
        <x:v>0.82</x:v>
      </x:c>
      <x:c r="P604" s="26" t="str">
        <x:v>Some action words are ordinary English too; results may need object/context filters.</x:v>
      </x:c>
      <x:c r="Q604" s="26" t="str">
        <x:v>https://scryfall.com/docs/syntax</x:v>
      </x:c>
      <x:c r="R604" s="26" t="str">
        <x:v>2026-08-21</x:v>
      </x:c>
    </x:row>
    <x:row r="605">
      <x:c r="A605" s="26" t="str">
        <x:v>KeywordActions!A4:B4</x:v>
      </x:c>
      <x:c r="B605" s="26" t="str">
        <x:v>Keyword Action</x:v>
      </x:c>
      <x:c r="C605" s="26" t="str">
        <x:v>Adapt</x:v>
      </x:c>
      <x:c r="D605" s="26" t="str">
        <x:v>Rule 701.46</x:v>
      </x:c>
      <x:c r="E605" s="26"/>
      <x:c r="F605" s="26" t="str">
        <x:v>o:"Adapt"</x:v>
      </x:c>
      <x:c r="G605" s="26" t="str">
        <x:v>Medium</x:v>
      </x:c>
      <x:c r="H605" s="26" t="str">
        <x:v>Keyword action</x:v>
      </x:c>
      <x:c r="I605" s="26" t="str">
        <x:v>oracle:</x:v>
      </x:c>
      <x:c r="J605" s="26" t="str">
        <x:v>o:"Adapt"</x:v>
      </x:c>
      <x:c r="K605" s="26" t="str"/>
      <x:c r="L605" s="26" t="str">
        <x:v>adapt</x:v>
      </x:c>
      <x:c r="M605" s="26" t="str">
        <x:v>Translate with wording caveat</x:v>
      </x:c>
      <x:c r="N605" s="26" t="str">
        <x:v>Review</x:v>
      </x:c>
      <x:c r="O605" s="43" t="n">
        <x:v>0.82</x:v>
      </x:c>
      <x:c r="P605" s="26" t="str">
        <x:v>Some action words are ordinary English too; results may need object/context filters.</x:v>
      </x:c>
      <x:c r="Q605" s="26" t="str">
        <x:v>https://scryfall.com/docs/syntax</x:v>
      </x:c>
      <x:c r="R605" s="26" t="str">
        <x:v>2026-08-21</x:v>
      </x:c>
    </x:row>
    <x:row r="606">
      <x:c r="A606" s="26" t="str">
        <x:v>KeywordActions!A5:B5</x:v>
      </x:c>
      <x:c r="B606" s="26" t="str">
        <x:v>Keyword Action</x:v>
      </x:c>
      <x:c r="C606" s="26" t="str">
        <x:v>Airbend</x:v>
      </x:c>
      <x:c r="D606" s="26" t="str">
        <x:v>Rule 701.65</x:v>
      </x:c>
      <x:c r="E606" s="26"/>
      <x:c r="F606" s="26" t="str">
        <x:v>o:"Airbend"</x:v>
      </x:c>
      <x:c r="G606" s="26" t="str">
        <x:v>Medium</x:v>
      </x:c>
      <x:c r="H606" s="26" t="str">
        <x:v>Keyword action</x:v>
      </x:c>
      <x:c r="I606" s="26" t="str">
        <x:v>oracle:</x:v>
      </x:c>
      <x:c r="J606" s="26" t="str">
        <x:v>o:"Airbend"</x:v>
      </x:c>
      <x:c r="K606" s="26" t="str"/>
      <x:c r="L606" s="26" t="str">
        <x:v>airbend</x:v>
      </x:c>
      <x:c r="M606" s="26" t="str">
        <x:v>Translate with wording caveat</x:v>
      </x:c>
      <x:c r="N606" s="26" t="str">
        <x:v>Review</x:v>
      </x:c>
      <x:c r="O606" s="43" t="n">
        <x:v>0.82</x:v>
      </x:c>
      <x:c r="P606" s="26" t="str">
        <x:v>Some action words are ordinary English too; results may need object/context filters.</x:v>
      </x:c>
      <x:c r="Q606" s="26" t="str">
        <x:v>https://scryfall.com/docs/syntax</x:v>
      </x:c>
      <x:c r="R606" s="26" t="str">
        <x:v>2026-08-21</x:v>
      </x:c>
    </x:row>
    <x:row r="607">
      <x:c r="A607" s="26" t="str">
        <x:v>KeywordActions!A6:B6</x:v>
      </x:c>
      <x:c r="B607" s="26" t="str">
        <x:v>Keyword Action</x:v>
      </x:c>
      <x:c r="C607" s="26" t="str">
        <x:v>Amass</x:v>
      </x:c>
      <x:c r="D607" s="26" t="str">
        <x:v>Rule 701.47</x:v>
      </x:c>
      <x:c r="E607" s="26"/>
      <x:c r="F607" s="26" t="str">
        <x:v>o:"Amass"</x:v>
      </x:c>
      <x:c r="G607" s="26" t="str">
        <x:v>Medium</x:v>
      </x:c>
      <x:c r="H607" s="26" t="str">
        <x:v>Keyword action</x:v>
      </x:c>
      <x:c r="I607" s="26" t="str">
        <x:v>oracle:</x:v>
      </x:c>
      <x:c r="J607" s="26" t="str">
        <x:v>o:"Amass"</x:v>
      </x:c>
      <x:c r="K607" s="26" t="str"/>
      <x:c r="L607" s="26" t="str">
        <x:v>amass</x:v>
      </x:c>
      <x:c r="M607" s="26" t="str">
        <x:v>Translate with wording caveat</x:v>
      </x:c>
      <x:c r="N607" s="26" t="str">
        <x:v>Review</x:v>
      </x:c>
      <x:c r="O607" s="43" t="n">
        <x:v>0.82</x:v>
      </x:c>
      <x:c r="P607" s="26" t="str">
        <x:v>Some action words are ordinary English too; results may need object/context filters.</x:v>
      </x:c>
      <x:c r="Q607" s="26" t="str">
        <x:v>https://scryfall.com/docs/syntax</x:v>
      </x:c>
      <x:c r="R607" s="26" t="str">
        <x:v>2026-08-21</x:v>
      </x:c>
    </x:row>
    <x:row r="608">
      <x:c r="A608" s="26" t="str">
        <x:v>KeywordActions!A7:B7</x:v>
      </x:c>
      <x:c r="B608" s="26" t="str">
        <x:v>Keyword Action</x:v>
      </x:c>
      <x:c r="C608" s="26" t="str">
        <x:v>Assemble</x:v>
      </x:c>
      <x:c r="D608" s="26" t="str">
        <x:v>Rule 701.45</x:v>
      </x:c>
      <x:c r="E608" s="26"/>
      <x:c r="F608" s="26" t="str">
        <x:v>o:"Assemble"</x:v>
      </x:c>
      <x:c r="G608" s="26" t="str">
        <x:v>Medium</x:v>
      </x:c>
      <x:c r="H608" s="26" t="str">
        <x:v>Keyword action</x:v>
      </x:c>
      <x:c r="I608" s="26" t="str">
        <x:v>oracle:</x:v>
      </x:c>
      <x:c r="J608" s="26" t="str">
        <x:v>o:"Assemble"</x:v>
      </x:c>
      <x:c r="K608" s="26" t="str"/>
      <x:c r="L608" s="26" t="str">
        <x:v>assemble</x:v>
      </x:c>
      <x:c r="M608" s="26" t="str">
        <x:v>Translate with wording caveat</x:v>
      </x:c>
      <x:c r="N608" s="26" t="str">
        <x:v>Review</x:v>
      </x:c>
      <x:c r="O608" s="43" t="n">
        <x:v>0.82</x:v>
      </x:c>
      <x:c r="P608" s="26" t="str">
        <x:v>Some action words are ordinary English too; results may need object/context filters.</x:v>
      </x:c>
      <x:c r="Q608" s="26" t="str">
        <x:v>https://scryfall.com/docs/syntax</x:v>
      </x:c>
      <x:c r="R608" s="26" t="str">
        <x:v>2026-08-21</x:v>
      </x:c>
    </x:row>
    <x:row r="609">
      <x:c r="A609" s="26" t="str">
        <x:v>KeywordActions!A8:B8</x:v>
      </x:c>
      <x:c r="B609" s="26" t="str">
        <x:v>Keyword Action</x:v>
      </x:c>
      <x:c r="C609" s="26" t="str">
        <x:v>Attach</x:v>
      </x:c>
      <x:c r="D609" s="26" t="str">
        <x:v>Rule 701.3</x:v>
      </x:c>
      <x:c r="E609" s="26"/>
      <x:c r="F609" s="26" t="str">
        <x:v>o:"Attach"</x:v>
      </x:c>
      <x:c r="G609" s="26" t="str">
        <x:v>Medium</x:v>
      </x:c>
      <x:c r="H609" s="26" t="str">
        <x:v>Keyword action</x:v>
      </x:c>
      <x:c r="I609" s="26" t="str">
        <x:v>oracle:</x:v>
      </x:c>
      <x:c r="J609" s="26" t="str">
        <x:v>o:"Attach"</x:v>
      </x:c>
      <x:c r="K609" s="26" t="str"/>
      <x:c r="L609" s="26" t="str">
        <x:v>attach</x:v>
      </x:c>
      <x:c r="M609" s="26" t="str">
        <x:v>Translate with wording caveat</x:v>
      </x:c>
      <x:c r="N609" s="26" t="str">
        <x:v>Review</x:v>
      </x:c>
      <x:c r="O609" s="43" t="n">
        <x:v>0.82</x:v>
      </x:c>
      <x:c r="P609" s="26" t="str">
        <x:v>Some action words are ordinary English too; results may need object/context filters.</x:v>
      </x:c>
      <x:c r="Q609" s="26" t="str">
        <x:v>https://scryfall.com/docs/syntax</x:v>
      </x:c>
      <x:c r="R609" s="26" t="str">
        <x:v>2026-08-21</x:v>
      </x:c>
    </x:row>
    <x:row r="610">
      <x:c r="A610" s="26" t="str">
        <x:v>KeywordActions!A9:B9</x:v>
      </x:c>
      <x:c r="B610" s="26" t="str">
        <x:v>Keyword Action</x:v>
      </x:c>
      <x:c r="C610" s="26" t="str">
        <x:v>Behold</x:v>
      </x:c>
      <x:c r="D610" s="26" t="str">
        <x:v>Rule 701.4</x:v>
      </x:c>
      <x:c r="E610" s="26"/>
      <x:c r="F610" s="26" t="str">
        <x:v>o:"Behold"</x:v>
      </x:c>
      <x:c r="G610" s="26" t="str">
        <x:v>Medium</x:v>
      </x:c>
      <x:c r="H610" s="26" t="str">
        <x:v>Keyword action</x:v>
      </x:c>
      <x:c r="I610" s="26" t="str">
        <x:v>oracle:</x:v>
      </x:c>
      <x:c r="J610" s="26" t="str">
        <x:v>o:"Behold"</x:v>
      </x:c>
      <x:c r="K610" s="26" t="str"/>
      <x:c r="L610" s="26" t="str">
        <x:v>behold</x:v>
      </x:c>
      <x:c r="M610" s="26" t="str">
        <x:v>Translate with wording caveat</x:v>
      </x:c>
      <x:c r="N610" s="26" t="str">
        <x:v>Review</x:v>
      </x:c>
      <x:c r="O610" s="43" t="n">
        <x:v>0.82</x:v>
      </x:c>
      <x:c r="P610" s="26" t="str">
        <x:v>Some action words are ordinary English too; results may need object/context filters.</x:v>
      </x:c>
      <x:c r="Q610" s="26" t="str">
        <x:v>https://scryfall.com/docs/syntax</x:v>
      </x:c>
      <x:c r="R610" s="26" t="str">
        <x:v>2026-08-21</x:v>
      </x:c>
    </x:row>
    <x:row r="611">
      <x:c r="A611" s="26" t="str">
        <x:v>KeywordActions!A10:B10</x:v>
      </x:c>
      <x:c r="B611" s="26" t="str">
        <x:v>Keyword Action</x:v>
      </x:c>
      <x:c r="C611" s="26" t="str">
        <x:v>Blight</x:v>
      </x:c>
      <x:c r="D611" s="26" t="str">
        <x:v>No rule number listed</x:v>
      </x:c>
      <x:c r="E611" s="26"/>
      <x:c r="F611" s="26" t="str">
        <x:v>o:"Blight"</x:v>
      </x:c>
      <x:c r="G611" s="26" t="str">
        <x:v>Medium</x:v>
      </x:c>
      <x:c r="H611" s="26" t="str">
        <x:v>Keyword action</x:v>
      </x:c>
      <x:c r="I611" s="26" t="str">
        <x:v>oracle:</x:v>
      </x:c>
      <x:c r="J611" s="26" t="str">
        <x:v>o:"Blight"</x:v>
      </x:c>
      <x:c r="K611" s="26" t="str"/>
      <x:c r="L611" s="26" t="str">
        <x:v>blight</x:v>
      </x:c>
      <x:c r="M611" s="26" t="str">
        <x:v>Translate with wording caveat</x:v>
      </x:c>
      <x:c r="N611" s="26" t="str">
        <x:v>Review</x:v>
      </x:c>
      <x:c r="O611" s="43" t="n">
        <x:v>0.82</x:v>
      </x:c>
      <x:c r="P611" s="26" t="str">
        <x:v>Some action words are ordinary English too; results may need object/context filters.</x:v>
      </x:c>
      <x:c r="Q611" s="26" t="str">
        <x:v>https://scryfall.com/docs/syntax</x:v>
      </x:c>
      <x:c r="R611" s="26" t="str">
        <x:v>2026-08-21</x:v>
      </x:c>
    </x:row>
    <x:row r="612">
      <x:c r="A612" s="26" t="str">
        <x:v>KeywordActions!A11:B11</x:v>
      </x:c>
      <x:c r="B612" s="26" t="str">
        <x:v>Keyword Action</x:v>
      </x:c>
      <x:c r="C612" s="26" t="str">
        <x:v>Bolster</x:v>
      </x:c>
      <x:c r="D612" s="26" t="str">
        <x:v>Rule 701.39</x:v>
      </x:c>
      <x:c r="E612" s="26"/>
      <x:c r="F612" s="26" t="str">
        <x:v>o:"Bolster"</x:v>
      </x:c>
      <x:c r="G612" s="26" t="str">
        <x:v>Medium</x:v>
      </x:c>
      <x:c r="H612" s="26" t="str">
        <x:v>Keyword action</x:v>
      </x:c>
      <x:c r="I612" s="26" t="str">
        <x:v>oracle:</x:v>
      </x:c>
      <x:c r="J612" s="26" t="str">
        <x:v>o:"Bolster"</x:v>
      </x:c>
      <x:c r="K612" s="26" t="str"/>
      <x:c r="L612" s="26" t="str">
        <x:v>bolster</x:v>
      </x:c>
      <x:c r="M612" s="26" t="str">
        <x:v>Translate with wording caveat</x:v>
      </x:c>
      <x:c r="N612" s="26" t="str">
        <x:v>Review</x:v>
      </x:c>
      <x:c r="O612" s="43" t="n">
        <x:v>0.82</x:v>
      </x:c>
      <x:c r="P612" s="26" t="str">
        <x:v>Some action words are ordinary English too; results may need object/context filters.</x:v>
      </x:c>
      <x:c r="Q612" s="26" t="str">
        <x:v>https://scryfall.com/docs/syntax</x:v>
      </x:c>
      <x:c r="R612" s="26" t="str">
        <x:v>2026-08-21</x:v>
      </x:c>
    </x:row>
    <x:row r="613">
      <x:c r="A613" s="26" t="str">
        <x:v>KeywordActions!A12:B12</x:v>
      </x:c>
      <x:c r="B613" s="26" t="str">
        <x:v>Keyword Action</x:v>
      </x:c>
      <x:c r="C613" s="26" t="str">
        <x:v>Cast</x:v>
      </x:c>
      <x:c r="D613" s="26" t="str">
        <x:v>Rule 701.5</x:v>
      </x:c>
      <x:c r="E613" s="26"/>
      <x:c r="F613" s="26" t="str">
        <x:v>o:"Cast"</x:v>
      </x:c>
      <x:c r="G613" s="26" t="str">
        <x:v>Medium</x:v>
      </x:c>
      <x:c r="H613" s="26" t="str">
        <x:v>Keyword action</x:v>
      </x:c>
      <x:c r="I613" s="26" t="str">
        <x:v>oracle:</x:v>
      </x:c>
      <x:c r="J613" s="26" t="str">
        <x:v>o:"Cast"</x:v>
      </x:c>
      <x:c r="K613" s="26" t="str"/>
      <x:c r="L613" s="26" t="str">
        <x:v>cast</x:v>
      </x:c>
      <x:c r="M613" s="26" t="str">
        <x:v>Translate with wording caveat</x:v>
      </x:c>
      <x:c r="N613" s="26" t="str">
        <x:v>Review</x:v>
      </x:c>
      <x:c r="O613" s="43" t="n">
        <x:v>0.82</x:v>
      </x:c>
      <x:c r="P613" s="26" t="str">
        <x:v>Some action words are ordinary English too; results may need object/context filters.</x:v>
      </x:c>
      <x:c r="Q613" s="26" t="str">
        <x:v>https://scryfall.com/docs/syntax</x:v>
      </x:c>
      <x:c r="R613" s="26" t="str">
        <x:v>2026-08-21</x:v>
      </x:c>
    </x:row>
    <x:row r="614">
      <x:c r="A614" s="26" t="str">
        <x:v>KeywordActions!A13:B13</x:v>
      </x:c>
      <x:c r="B614" s="26" t="str">
        <x:v>Keyword Action</x:v>
      </x:c>
      <x:c r="C614" s="26" t="str">
        <x:v>Clash</x:v>
      </x:c>
      <x:c r="D614" s="26" t="str">
        <x:v>Rule 701.3</x:v>
      </x:c>
      <x:c r="E614" s="26"/>
      <x:c r="F614" s="26" t="str">
        <x:v>o:"Clash"</x:v>
      </x:c>
      <x:c r="G614" s="26" t="str">
        <x:v>Medium</x:v>
      </x:c>
      <x:c r="H614" s="26" t="str">
        <x:v>Keyword action</x:v>
      </x:c>
      <x:c r="I614" s="26" t="str">
        <x:v>oracle:</x:v>
      </x:c>
      <x:c r="J614" s="26" t="str">
        <x:v>o:"Clash"</x:v>
      </x:c>
      <x:c r="K614" s="26" t="str"/>
      <x:c r="L614" s="26" t="str">
        <x:v>clash</x:v>
      </x:c>
      <x:c r="M614" s="26" t="str">
        <x:v>Translate with wording caveat</x:v>
      </x:c>
      <x:c r="N614" s="26" t="str">
        <x:v>Review</x:v>
      </x:c>
      <x:c r="O614" s="43" t="n">
        <x:v>0.82</x:v>
      </x:c>
      <x:c r="P614" s="26" t="str">
        <x:v>Some action words are ordinary English too; results may need object/context filters.</x:v>
      </x:c>
      <x:c r="Q614" s="26" t="str">
        <x:v>https://scryfall.com/docs/syntax</x:v>
      </x:c>
      <x:c r="R614" s="26" t="str">
        <x:v>2026-08-21</x:v>
      </x:c>
    </x:row>
    <x:row r="615">
      <x:c r="A615" s="26" t="str">
        <x:v>KeywordActions!A14:B14</x:v>
      </x:c>
      <x:c r="B615" s="26" t="str">
        <x:v>Keyword Action</x:v>
      </x:c>
      <x:c r="C615" s="26" t="str">
        <x:v>Cloak</x:v>
      </x:c>
      <x:c r="D615" s="26" t="str">
        <x:v>Rule 701.58</x:v>
      </x:c>
      <x:c r="E615" s="26"/>
      <x:c r="F615" s="26" t="str">
        <x:v>o:"Cloak"</x:v>
      </x:c>
      <x:c r="G615" s="26" t="str">
        <x:v>Medium</x:v>
      </x:c>
      <x:c r="H615" s="26" t="str">
        <x:v>Keyword action</x:v>
      </x:c>
      <x:c r="I615" s="26" t="str">
        <x:v>oracle:</x:v>
      </x:c>
      <x:c r="J615" s="26" t="str">
        <x:v>o:"Cloak"</x:v>
      </x:c>
      <x:c r="K615" s="26" t="str"/>
      <x:c r="L615" s="26" t="str">
        <x:v>cloak</x:v>
      </x:c>
      <x:c r="M615" s="26" t="str">
        <x:v>Translate with wording caveat</x:v>
      </x:c>
      <x:c r="N615" s="26" t="str">
        <x:v>Review</x:v>
      </x:c>
      <x:c r="O615" s="43" t="n">
        <x:v>0.82</x:v>
      </x:c>
      <x:c r="P615" s="26" t="str">
        <x:v>Some action words are ordinary English too; results may need object/context filters.</x:v>
      </x:c>
      <x:c r="Q615" s="26" t="str">
        <x:v>https://scryfall.com/docs/syntax</x:v>
      </x:c>
      <x:c r="R615" s="26" t="str">
        <x:v>2026-08-21</x:v>
      </x:c>
    </x:row>
    <x:row r="616">
      <x:c r="A616" s="26" t="str">
        <x:v>KeywordActions!A15:B15</x:v>
      </x:c>
      <x:c r="B616" s="26" t="str">
        <x:v>Keyword Action</x:v>
      </x:c>
      <x:c r="C616" s="26" t="str">
        <x:v>Collect Evidence</x:v>
      </x:c>
      <x:c r="D616" s="26" t="str">
        <x:v>Rule 701.59</x:v>
      </x:c>
      <x:c r="E616" s="26"/>
      <x:c r="F616" s="26" t="str">
        <x:v>o:"Collect Evidence"</x:v>
      </x:c>
      <x:c r="G616" s="26" t="str">
        <x:v>Medium</x:v>
      </x:c>
      <x:c r="H616" s="26" t="str">
        <x:v>Keyword action</x:v>
      </x:c>
      <x:c r="I616" s="26" t="str">
        <x:v>oracle:</x:v>
      </x:c>
      <x:c r="J616" s="26" t="str">
        <x:v>o:"Collect Evidence"</x:v>
      </x:c>
      <x:c r="K616" s="26" t="str"/>
      <x:c r="L616" s="26" t="str">
        <x:v>collect evidence</x:v>
      </x:c>
      <x:c r="M616" s="26" t="str">
        <x:v>Translate with wording caveat</x:v>
      </x:c>
      <x:c r="N616" s="26" t="str">
        <x:v>Review</x:v>
      </x:c>
      <x:c r="O616" s="43" t="n">
        <x:v>0.82</x:v>
      </x:c>
      <x:c r="P616" s="26" t="str">
        <x:v>Some action words are ordinary English too; results may need object/context filters.</x:v>
      </x:c>
      <x:c r="Q616" s="26" t="str">
        <x:v>https://scryfall.com/docs/syntax</x:v>
      </x:c>
      <x:c r="R616" s="26" t="str">
        <x:v>2026-08-21</x:v>
      </x:c>
    </x:row>
    <x:row r="617">
      <x:c r="A617" s="26" t="str">
        <x:v>KeywordActions!A16:B16</x:v>
      </x:c>
      <x:c r="B617" s="26" t="str">
        <x:v>Keyword Action</x:v>
      </x:c>
      <x:c r="C617" s="26" t="str">
        <x:v>Conjure</x:v>
      </x:c>
      <x:c r="D617" s="26" t="str">
        <x:v>No rule number listed</x:v>
      </x:c>
      <x:c r="E617" s="26"/>
      <x:c r="F617" s="26" t="str">
        <x:v>o:"Conjure"</x:v>
      </x:c>
      <x:c r="G617" s="26" t="str">
        <x:v>Medium</x:v>
      </x:c>
      <x:c r="H617" s="26" t="str">
        <x:v>Keyword action</x:v>
      </x:c>
      <x:c r="I617" s="26" t="str">
        <x:v>oracle:</x:v>
      </x:c>
      <x:c r="J617" s="26" t="str">
        <x:v>o:"Conjure"</x:v>
      </x:c>
      <x:c r="K617" s="26" t="str"/>
      <x:c r="L617" s="26" t="str">
        <x:v>conjure</x:v>
      </x:c>
      <x:c r="M617" s="26" t="str">
        <x:v>Translate with wording caveat</x:v>
      </x:c>
      <x:c r="N617" s="26" t="str">
        <x:v>Review</x:v>
      </x:c>
      <x:c r="O617" s="43" t="n">
        <x:v>0.82</x:v>
      </x:c>
      <x:c r="P617" s="26" t="str">
        <x:v>Some action words are ordinary English too; results may need object/context filters.</x:v>
      </x:c>
      <x:c r="Q617" s="26" t="str">
        <x:v>https://scryfall.com/docs/syntax</x:v>
      </x:c>
      <x:c r="R617" s="26" t="str">
        <x:v>2026-08-21</x:v>
      </x:c>
    </x:row>
    <x:row r="618">
      <x:c r="A618" s="26" t="str">
        <x:v>KeywordActions!A17:B17</x:v>
      </x:c>
      <x:c r="B618" s="26" t="str">
        <x:v>Keyword Action</x:v>
      </x:c>
      <x:c r="C618" s="26" t="str">
        <x:v>Connive</x:v>
      </x:c>
      <x:c r="D618" s="26" t="str">
        <x:v>Rule 701.5</x:v>
      </x:c>
      <x:c r="E618" s="26"/>
      <x:c r="F618" s="26" t="str">
        <x:v>o:"Connive"</x:v>
      </x:c>
      <x:c r="G618" s="26" t="str">
        <x:v>Medium</x:v>
      </x:c>
      <x:c r="H618" s="26" t="str">
        <x:v>Keyword action</x:v>
      </x:c>
      <x:c r="I618" s="26" t="str">
        <x:v>oracle:</x:v>
      </x:c>
      <x:c r="J618" s="26" t="str">
        <x:v>o:"Connive"</x:v>
      </x:c>
      <x:c r="K618" s="26" t="str"/>
      <x:c r="L618" s="26" t="str">
        <x:v>connive</x:v>
      </x:c>
      <x:c r="M618" s="26" t="str">
        <x:v>Translate with wording caveat</x:v>
      </x:c>
      <x:c r="N618" s="26" t="str">
        <x:v>Review</x:v>
      </x:c>
      <x:c r="O618" s="43" t="n">
        <x:v>0.82</x:v>
      </x:c>
      <x:c r="P618" s="26" t="str">
        <x:v>Some action words are ordinary English too; results may need object/context filters.</x:v>
      </x:c>
      <x:c r="Q618" s="26" t="str">
        <x:v>https://scryfall.com/docs/syntax</x:v>
      </x:c>
      <x:c r="R618" s="26" t="str">
        <x:v>2026-08-21</x:v>
      </x:c>
    </x:row>
    <x:row r="619">
      <x:c r="A619" s="26" t="str">
        <x:v>KeywordActions!A18:B18</x:v>
      </x:c>
      <x:c r="B619" s="26" t="str">
        <x:v>Keyword Action</x:v>
      </x:c>
      <x:c r="C619" s="26" t="str">
        <x:v>Convert</x:v>
      </x:c>
      <x:c r="D619" s="26" t="str">
        <x:v>Rule 701.28</x:v>
      </x:c>
      <x:c r="E619" s="26"/>
      <x:c r="F619" s="26" t="str">
        <x:v>o:"Convert"</x:v>
      </x:c>
      <x:c r="G619" s="26" t="str">
        <x:v>Medium</x:v>
      </x:c>
      <x:c r="H619" s="26" t="str">
        <x:v>Keyword action</x:v>
      </x:c>
      <x:c r="I619" s="26" t="str">
        <x:v>oracle:</x:v>
      </x:c>
      <x:c r="J619" s="26" t="str">
        <x:v>o:"Convert"</x:v>
      </x:c>
      <x:c r="K619" s="26" t="str"/>
      <x:c r="L619" s="26" t="str">
        <x:v>convert</x:v>
      </x:c>
      <x:c r="M619" s="26" t="str">
        <x:v>Translate with wording caveat</x:v>
      </x:c>
      <x:c r="N619" s="26" t="str">
        <x:v>Review</x:v>
      </x:c>
      <x:c r="O619" s="43" t="n">
        <x:v>0.82</x:v>
      </x:c>
      <x:c r="P619" s="26" t="str">
        <x:v>Some action words are ordinary English too; results may need object/context filters.</x:v>
      </x:c>
      <x:c r="Q619" s="26" t="str">
        <x:v>https://scryfall.com/docs/syntax</x:v>
      </x:c>
      <x:c r="R619" s="26" t="str">
        <x:v>2026-08-21</x:v>
      </x:c>
    </x:row>
    <x:row r="620">
      <x:c r="A620" s="26" t="str">
        <x:v>KeywordActions!A19:B19</x:v>
      </x:c>
      <x:c r="B620" s="26" t="str">
        <x:v>Keyword Action</x:v>
      </x:c>
      <x:c r="C620" s="26" t="str">
        <x:v>Counter</x:v>
      </x:c>
      <x:c r="D620" s="26" t="str">
        <x:v>Rule 701.6</x:v>
      </x:c>
      <x:c r="E620" s="26"/>
      <x:c r="F620" s="26" t="str">
        <x:v>o:"Counter"</x:v>
      </x:c>
      <x:c r="G620" s="26" t="str">
        <x:v>Medium</x:v>
      </x:c>
      <x:c r="H620" s="26" t="str">
        <x:v>Keyword action</x:v>
      </x:c>
      <x:c r="I620" s="26" t="str">
        <x:v>oracle:</x:v>
      </x:c>
      <x:c r="J620" s="26" t="str">
        <x:v>o:"Counter"</x:v>
      </x:c>
      <x:c r="K620" s="26" t="str"/>
      <x:c r="L620" s="26" t="str">
        <x:v>counter</x:v>
      </x:c>
      <x:c r="M620" s="26" t="str">
        <x:v>Translate with wording caveat</x:v>
      </x:c>
      <x:c r="N620" s="26" t="str">
        <x:v>Review</x:v>
      </x:c>
      <x:c r="O620" s="43" t="n">
        <x:v>0.82</x:v>
      </x:c>
      <x:c r="P620" s="26" t="str">
        <x:v>Some action words are ordinary English too; results may need object/context filters.</x:v>
      </x:c>
      <x:c r="Q620" s="26" t="str">
        <x:v>https://scryfall.com/docs/syntax</x:v>
      </x:c>
      <x:c r="R620" s="26" t="str">
        <x:v>2026-08-21</x:v>
      </x:c>
    </x:row>
    <x:row r="621">
      <x:c r="A621" s="26" t="str">
        <x:v>KeywordActions!A20:B20</x:v>
      </x:c>
      <x:c r="B621" s="26" t="str">
        <x:v>Keyword Action</x:v>
      </x:c>
      <x:c r="C621" s="26" t="str">
        <x:v>Create</x:v>
      </x:c>
      <x:c r="D621" s="26" t="str">
        <x:v>Rule 701.7</x:v>
      </x:c>
      <x:c r="E621" s="26"/>
      <x:c r="F621" s="26" t="str">
        <x:v>o:"Create"</x:v>
      </x:c>
      <x:c r="G621" s="26" t="str">
        <x:v>Medium</x:v>
      </x:c>
      <x:c r="H621" s="26" t="str">
        <x:v>Keyword action</x:v>
      </x:c>
      <x:c r="I621" s="26" t="str">
        <x:v>oracle:</x:v>
      </x:c>
      <x:c r="J621" s="26" t="str">
        <x:v>o:"Create"</x:v>
      </x:c>
      <x:c r="K621" s="26" t="str"/>
      <x:c r="L621" s="26" t="str">
        <x:v>create</x:v>
      </x:c>
      <x:c r="M621" s="26" t="str">
        <x:v>Translate with wording caveat</x:v>
      </x:c>
      <x:c r="N621" s="26" t="str">
        <x:v>Review</x:v>
      </x:c>
      <x:c r="O621" s="43" t="n">
        <x:v>0.82</x:v>
      </x:c>
      <x:c r="P621" s="26" t="str">
        <x:v>Some action words are ordinary English too; results may need object/context filters.</x:v>
      </x:c>
      <x:c r="Q621" s="26" t="str">
        <x:v>https://scryfall.com/docs/syntax</x:v>
      </x:c>
      <x:c r="R621" s="26" t="str">
        <x:v>2026-08-21</x:v>
      </x:c>
    </x:row>
    <x:row r="622">
      <x:c r="A622" s="26" t="str">
        <x:v>KeywordActions!A21:B21</x:v>
      </x:c>
      <x:c r="B622" s="26" t="str">
        <x:v>Keyword Action</x:v>
      </x:c>
      <x:c r="C622" s="26" t="str">
        <x:v>Destroy</x:v>
      </x:c>
      <x:c r="D622" s="26" t="str">
        <x:v>Rule 701.8</x:v>
      </x:c>
      <x:c r="E622" s="26"/>
      <x:c r="F622" s="26" t="str">
        <x:v>o:"Destroy"</x:v>
      </x:c>
      <x:c r="G622" s="26" t="str">
        <x:v>Medium</x:v>
      </x:c>
      <x:c r="H622" s="26" t="str">
        <x:v>Keyword action</x:v>
      </x:c>
      <x:c r="I622" s="26" t="str">
        <x:v>oracle:</x:v>
      </x:c>
      <x:c r="J622" s="26" t="str">
        <x:v>o:"Destroy"</x:v>
      </x:c>
      <x:c r="K622" s="26" t="str"/>
      <x:c r="L622" s="26" t="str">
        <x:v>destroy</x:v>
      </x:c>
      <x:c r="M622" s="26" t="str">
        <x:v>Translate with wording caveat</x:v>
      </x:c>
      <x:c r="N622" s="26" t="str">
        <x:v>Review</x:v>
      </x:c>
      <x:c r="O622" s="43" t="n">
        <x:v>0.82</x:v>
      </x:c>
      <x:c r="P622" s="26" t="str">
        <x:v>Some action words are ordinary English too; results may need object/context filters.</x:v>
      </x:c>
      <x:c r="Q622" s="26" t="str">
        <x:v>https://scryfall.com/docs/syntax</x:v>
      </x:c>
      <x:c r="R622" s="26" t="str">
        <x:v>2026-08-21</x:v>
      </x:c>
    </x:row>
    <x:row r="623">
      <x:c r="A623" s="26" t="str">
        <x:v>KeywordActions!A22:B22</x:v>
      </x:c>
      <x:c r="B623" s="26" t="str">
        <x:v>Keyword Action</x:v>
      </x:c>
      <x:c r="C623" s="26" t="str">
        <x:v>Detain</x:v>
      </x:c>
      <x:c r="D623" s="26" t="str">
        <x:v>Rule 701.35</x:v>
      </x:c>
      <x:c r="E623" s="26"/>
      <x:c r="F623" s="26" t="str">
        <x:v>o:"Detain"</x:v>
      </x:c>
      <x:c r="G623" s="26" t="str">
        <x:v>Medium</x:v>
      </x:c>
      <x:c r="H623" s="26" t="str">
        <x:v>Keyword action</x:v>
      </x:c>
      <x:c r="I623" s="26" t="str">
        <x:v>oracle:</x:v>
      </x:c>
      <x:c r="J623" s="26" t="str">
        <x:v>o:"Detain"</x:v>
      </x:c>
      <x:c r="K623" s="26" t="str"/>
      <x:c r="L623" s="26" t="str">
        <x:v>detain</x:v>
      </x:c>
      <x:c r="M623" s="26" t="str">
        <x:v>Translate with wording caveat</x:v>
      </x:c>
      <x:c r="N623" s="26" t="str">
        <x:v>Review</x:v>
      </x:c>
      <x:c r="O623" s="43" t="n">
        <x:v>0.82</x:v>
      </x:c>
      <x:c r="P623" s="26" t="str">
        <x:v>Some action words are ordinary English too; results may need object/context filters.</x:v>
      </x:c>
      <x:c r="Q623" s="26" t="str">
        <x:v>https://scryfall.com/docs/syntax</x:v>
      </x:c>
      <x:c r="R623" s="26" t="str">
        <x:v>2026-08-21</x:v>
      </x:c>
    </x:row>
    <x:row r="624">
      <x:c r="A624" s="26" t="str">
        <x:v>KeywordActions!A23:B23</x:v>
      </x:c>
      <x:c r="B624" s="26" t="str">
        <x:v>Keyword Action</x:v>
      </x:c>
      <x:c r="C624" s="26" t="str">
        <x:v>Discard</x:v>
      </x:c>
      <x:c r="D624" s="26" t="str">
        <x:v>Rule 701.9</x:v>
      </x:c>
      <x:c r="E624" s="26"/>
      <x:c r="F624" s="26" t="str">
        <x:v>o:"Discard"</x:v>
      </x:c>
      <x:c r="G624" s="26" t="str">
        <x:v>Medium</x:v>
      </x:c>
      <x:c r="H624" s="26" t="str">
        <x:v>Keyword action</x:v>
      </x:c>
      <x:c r="I624" s="26" t="str">
        <x:v>oracle:</x:v>
      </x:c>
      <x:c r="J624" s="26" t="str">
        <x:v>o:"Discard"</x:v>
      </x:c>
      <x:c r="K624" s="26" t="str"/>
      <x:c r="L624" s="26" t="str">
        <x:v>discard</x:v>
      </x:c>
      <x:c r="M624" s="26" t="str">
        <x:v>Translate with wording caveat</x:v>
      </x:c>
      <x:c r="N624" s="26" t="str">
        <x:v>Review</x:v>
      </x:c>
      <x:c r="O624" s="43" t="n">
        <x:v>0.82</x:v>
      </x:c>
      <x:c r="P624" s="26" t="str">
        <x:v>Some action words are ordinary English too; results may need object/context filters.</x:v>
      </x:c>
      <x:c r="Q624" s="26" t="str">
        <x:v>https://scryfall.com/docs/syntax</x:v>
      </x:c>
      <x:c r="R624" s="26" t="str">
        <x:v>2026-08-21</x:v>
      </x:c>
    </x:row>
    <x:row r="625">
      <x:c r="A625" s="26" t="str">
        <x:v>KeywordActions!A24:B24</x:v>
      </x:c>
      <x:c r="B625" s="26" t="str">
        <x:v>Keyword Action</x:v>
      </x:c>
      <x:c r="C625" s="26" t="str">
        <x:v>Discover</x:v>
      </x:c>
      <x:c r="D625" s="26" t="str">
        <x:v>Rule 701.57</x:v>
      </x:c>
      <x:c r="E625" s="26"/>
      <x:c r="F625" s="26" t="str">
        <x:v>o:"Discover"</x:v>
      </x:c>
      <x:c r="G625" s="26" t="str">
        <x:v>Medium</x:v>
      </x:c>
      <x:c r="H625" s="26" t="str">
        <x:v>Keyword action</x:v>
      </x:c>
      <x:c r="I625" s="26" t="str">
        <x:v>oracle:</x:v>
      </x:c>
      <x:c r="J625" s="26" t="str">
        <x:v>o:"Discover"</x:v>
      </x:c>
      <x:c r="K625" s="26" t="str"/>
      <x:c r="L625" s="26" t="str">
        <x:v>discover</x:v>
      </x:c>
      <x:c r="M625" s="26" t="str">
        <x:v>Translate with wording caveat</x:v>
      </x:c>
      <x:c r="N625" s="26" t="str">
        <x:v>Review</x:v>
      </x:c>
      <x:c r="O625" s="43" t="n">
        <x:v>0.82</x:v>
      </x:c>
      <x:c r="P625" s="26" t="str">
        <x:v>Some action words are ordinary English too; results may need object/context filters.</x:v>
      </x:c>
      <x:c r="Q625" s="26" t="str">
        <x:v>https://scryfall.com/docs/syntax</x:v>
      </x:c>
      <x:c r="R625" s="26" t="str">
        <x:v>2026-08-21</x:v>
      </x:c>
    </x:row>
    <x:row r="626">
      <x:c r="A626" s="26" t="str">
        <x:v>KeywordActions!A25:B25</x:v>
      </x:c>
      <x:c r="B626" s="26" t="str">
        <x:v>Keyword Action</x:v>
      </x:c>
      <x:c r="C626" s="26" t="str">
        <x:v>Double</x:v>
      </x:c>
      <x:c r="D626" s="26" t="str">
        <x:v>Rule 701.1</x:v>
      </x:c>
      <x:c r="E626" s="26"/>
      <x:c r="F626" s="26" t="str">
        <x:v>o:"Double"</x:v>
      </x:c>
      <x:c r="G626" s="26" t="str">
        <x:v>Medium</x:v>
      </x:c>
      <x:c r="H626" s="26" t="str">
        <x:v>Keyword action</x:v>
      </x:c>
      <x:c r="I626" s="26" t="str">
        <x:v>oracle:</x:v>
      </x:c>
      <x:c r="J626" s="26" t="str">
        <x:v>o:"Double"</x:v>
      </x:c>
      <x:c r="K626" s="26" t="str"/>
      <x:c r="L626" s="26" t="str">
        <x:v>double</x:v>
      </x:c>
      <x:c r="M626" s="26" t="str">
        <x:v>Translate with wording caveat</x:v>
      </x:c>
      <x:c r="N626" s="26" t="str">
        <x:v>Review</x:v>
      </x:c>
      <x:c r="O626" s="43" t="n">
        <x:v>0.82</x:v>
      </x:c>
      <x:c r="P626" s="26" t="str">
        <x:v>Some action words are ordinary English too; results may need object/context filters.</x:v>
      </x:c>
      <x:c r="Q626" s="26" t="str">
        <x:v>https://scryfall.com/docs/syntax</x:v>
      </x:c>
      <x:c r="R626" s="26" t="str">
        <x:v>2026-08-21</x:v>
      </x:c>
    </x:row>
    <x:row r="627">
      <x:c r="A627" s="26" t="str">
        <x:v>KeywordActions!A26:B26</x:v>
      </x:c>
      <x:c r="B627" s="26" t="str">
        <x:v>Keyword Action</x:v>
      </x:c>
      <x:c r="C627" s="26" t="str">
        <x:v>Draft from a spellbook</x:v>
      </x:c>
      <x:c r="D627" s="26" t="str">
        <x:v>No rule number listed</x:v>
      </x:c>
      <x:c r="E627" s="26"/>
      <x:c r="F627" s="26" t="str">
        <x:v>o:"Draft from a spellbook"</x:v>
      </x:c>
      <x:c r="G627" s="26" t="str">
        <x:v>Medium</x:v>
      </x:c>
      <x:c r="H627" s="26" t="str">
        <x:v>Keyword action</x:v>
      </x:c>
      <x:c r="I627" s="26" t="str">
        <x:v>oracle:</x:v>
      </x:c>
      <x:c r="J627" s="26" t="str">
        <x:v>o:"Draft from a spellbook"</x:v>
      </x:c>
      <x:c r="K627" s="26" t="str"/>
      <x:c r="L627" s="26" t="str">
        <x:v>draft from a spellbook</x:v>
      </x:c>
      <x:c r="M627" s="26" t="str">
        <x:v>Translate with wording caveat</x:v>
      </x:c>
      <x:c r="N627" s="26" t="str">
        <x:v>Review</x:v>
      </x:c>
      <x:c r="O627" s="43" t="n">
        <x:v>0.82</x:v>
      </x:c>
      <x:c r="P627" s="26" t="str">
        <x:v>Some action words are ordinary English too; results may need object/context filters.</x:v>
      </x:c>
      <x:c r="Q627" s="26" t="str">
        <x:v>https://scryfall.com/docs/syntax</x:v>
      </x:c>
      <x:c r="R627" s="26" t="str">
        <x:v>2026-08-21</x:v>
      </x:c>
    </x:row>
    <x:row r="628">
      <x:c r="A628" s="26" t="str">
        <x:v>KeywordActions!A27:B27</x:v>
      </x:c>
      <x:c r="B628" s="26" t="str">
        <x:v>Keyword Action</x:v>
      </x:c>
      <x:c r="C628" s="26" t="str">
        <x:v>Earthbend</x:v>
      </x:c>
      <x:c r="D628" s="26" t="str">
        <x:v>Rule 701.66</x:v>
      </x:c>
      <x:c r="E628" s="26"/>
      <x:c r="F628" s="26" t="str">
        <x:v>o:"Earthbend"</x:v>
      </x:c>
      <x:c r="G628" s="26" t="str">
        <x:v>Medium</x:v>
      </x:c>
      <x:c r="H628" s="26" t="str">
        <x:v>Keyword action</x:v>
      </x:c>
      <x:c r="I628" s="26" t="str">
        <x:v>oracle:</x:v>
      </x:c>
      <x:c r="J628" s="26" t="str">
        <x:v>o:"Earthbend"</x:v>
      </x:c>
      <x:c r="K628" s="26" t="str"/>
      <x:c r="L628" s="26" t="str">
        <x:v>earthbend</x:v>
      </x:c>
      <x:c r="M628" s="26" t="str">
        <x:v>Translate with wording caveat</x:v>
      </x:c>
      <x:c r="N628" s="26" t="str">
        <x:v>Review</x:v>
      </x:c>
      <x:c r="O628" s="43" t="n">
        <x:v>0.82</x:v>
      </x:c>
      <x:c r="P628" s="26" t="str">
        <x:v>Some action words are ordinary English too; results may need object/context filters.</x:v>
      </x:c>
      <x:c r="Q628" s="26" t="str">
        <x:v>https://scryfall.com/docs/syntax</x:v>
      </x:c>
      <x:c r="R628" s="26" t="str">
        <x:v>2026-08-21</x:v>
      </x:c>
    </x:row>
    <x:row r="629">
      <x:c r="A629" s="26" t="str">
        <x:v>KeywordActions!A28:B28</x:v>
      </x:c>
      <x:c r="B629" s="26" t="str">
        <x:v>Keyword Action</x:v>
      </x:c>
      <x:c r="C629" s="26" t="str">
        <x:v>Endure</x:v>
      </x:c>
      <x:c r="D629" s="26" t="str">
        <x:v>Rule 701.63</x:v>
      </x:c>
      <x:c r="E629" s="26"/>
      <x:c r="F629" s="26" t="str">
        <x:v>o:"Endure"</x:v>
      </x:c>
      <x:c r="G629" s="26" t="str">
        <x:v>Medium</x:v>
      </x:c>
      <x:c r="H629" s="26" t="str">
        <x:v>Keyword action</x:v>
      </x:c>
      <x:c r="I629" s="26" t="str">
        <x:v>oracle:</x:v>
      </x:c>
      <x:c r="J629" s="26" t="str">
        <x:v>o:"Endure"</x:v>
      </x:c>
      <x:c r="K629" s="26" t="str"/>
      <x:c r="L629" s="26" t="str">
        <x:v>endure</x:v>
      </x:c>
      <x:c r="M629" s="26" t="str">
        <x:v>Translate with wording caveat</x:v>
      </x:c>
      <x:c r="N629" s="26" t="str">
        <x:v>Review</x:v>
      </x:c>
      <x:c r="O629" s="43" t="n">
        <x:v>0.82</x:v>
      </x:c>
      <x:c r="P629" s="26" t="str">
        <x:v>Some action words are ordinary English too; results may need object/context filters.</x:v>
      </x:c>
      <x:c r="Q629" s="26" t="str">
        <x:v>https://scryfall.com/docs/syntax</x:v>
      </x:c>
      <x:c r="R629" s="26" t="str">
        <x:v>2026-08-21</x:v>
      </x:c>
    </x:row>
    <x:row r="630">
      <x:c r="A630" s="26" t="str">
        <x:v>KeywordActions!A29:B29</x:v>
      </x:c>
      <x:c r="B630" s="26" t="str">
        <x:v>Keyword Action</x:v>
      </x:c>
      <x:c r="C630" s="26" t="str">
        <x:v>Exchange</x:v>
      </x:c>
      <x:c r="D630" s="26" t="str">
        <x:v>Rule 701.12</x:v>
      </x:c>
      <x:c r="E630" s="26"/>
      <x:c r="F630" s="26" t="str">
        <x:v>o:"Exchange"</x:v>
      </x:c>
      <x:c r="G630" s="26" t="str">
        <x:v>Medium</x:v>
      </x:c>
      <x:c r="H630" s="26" t="str">
        <x:v>Keyword action</x:v>
      </x:c>
      <x:c r="I630" s="26" t="str">
        <x:v>oracle:</x:v>
      </x:c>
      <x:c r="J630" s="26" t="str">
        <x:v>o:"Exchange"</x:v>
      </x:c>
      <x:c r="K630" s="26" t="str"/>
      <x:c r="L630" s="26" t="str">
        <x:v>exchange</x:v>
      </x:c>
      <x:c r="M630" s="26" t="str">
        <x:v>Translate with wording caveat</x:v>
      </x:c>
      <x:c r="N630" s="26" t="str">
        <x:v>Review</x:v>
      </x:c>
      <x:c r="O630" s="43" t="n">
        <x:v>0.82</x:v>
      </x:c>
      <x:c r="P630" s="26" t="str">
        <x:v>Some action words are ordinary English too; results may need object/context filters.</x:v>
      </x:c>
      <x:c r="Q630" s="26" t="str">
        <x:v>https://scryfall.com/docs/syntax</x:v>
      </x:c>
      <x:c r="R630" s="26" t="str">
        <x:v>2026-08-21</x:v>
      </x:c>
    </x:row>
    <x:row r="631">
      <x:c r="A631" s="26" t="str">
        <x:v>KeywordActions!A30:B30</x:v>
      </x:c>
      <x:c r="B631" s="26" t="str">
        <x:v>Keyword Action</x:v>
      </x:c>
      <x:c r="C631" s="26" t="str">
        <x:v>Exert</x:v>
      </x:c>
      <x:c r="D631" s="26" t="str">
        <x:v>Rule 701.43</x:v>
      </x:c>
      <x:c r="E631" s="26"/>
      <x:c r="F631" s="26" t="str">
        <x:v>o:"Exert"</x:v>
      </x:c>
      <x:c r="G631" s="26" t="str">
        <x:v>Medium</x:v>
      </x:c>
      <x:c r="H631" s="26" t="str">
        <x:v>Keyword action</x:v>
      </x:c>
      <x:c r="I631" s="26" t="str">
        <x:v>oracle:</x:v>
      </x:c>
      <x:c r="J631" s="26" t="str">
        <x:v>o:"Exert"</x:v>
      </x:c>
      <x:c r="K631" s="26" t="str"/>
      <x:c r="L631" s="26" t="str">
        <x:v>exert</x:v>
      </x:c>
      <x:c r="M631" s="26" t="str">
        <x:v>Translate with wording caveat</x:v>
      </x:c>
      <x:c r="N631" s="26" t="str">
        <x:v>Review</x:v>
      </x:c>
      <x:c r="O631" s="43" t="n">
        <x:v>0.82</x:v>
      </x:c>
      <x:c r="P631" s="26" t="str">
        <x:v>Some action words are ordinary English too; results may need object/context filters.</x:v>
      </x:c>
      <x:c r="Q631" s="26" t="str">
        <x:v>https://scryfall.com/docs/syntax</x:v>
      </x:c>
      <x:c r="R631" s="26" t="str">
        <x:v>2026-08-21</x:v>
      </x:c>
    </x:row>
    <x:row r="632">
      <x:c r="A632" s="26" t="str">
        <x:v>KeywordActions!A31:B31</x:v>
      </x:c>
      <x:c r="B632" s="26" t="str">
        <x:v>Keyword Action</x:v>
      </x:c>
      <x:c r="C632" s="26" t="str">
        <x:v>Exile</x:v>
      </x:c>
      <x:c r="D632" s="26" t="str">
        <x:v>Rule 701.13</x:v>
      </x:c>
      <x:c r="E632" s="26"/>
      <x:c r="F632" s="26" t="str">
        <x:v>o:"Exile"</x:v>
      </x:c>
      <x:c r="G632" s="26" t="str">
        <x:v>Medium</x:v>
      </x:c>
      <x:c r="H632" s="26" t="str">
        <x:v>Keyword action</x:v>
      </x:c>
      <x:c r="I632" s="26" t="str">
        <x:v>oracle:</x:v>
      </x:c>
      <x:c r="J632" s="26" t="str">
        <x:v>o:"Exile"</x:v>
      </x:c>
      <x:c r="K632" s="26" t="str"/>
      <x:c r="L632" s="26" t="str">
        <x:v>exile</x:v>
      </x:c>
      <x:c r="M632" s="26" t="str">
        <x:v>Translate with wording caveat</x:v>
      </x:c>
      <x:c r="N632" s="26" t="str">
        <x:v>Review</x:v>
      </x:c>
      <x:c r="O632" s="43" t="n">
        <x:v>0.82</x:v>
      </x:c>
      <x:c r="P632" s="26" t="str">
        <x:v>Some action words are ordinary English too; results may need object/context filters.</x:v>
      </x:c>
      <x:c r="Q632" s="26" t="str">
        <x:v>https://scryfall.com/docs/syntax</x:v>
      </x:c>
      <x:c r="R632" s="26" t="str">
        <x:v>2026-08-21</x:v>
      </x:c>
    </x:row>
    <x:row r="633">
      <x:c r="A633" s="26" t="str">
        <x:v>KeywordActions!A32:B32</x:v>
      </x:c>
      <x:c r="B633" s="26" t="str">
        <x:v>Keyword Action</x:v>
      </x:c>
      <x:c r="C633" s="26" t="str">
        <x:v>Explore</x:v>
      </x:c>
      <x:c r="D633" s="26" t="str">
        <x:v>Rule 701.44</x:v>
      </x:c>
      <x:c r="E633" s="26"/>
      <x:c r="F633" s="26" t="str">
        <x:v>o:"Explore"</x:v>
      </x:c>
      <x:c r="G633" s="26" t="str">
        <x:v>Medium</x:v>
      </x:c>
      <x:c r="H633" s="26" t="str">
        <x:v>Keyword action</x:v>
      </x:c>
      <x:c r="I633" s="26" t="str">
        <x:v>oracle:</x:v>
      </x:c>
      <x:c r="J633" s="26" t="str">
        <x:v>o:"Explore"</x:v>
      </x:c>
      <x:c r="K633" s="26" t="str"/>
      <x:c r="L633" s="26" t="str">
        <x:v>explore</x:v>
      </x:c>
      <x:c r="M633" s="26" t="str">
        <x:v>Translate with wording caveat</x:v>
      </x:c>
      <x:c r="N633" s="26" t="str">
        <x:v>Review</x:v>
      </x:c>
      <x:c r="O633" s="43" t="n">
        <x:v>0.82</x:v>
      </x:c>
      <x:c r="P633" s="26" t="str">
        <x:v>Some action words are ordinary English too; results may need object/context filters.</x:v>
      </x:c>
      <x:c r="Q633" s="26" t="str">
        <x:v>https://scryfall.com/docs/syntax</x:v>
      </x:c>
      <x:c r="R633" s="26" t="str">
        <x:v>2026-08-21</x:v>
      </x:c>
    </x:row>
    <x:row r="634">
      <x:c r="A634" s="26" t="str">
        <x:v>KeywordActions!A33:B33</x:v>
      </x:c>
      <x:c r="B634" s="26" t="str">
        <x:v>Keyword Action</x:v>
      </x:c>
      <x:c r="C634" s="26" t="str">
        <x:v>Face a Villainous Choice</x:v>
      </x:c>
      <x:c r="D634" s="26" t="str">
        <x:v>Rule 701.55</x:v>
      </x:c>
      <x:c r="E634" s="26"/>
      <x:c r="F634" s="26" t="str">
        <x:v>o:"Face a Villainous Choice"</x:v>
      </x:c>
      <x:c r="G634" s="26" t="str">
        <x:v>Medium</x:v>
      </x:c>
      <x:c r="H634" s="26" t="str">
        <x:v>Keyword action</x:v>
      </x:c>
      <x:c r="I634" s="26" t="str">
        <x:v>oracle:</x:v>
      </x:c>
      <x:c r="J634" s="26" t="str">
        <x:v>o:"Face a Villainous Choice"</x:v>
      </x:c>
      <x:c r="K634" s="26" t="str"/>
      <x:c r="L634" s="26" t="str">
        <x:v>face a villainous choice</x:v>
      </x:c>
      <x:c r="M634" s="26" t="str">
        <x:v>Translate with wording caveat</x:v>
      </x:c>
      <x:c r="N634" s="26" t="str">
        <x:v>Review</x:v>
      </x:c>
      <x:c r="O634" s="43" t="n">
        <x:v>0.82</x:v>
      </x:c>
      <x:c r="P634" s="26" t="str">
        <x:v>Some action words are ordinary English too; results may need object/context filters.</x:v>
      </x:c>
      <x:c r="Q634" s="26" t="str">
        <x:v>https://scryfall.com/docs/syntax</x:v>
      </x:c>
      <x:c r="R634" s="26" t="str">
        <x:v>2026-08-21</x:v>
      </x:c>
    </x:row>
    <x:row r="635">
      <x:c r="A635" s="26" t="str">
        <x:v>KeywordActions!A34:B34</x:v>
      </x:c>
      <x:c r="B635" s="26" t="str">
        <x:v>Keyword Action</x:v>
      </x:c>
      <x:c r="C635" s="26" t="str">
        <x:v>Fateseal</x:v>
      </x:c>
      <x:c r="D635" s="26" t="str">
        <x:v>Rule 701.29</x:v>
      </x:c>
      <x:c r="E635" s="26"/>
      <x:c r="F635" s="26" t="str">
        <x:v>o:"Fateseal"</x:v>
      </x:c>
      <x:c r="G635" s="26" t="str">
        <x:v>Medium</x:v>
      </x:c>
      <x:c r="H635" s="26" t="str">
        <x:v>Keyword action</x:v>
      </x:c>
      <x:c r="I635" s="26" t="str">
        <x:v>oracle:</x:v>
      </x:c>
      <x:c r="J635" s="26" t="str">
        <x:v>o:"Fateseal"</x:v>
      </x:c>
      <x:c r="K635" s="26" t="str"/>
      <x:c r="L635" s="26" t="str">
        <x:v>fateseal</x:v>
      </x:c>
      <x:c r="M635" s="26" t="str">
        <x:v>Translate with wording caveat</x:v>
      </x:c>
      <x:c r="N635" s="26" t="str">
        <x:v>Review</x:v>
      </x:c>
      <x:c r="O635" s="43" t="n">
        <x:v>0.82</x:v>
      </x:c>
      <x:c r="P635" s="26" t="str">
        <x:v>Some action words are ordinary English too; results may need object/context filters.</x:v>
      </x:c>
      <x:c r="Q635" s="26" t="str">
        <x:v>https://scryfall.com/docs/syntax</x:v>
      </x:c>
      <x:c r="R635" s="26" t="str">
        <x:v>2026-08-21</x:v>
      </x:c>
    </x:row>
    <x:row r="636">
      <x:c r="A636" s="26" t="str">
        <x:v>KeywordActions!A35:B35</x:v>
      </x:c>
      <x:c r="B636" s="26" t="str">
        <x:v>Keyword Action</x:v>
      </x:c>
      <x:c r="C636" s="26" t="str">
        <x:v>Fight</x:v>
      </x:c>
      <x:c r="D636" s="26" t="str">
        <x:v>Rule 701.14</x:v>
      </x:c>
      <x:c r="E636" s="26"/>
      <x:c r="F636" s="26" t="str">
        <x:v>o:"Fight"</x:v>
      </x:c>
      <x:c r="G636" s="26" t="str">
        <x:v>Medium</x:v>
      </x:c>
      <x:c r="H636" s="26" t="str">
        <x:v>Keyword action</x:v>
      </x:c>
      <x:c r="I636" s="26" t="str">
        <x:v>oracle:</x:v>
      </x:c>
      <x:c r="J636" s="26" t="str">
        <x:v>o:"Fight"</x:v>
      </x:c>
      <x:c r="K636" s="26" t="str"/>
      <x:c r="L636" s="26" t="str">
        <x:v>fight</x:v>
      </x:c>
      <x:c r="M636" s="26" t="str">
        <x:v>Translate with wording caveat</x:v>
      </x:c>
      <x:c r="N636" s="26" t="str">
        <x:v>Review</x:v>
      </x:c>
      <x:c r="O636" s="43" t="n">
        <x:v>0.82</x:v>
      </x:c>
      <x:c r="P636" s="26" t="str">
        <x:v>Some action words are ordinary English too; results may need object/context filters.</x:v>
      </x:c>
      <x:c r="Q636" s="26" t="str">
        <x:v>https://scryfall.com/docs/syntax</x:v>
      </x:c>
      <x:c r="R636" s="26" t="str">
        <x:v>2026-08-21</x:v>
      </x:c>
    </x:row>
    <x:row r="637">
      <x:c r="A637" s="26" t="str">
        <x:v>KeywordActions!A36:B36</x:v>
      </x:c>
      <x:c r="B637" s="26" t="str">
        <x:v>Keyword Action</x:v>
      </x:c>
      <x:c r="C637" s="26" t="str">
        <x:v>Food</x:v>
      </x:c>
      <x:c r="D637" s="26" t="str">
        <x:v>No rule number listed</x:v>
      </x:c>
      <x:c r="E637" s="26"/>
      <x:c r="F637" s="26" t="str">
        <x:v>o:"Food"</x:v>
      </x:c>
      <x:c r="G637" s="26" t="str">
        <x:v>Medium</x:v>
      </x:c>
      <x:c r="H637" s="26" t="str">
        <x:v>Keyword action</x:v>
      </x:c>
      <x:c r="I637" s="26" t="str">
        <x:v>oracle:</x:v>
      </x:c>
      <x:c r="J637" s="26" t="str">
        <x:v>o:"Food"</x:v>
      </x:c>
      <x:c r="K637" s="26" t="str"/>
      <x:c r="L637" s="26" t="str">
        <x:v>food</x:v>
      </x:c>
      <x:c r="M637" s="26" t="str">
        <x:v>Translate with wording caveat</x:v>
      </x:c>
      <x:c r="N637" s="26" t="str">
        <x:v>Review</x:v>
      </x:c>
      <x:c r="O637" s="43" t="n">
        <x:v>0.82</x:v>
      </x:c>
      <x:c r="P637" s="26" t="str">
        <x:v>Some action words are ordinary English too; results may need object/context filters.</x:v>
      </x:c>
      <x:c r="Q637" s="26" t="str">
        <x:v>https://scryfall.com/docs/syntax</x:v>
      </x:c>
      <x:c r="R637" s="26" t="str">
        <x:v>2026-08-21</x:v>
      </x:c>
    </x:row>
    <x:row r="638">
      <x:c r="A638" s="26" t="str">
        <x:v>KeywordActions!A37:B37</x:v>
      </x:c>
      <x:c r="B638" s="26" t="str">
        <x:v>Keyword Action</x:v>
      </x:c>
      <x:c r="C638" s="26" t="str">
        <x:v>Forage</x:v>
      </x:c>
      <x:c r="D638" s="26" t="str">
        <x:v>Rule 701.61</x:v>
      </x:c>
      <x:c r="E638" s="26"/>
      <x:c r="F638" s="26" t="str">
        <x:v>o:"Forage"</x:v>
      </x:c>
      <x:c r="G638" s="26" t="str">
        <x:v>Medium</x:v>
      </x:c>
      <x:c r="H638" s="26" t="str">
        <x:v>Keyword action</x:v>
      </x:c>
      <x:c r="I638" s="26" t="str">
        <x:v>oracle:</x:v>
      </x:c>
      <x:c r="J638" s="26" t="str">
        <x:v>o:"Forage"</x:v>
      </x:c>
      <x:c r="K638" s="26" t="str"/>
      <x:c r="L638" s="26" t="str">
        <x:v>forage</x:v>
      </x:c>
      <x:c r="M638" s="26" t="str">
        <x:v>Translate with wording caveat</x:v>
      </x:c>
      <x:c r="N638" s="26" t="str">
        <x:v>Review</x:v>
      </x:c>
      <x:c r="O638" s="43" t="n">
        <x:v>0.82</x:v>
      </x:c>
      <x:c r="P638" s="26" t="str">
        <x:v>Some action words are ordinary English too; results may need object/context filters.</x:v>
      </x:c>
      <x:c r="Q638" s="26" t="str">
        <x:v>https://scryfall.com/docs/syntax</x:v>
      </x:c>
      <x:c r="R638" s="26" t="str">
        <x:v>2026-08-21</x:v>
      </x:c>
    </x:row>
    <x:row r="639">
      <x:c r="A639" s="26" t="str">
        <x:v>KeywordActions!A38:B38</x:v>
      </x:c>
      <x:c r="B639" s="26" t="str">
        <x:v>Keyword Action</x:v>
      </x:c>
      <x:c r="C639" s="26" t="str">
        <x:v>Goad</x:v>
      </x:c>
      <x:c r="D639" s="26" t="str">
        <x:v>Rule 701.15</x:v>
      </x:c>
      <x:c r="E639" s="26"/>
      <x:c r="F639" s="26" t="str">
        <x:v>o:"Goad"</x:v>
      </x:c>
      <x:c r="G639" s="26" t="str">
        <x:v>Medium</x:v>
      </x:c>
      <x:c r="H639" s="26" t="str">
        <x:v>Keyword action</x:v>
      </x:c>
      <x:c r="I639" s="26" t="str">
        <x:v>oracle:</x:v>
      </x:c>
      <x:c r="J639" s="26" t="str">
        <x:v>o:"Goad"</x:v>
      </x:c>
      <x:c r="K639" s="26" t="str"/>
      <x:c r="L639" s="26" t="str">
        <x:v>goad</x:v>
      </x:c>
      <x:c r="M639" s="26" t="str">
        <x:v>Translate with wording caveat</x:v>
      </x:c>
      <x:c r="N639" s="26" t="str">
        <x:v>Review</x:v>
      </x:c>
      <x:c r="O639" s="43" t="n">
        <x:v>0.82</x:v>
      </x:c>
      <x:c r="P639" s="26" t="str">
        <x:v>Some action words are ordinary English too; results may need object/context filters.</x:v>
      </x:c>
      <x:c r="Q639" s="26" t="str">
        <x:v>https://scryfall.com/docs/syntax</x:v>
      </x:c>
      <x:c r="R639" s="26" t="str">
        <x:v>2026-08-21</x:v>
      </x:c>
    </x:row>
    <x:row r="640">
      <x:c r="A640" s="26" t="str">
        <x:v>KeywordActions!A39:B39</x:v>
      </x:c>
      <x:c r="B640" s="26" t="str">
        <x:v>Keyword Action</x:v>
      </x:c>
      <x:c r="C640" s="26" t="str">
        <x:v>Harness</x:v>
      </x:c>
      <x:c r="D640" s="26" t="str">
        <x:v>Rule 701.64</x:v>
      </x:c>
      <x:c r="E640" s="26"/>
      <x:c r="F640" s="26" t="str">
        <x:v>o:"Harness"</x:v>
      </x:c>
      <x:c r="G640" s="26" t="str">
        <x:v>Medium</x:v>
      </x:c>
      <x:c r="H640" s="26" t="str">
        <x:v>Keyword action</x:v>
      </x:c>
      <x:c r="I640" s="26" t="str">
        <x:v>oracle:</x:v>
      </x:c>
      <x:c r="J640" s="26" t="str">
        <x:v>o:"Harness"</x:v>
      </x:c>
      <x:c r="K640" s="26" t="str"/>
      <x:c r="L640" s="26" t="str">
        <x:v>harness</x:v>
      </x:c>
      <x:c r="M640" s="26" t="str">
        <x:v>Translate with wording caveat</x:v>
      </x:c>
      <x:c r="N640" s="26" t="str">
        <x:v>Review</x:v>
      </x:c>
      <x:c r="O640" s="43" t="n">
        <x:v>0.82</x:v>
      </x:c>
      <x:c r="P640" s="26" t="str">
        <x:v>Some action words are ordinary English too; results may need object/context filters.</x:v>
      </x:c>
      <x:c r="Q640" s="26" t="str">
        <x:v>https://scryfall.com/docs/syntax</x:v>
      </x:c>
      <x:c r="R640" s="26" t="str">
        <x:v>2026-08-21</x:v>
      </x:c>
    </x:row>
    <x:row r="641">
      <x:c r="A641" s="26" t="str">
        <x:v>KeywordActions!A40:B40</x:v>
      </x:c>
      <x:c r="B641" s="26" t="str">
        <x:v>Keyword Action</x:v>
      </x:c>
      <x:c r="C641" s="26" t="str">
        <x:v>Heal</x:v>
      </x:c>
      <x:c r="D641" s="26" t="str">
        <x:v>No rule number listed</x:v>
      </x:c>
      <x:c r="E641" s="26"/>
      <x:c r="F641" s="26" t="str">
        <x:v>o:"Heal"</x:v>
      </x:c>
      <x:c r="G641" s="26" t="str">
        <x:v>Medium</x:v>
      </x:c>
      <x:c r="H641" s="26" t="str">
        <x:v>Keyword action</x:v>
      </x:c>
      <x:c r="I641" s="26" t="str">
        <x:v>oracle:</x:v>
      </x:c>
      <x:c r="J641" s="26" t="str">
        <x:v>o:"Heal"</x:v>
      </x:c>
      <x:c r="K641" s="26" t="str"/>
      <x:c r="L641" s="26" t="str">
        <x:v>heal</x:v>
      </x:c>
      <x:c r="M641" s="26" t="str">
        <x:v>Translate with wording caveat</x:v>
      </x:c>
      <x:c r="N641" s="26" t="str">
        <x:v>Review</x:v>
      </x:c>
      <x:c r="O641" s="43" t="n">
        <x:v>0.82</x:v>
      </x:c>
      <x:c r="P641" s="26" t="str">
        <x:v>Some action words are ordinary English too; results may need object/context filters.</x:v>
      </x:c>
      <x:c r="Q641" s="26" t="str">
        <x:v>https://scryfall.com/docs/syntax</x:v>
      </x:c>
      <x:c r="R641" s="26" t="str">
        <x:v>2026-08-21</x:v>
      </x:c>
    </x:row>
    <x:row r="642">
      <x:c r="A642" s="26" t="str">
        <x:v>KeywordActions!A41:B41</x:v>
      </x:c>
      <x:c r="B642" s="26" t="str">
        <x:v>Keyword Action</x:v>
      </x:c>
      <x:c r="C642" s="26" t="str">
        <x:v>Heist</x:v>
      </x:c>
      <x:c r="D642" s="26" t="str">
        <x:v>No rule number listed</x:v>
      </x:c>
      <x:c r="E642" s="26"/>
      <x:c r="F642" s="26" t="str">
        <x:v>o:"Heist"</x:v>
      </x:c>
      <x:c r="G642" s="26" t="str">
        <x:v>Medium</x:v>
      </x:c>
      <x:c r="H642" s="26" t="str">
        <x:v>Keyword action</x:v>
      </x:c>
      <x:c r="I642" s="26" t="str">
        <x:v>oracle:</x:v>
      </x:c>
      <x:c r="J642" s="26" t="str">
        <x:v>o:"Heist"</x:v>
      </x:c>
      <x:c r="K642" s="26" t="str"/>
      <x:c r="L642" s="26" t="str">
        <x:v>heist</x:v>
      </x:c>
      <x:c r="M642" s="26" t="str">
        <x:v>Translate with wording caveat</x:v>
      </x:c>
      <x:c r="N642" s="26" t="str">
        <x:v>Review</x:v>
      </x:c>
      <x:c r="O642" s="43" t="n">
        <x:v>0.82</x:v>
      </x:c>
      <x:c r="P642" s="26" t="str">
        <x:v>Some action words are ordinary English too; results may need object/context filters.</x:v>
      </x:c>
      <x:c r="Q642" s="26" t="str">
        <x:v>https://scryfall.com/docs/syntax</x:v>
      </x:c>
      <x:c r="R642" s="26" t="str">
        <x:v>2026-08-21</x:v>
      </x:c>
    </x:row>
    <x:row r="643">
      <x:c r="A643" s="26" t="str">
        <x:v>KeywordActions!A42:B42</x:v>
      </x:c>
      <x:c r="B643" s="26" t="str">
        <x:v>Keyword Action</x:v>
      </x:c>
      <x:c r="C643" s="26" t="str">
        <x:v>Incorporate</x:v>
      </x:c>
      <x:c r="D643" s="26" t="str">
        <x:v>No rule number listed</x:v>
      </x:c>
      <x:c r="E643" s="26"/>
      <x:c r="F643" s="26" t="str">
        <x:v>o:"Incorporate"</x:v>
      </x:c>
      <x:c r="G643" s="26" t="str">
        <x:v>Medium</x:v>
      </x:c>
      <x:c r="H643" s="26" t="str">
        <x:v>Keyword action</x:v>
      </x:c>
      <x:c r="I643" s="26" t="str">
        <x:v>oracle:</x:v>
      </x:c>
      <x:c r="J643" s="26" t="str">
        <x:v>o:"Incorporate"</x:v>
      </x:c>
      <x:c r="K643" s="26" t="str"/>
      <x:c r="L643" s="26" t="str">
        <x:v>incorporate</x:v>
      </x:c>
      <x:c r="M643" s="26" t="str">
        <x:v>Translate with wording caveat</x:v>
      </x:c>
      <x:c r="N643" s="26" t="str">
        <x:v>Review</x:v>
      </x:c>
      <x:c r="O643" s="43" t="n">
        <x:v>0.82</x:v>
      </x:c>
      <x:c r="P643" s="26" t="str">
        <x:v>Some action words are ordinary English too; results may need object/context filters.</x:v>
      </x:c>
      <x:c r="Q643" s="26" t="str">
        <x:v>https://scryfall.com/docs/syntax</x:v>
      </x:c>
      <x:c r="R643" s="26" t="str">
        <x:v>2026-08-21</x:v>
      </x:c>
    </x:row>
    <x:row r="644">
      <x:c r="A644" s="26" t="str">
        <x:v>KeywordActions!A43:B43</x:v>
      </x:c>
      <x:c r="B644" s="26" t="str">
        <x:v>Keyword Action</x:v>
      </x:c>
      <x:c r="C644" s="26" t="str">
        <x:v>Incubate</x:v>
      </x:c>
      <x:c r="D644" s="26" t="str">
        <x:v>Rule 701.53</x:v>
      </x:c>
      <x:c r="E644" s="26"/>
      <x:c r="F644" s="26" t="str">
        <x:v>o:"Incubate"</x:v>
      </x:c>
      <x:c r="G644" s="26" t="str">
        <x:v>Medium</x:v>
      </x:c>
      <x:c r="H644" s="26" t="str">
        <x:v>Keyword action</x:v>
      </x:c>
      <x:c r="I644" s="26" t="str">
        <x:v>oracle:</x:v>
      </x:c>
      <x:c r="J644" s="26" t="str">
        <x:v>o:"Incubate"</x:v>
      </x:c>
      <x:c r="K644" s="26" t="str"/>
      <x:c r="L644" s="26" t="str">
        <x:v>incubate</x:v>
      </x:c>
      <x:c r="M644" s="26" t="str">
        <x:v>Translate with wording caveat</x:v>
      </x:c>
      <x:c r="N644" s="26" t="str">
        <x:v>Review</x:v>
      </x:c>
      <x:c r="O644" s="43" t="n">
        <x:v>0.82</x:v>
      </x:c>
      <x:c r="P644" s="26" t="str">
        <x:v>Some action words are ordinary English too; results may need object/context filters.</x:v>
      </x:c>
      <x:c r="Q644" s="26" t="str">
        <x:v>https://scryfall.com/docs/syntax</x:v>
      </x:c>
      <x:c r="R644" s="26" t="str">
        <x:v>2026-08-21</x:v>
      </x:c>
    </x:row>
    <x:row r="645">
      <x:c r="A645" s="26" t="str">
        <x:v>KeywordActions!A44:B44</x:v>
      </x:c>
      <x:c r="B645" s="26" t="str">
        <x:v>Keyword Action</x:v>
      </x:c>
      <x:c r="C645" s="26" t="str">
        <x:v>Investigate</x:v>
      </x:c>
      <x:c r="D645" s="26" t="str">
        <x:v>Rule 701.16</x:v>
      </x:c>
      <x:c r="E645" s="26"/>
      <x:c r="F645" s="26" t="str">
        <x:v>o:"Investigate"</x:v>
      </x:c>
      <x:c r="G645" s="26" t="str">
        <x:v>Medium</x:v>
      </x:c>
      <x:c r="H645" s="26" t="str">
        <x:v>Keyword action</x:v>
      </x:c>
      <x:c r="I645" s="26" t="str">
        <x:v>oracle:</x:v>
      </x:c>
      <x:c r="J645" s="26" t="str">
        <x:v>o:"Investigate"</x:v>
      </x:c>
      <x:c r="K645" s="26" t="str"/>
      <x:c r="L645" s="26" t="str">
        <x:v>investigate</x:v>
      </x:c>
      <x:c r="M645" s="26" t="str">
        <x:v>Translate with wording caveat</x:v>
      </x:c>
      <x:c r="N645" s="26" t="str">
        <x:v>Review</x:v>
      </x:c>
      <x:c r="O645" s="43" t="n">
        <x:v>0.82</x:v>
      </x:c>
      <x:c r="P645" s="26" t="str">
        <x:v>Some action words are ordinary English too; results may need object/context filters.</x:v>
      </x:c>
      <x:c r="Q645" s="26" t="str">
        <x:v>https://scryfall.com/docs/syntax</x:v>
      </x:c>
      <x:c r="R645" s="26" t="str">
        <x:v>2026-08-21</x:v>
      </x:c>
    </x:row>
    <x:row r="646">
      <x:c r="A646" s="26" t="str">
        <x:v>KeywordActions!A45:B45</x:v>
      </x:c>
      <x:c r="B646" s="26" t="str">
        <x:v>Keyword Action</x:v>
      </x:c>
      <x:c r="C646" s="26" t="str">
        <x:v>Learn</x:v>
      </x:c>
      <x:c r="D646" s="26" t="str">
        <x:v>Rule 701.48</x:v>
      </x:c>
      <x:c r="E646" s="26"/>
      <x:c r="F646" s="26" t="str">
        <x:v>o:"Learn"</x:v>
      </x:c>
      <x:c r="G646" s="26" t="str">
        <x:v>Medium</x:v>
      </x:c>
      <x:c r="H646" s="26" t="str">
        <x:v>Keyword action</x:v>
      </x:c>
      <x:c r="I646" s="26" t="str">
        <x:v>oracle:</x:v>
      </x:c>
      <x:c r="J646" s="26" t="str">
        <x:v>o:"Learn"</x:v>
      </x:c>
      <x:c r="K646" s="26" t="str"/>
      <x:c r="L646" s="26" t="str">
        <x:v>learn</x:v>
      </x:c>
      <x:c r="M646" s="26" t="str">
        <x:v>Translate with wording caveat</x:v>
      </x:c>
      <x:c r="N646" s="26" t="str">
        <x:v>Review</x:v>
      </x:c>
      <x:c r="O646" s="43" t="n">
        <x:v>0.82</x:v>
      </x:c>
      <x:c r="P646" s="26" t="str">
        <x:v>Some action words are ordinary English too; results may need object/context filters.</x:v>
      </x:c>
      <x:c r="Q646" s="26" t="str">
        <x:v>https://scryfall.com/docs/syntax</x:v>
      </x:c>
      <x:c r="R646" s="26" t="str">
        <x:v>2026-08-21</x:v>
      </x:c>
    </x:row>
    <x:row r="647">
      <x:c r="A647" s="26" t="str">
        <x:v>KeywordActions!A46:B46</x:v>
      </x:c>
      <x:c r="B647" s="26" t="str">
        <x:v>Keyword Action</x:v>
      </x:c>
      <x:c r="C647" s="26" t="str">
        <x:v>Manifest</x:v>
      </x:c>
      <x:c r="D647" s="26" t="str">
        <x:v>Rule 701.4</x:v>
      </x:c>
      <x:c r="E647" s="26"/>
      <x:c r="F647" s="26" t="str">
        <x:v>o:"Manifest"</x:v>
      </x:c>
      <x:c r="G647" s="26" t="str">
        <x:v>Medium</x:v>
      </x:c>
      <x:c r="H647" s="26" t="str">
        <x:v>Keyword action</x:v>
      </x:c>
      <x:c r="I647" s="26" t="str">
        <x:v>oracle:</x:v>
      </x:c>
      <x:c r="J647" s="26" t="str">
        <x:v>o:"Manifest"</x:v>
      </x:c>
      <x:c r="K647" s="26" t="str"/>
      <x:c r="L647" s="26" t="str">
        <x:v>manifest</x:v>
      </x:c>
      <x:c r="M647" s="26" t="str">
        <x:v>Translate with wording caveat</x:v>
      </x:c>
      <x:c r="N647" s="26" t="str">
        <x:v>Review</x:v>
      </x:c>
      <x:c r="O647" s="43" t="n">
        <x:v>0.82</x:v>
      </x:c>
      <x:c r="P647" s="26" t="str">
        <x:v>Some action words are ordinary English too; results may need object/context filters.</x:v>
      </x:c>
      <x:c r="Q647" s="26" t="str">
        <x:v>https://scryfall.com/docs/syntax</x:v>
      </x:c>
      <x:c r="R647" s="26" t="str">
        <x:v>2026-08-21</x:v>
      </x:c>
    </x:row>
    <x:row r="648">
      <x:c r="A648" s="26" t="str">
        <x:v>KeywordActions!A47:B47</x:v>
      </x:c>
      <x:c r="B648" s="26" t="str">
        <x:v>Keyword Action</x:v>
      </x:c>
      <x:c r="C648" s="26" t="str">
        <x:v>Manifest Dread</x:v>
      </x:c>
      <x:c r="D648" s="26" t="str">
        <x:v>Rule 701.62</x:v>
      </x:c>
      <x:c r="E648" s="26"/>
      <x:c r="F648" s="26" t="str">
        <x:v>o:"Manifest Dread"</x:v>
      </x:c>
      <x:c r="G648" s="26" t="str">
        <x:v>Medium</x:v>
      </x:c>
      <x:c r="H648" s="26" t="str">
        <x:v>Keyword action</x:v>
      </x:c>
      <x:c r="I648" s="26" t="str">
        <x:v>oracle:</x:v>
      </x:c>
      <x:c r="J648" s="26" t="str">
        <x:v>o:"Manifest Dread"</x:v>
      </x:c>
      <x:c r="K648" s="26" t="str"/>
      <x:c r="L648" s="26" t="str">
        <x:v>manifest dread</x:v>
      </x:c>
      <x:c r="M648" s="26" t="str">
        <x:v>Translate with wording caveat</x:v>
      </x:c>
      <x:c r="N648" s="26" t="str">
        <x:v>Review</x:v>
      </x:c>
      <x:c r="O648" s="43" t="n">
        <x:v>0.82</x:v>
      </x:c>
      <x:c r="P648" s="26" t="str">
        <x:v>Some action words are ordinary English too; results may need object/context filters.</x:v>
      </x:c>
      <x:c r="Q648" s="26" t="str">
        <x:v>https://scryfall.com/docs/syntax</x:v>
      </x:c>
      <x:c r="R648" s="26" t="str">
        <x:v>2026-08-21</x:v>
      </x:c>
    </x:row>
    <x:row r="649">
      <x:c r="A649" s="26" t="str">
        <x:v>KeywordActions!A48:B48</x:v>
      </x:c>
      <x:c r="B649" s="26" t="str">
        <x:v>Keyword Action</x:v>
      </x:c>
      <x:c r="C649" s="26" t="str">
        <x:v>Meld</x:v>
      </x:c>
      <x:c r="D649" s="26" t="str">
        <x:v>Rule 701.42</x:v>
      </x:c>
      <x:c r="E649" s="26"/>
      <x:c r="F649" s="26" t="str">
        <x:v>o:"Meld"</x:v>
      </x:c>
      <x:c r="G649" s="26" t="str">
        <x:v>Medium</x:v>
      </x:c>
      <x:c r="H649" s="26" t="str">
        <x:v>Keyword action</x:v>
      </x:c>
      <x:c r="I649" s="26" t="str">
        <x:v>oracle:</x:v>
      </x:c>
      <x:c r="J649" s="26" t="str">
        <x:v>o:"Meld"</x:v>
      </x:c>
      <x:c r="K649" s="26" t="str"/>
      <x:c r="L649" s="26" t="str">
        <x:v>meld</x:v>
      </x:c>
      <x:c r="M649" s="26" t="str">
        <x:v>Translate with wording caveat</x:v>
      </x:c>
      <x:c r="N649" s="26" t="str">
        <x:v>Review</x:v>
      </x:c>
      <x:c r="O649" s="43" t="n">
        <x:v>0.82</x:v>
      </x:c>
      <x:c r="P649" s="26" t="str">
        <x:v>Some action words are ordinary English too; results may need object/context filters.</x:v>
      </x:c>
      <x:c r="Q649" s="26" t="str">
        <x:v>https://scryfall.com/docs/syntax</x:v>
      </x:c>
      <x:c r="R649" s="26" t="str">
        <x:v>2026-08-21</x:v>
      </x:c>
    </x:row>
    <x:row r="650">
      <x:c r="A650" s="26" t="str">
        <x:v>KeywordActions!A49:B49</x:v>
      </x:c>
      <x:c r="B650" s="26" t="str">
        <x:v>Keyword Action</x:v>
      </x:c>
      <x:c r="C650" s="26" t="str">
        <x:v>Mill</x:v>
      </x:c>
      <x:c r="D650" s="26" t="str">
        <x:v>Rule 701.17</x:v>
      </x:c>
      <x:c r="E650" s="26"/>
      <x:c r="F650" s="26" t="str">
        <x:v>o:"Mill"</x:v>
      </x:c>
      <x:c r="G650" s="26" t="str">
        <x:v>Medium</x:v>
      </x:c>
      <x:c r="H650" s="26" t="str">
        <x:v>Keyword action</x:v>
      </x:c>
      <x:c r="I650" s="26" t="str">
        <x:v>oracle:</x:v>
      </x:c>
      <x:c r="J650" s="26" t="str">
        <x:v>o:"Mill"</x:v>
      </x:c>
      <x:c r="K650" s="26" t="str"/>
      <x:c r="L650" s="26" t="str">
        <x:v>mill</x:v>
      </x:c>
      <x:c r="M650" s="26" t="str">
        <x:v>Translate with wording caveat</x:v>
      </x:c>
      <x:c r="N650" s="26" t="str">
        <x:v>Review</x:v>
      </x:c>
      <x:c r="O650" s="43" t="n">
        <x:v>0.82</x:v>
      </x:c>
      <x:c r="P650" s="26" t="str">
        <x:v>Some action words are ordinary English too; results may need object/context filters.</x:v>
      </x:c>
      <x:c r="Q650" s="26" t="str">
        <x:v>https://scryfall.com/docs/syntax</x:v>
      </x:c>
      <x:c r="R650" s="26" t="str">
        <x:v>2026-08-21</x:v>
      </x:c>
    </x:row>
    <x:row r="651">
      <x:c r="A651" s="26" t="str">
        <x:v>KeywordActions!A50:B50</x:v>
      </x:c>
      <x:c r="B651" s="26" t="str">
        <x:v>Keyword Action</x:v>
      </x:c>
      <x:c r="C651" s="26" t="str">
        <x:v>Monstrosity</x:v>
      </x:c>
      <x:c r="D651" s="26" t="str">
        <x:v>Rule 701.37</x:v>
      </x:c>
      <x:c r="E651" s="26"/>
      <x:c r="F651" s="26" t="str">
        <x:v>o:"Monstrosity"</x:v>
      </x:c>
      <x:c r="G651" s="26" t="str">
        <x:v>Medium</x:v>
      </x:c>
      <x:c r="H651" s="26" t="str">
        <x:v>Keyword action</x:v>
      </x:c>
      <x:c r="I651" s="26" t="str">
        <x:v>oracle:</x:v>
      </x:c>
      <x:c r="J651" s="26" t="str">
        <x:v>o:"Monstrosity"</x:v>
      </x:c>
      <x:c r="K651" s="26" t="str"/>
      <x:c r="L651" s="26" t="str">
        <x:v>monstrosity</x:v>
      </x:c>
      <x:c r="M651" s="26" t="str">
        <x:v>Translate with wording caveat</x:v>
      </x:c>
      <x:c r="N651" s="26" t="str">
        <x:v>Review</x:v>
      </x:c>
      <x:c r="O651" s="43" t="n">
        <x:v>0.82</x:v>
      </x:c>
      <x:c r="P651" s="26" t="str">
        <x:v>Some action words are ordinary English too; results may need object/context filters.</x:v>
      </x:c>
      <x:c r="Q651" s="26" t="str">
        <x:v>https://scryfall.com/docs/syntax</x:v>
      </x:c>
      <x:c r="R651" s="26" t="str">
        <x:v>2026-08-21</x:v>
      </x:c>
    </x:row>
    <x:row r="652">
      <x:c r="A652" s="26" t="str">
        <x:v>KeywordActions!A51:B51</x:v>
      </x:c>
      <x:c r="B652" s="26" t="str">
        <x:v>Keyword Action</x:v>
      </x:c>
      <x:c r="C652" s="26" t="str">
        <x:v>Open an Attraction</x:v>
      </x:c>
      <x:c r="D652" s="26" t="str">
        <x:v>Rule 701.51</x:v>
      </x:c>
      <x:c r="E652" s="26"/>
      <x:c r="F652" s="26" t="str">
        <x:v>o:"Open an Attraction"</x:v>
      </x:c>
      <x:c r="G652" s="26" t="str">
        <x:v>Medium</x:v>
      </x:c>
      <x:c r="H652" s="26" t="str">
        <x:v>Keyword action</x:v>
      </x:c>
      <x:c r="I652" s="26" t="str">
        <x:v>oracle:</x:v>
      </x:c>
      <x:c r="J652" s="26" t="str">
        <x:v>o:"Open an Attraction"</x:v>
      </x:c>
      <x:c r="K652" s="26" t="str"/>
      <x:c r="L652" s="26" t="str">
        <x:v>open an attraction</x:v>
      </x:c>
      <x:c r="M652" s="26" t="str">
        <x:v>Translate with wording caveat</x:v>
      </x:c>
      <x:c r="N652" s="26" t="str">
        <x:v>Review</x:v>
      </x:c>
      <x:c r="O652" s="43" t="n">
        <x:v>0.82</x:v>
      </x:c>
      <x:c r="P652" s="26" t="str">
        <x:v>Some action words are ordinary English too; results may need object/context filters.</x:v>
      </x:c>
      <x:c r="Q652" s="26" t="str">
        <x:v>https://scryfall.com/docs/syntax</x:v>
      </x:c>
      <x:c r="R652" s="26" t="str">
        <x:v>2026-08-21</x:v>
      </x:c>
    </x:row>
    <x:row r="653">
      <x:c r="A653" s="26" t="str">
        <x:v>KeywordActions!A52:B52</x:v>
      </x:c>
      <x:c r="B653" s="26" t="str">
        <x:v>Keyword Action</x:v>
      </x:c>
      <x:c r="C653" s="26" t="str">
        <x:v>Planeswalk</x:v>
      </x:c>
      <x:c r="D653" s="26" t="str">
        <x:v>Rule 701.31</x:v>
      </x:c>
      <x:c r="E653" s="26"/>
      <x:c r="F653" s="26" t="str">
        <x:v>o:"Planeswalk"</x:v>
      </x:c>
      <x:c r="G653" s="26" t="str">
        <x:v>Medium</x:v>
      </x:c>
      <x:c r="H653" s="26" t="str">
        <x:v>Keyword action</x:v>
      </x:c>
      <x:c r="I653" s="26" t="str">
        <x:v>oracle:</x:v>
      </x:c>
      <x:c r="J653" s="26" t="str">
        <x:v>o:"Planeswalk"</x:v>
      </x:c>
      <x:c r="K653" s="26" t="str"/>
      <x:c r="L653" s="26" t="str">
        <x:v>planeswalk</x:v>
      </x:c>
      <x:c r="M653" s="26" t="str">
        <x:v>Translate with wording caveat</x:v>
      </x:c>
      <x:c r="N653" s="26" t="str">
        <x:v>Review</x:v>
      </x:c>
      <x:c r="O653" s="43" t="n">
        <x:v>0.82</x:v>
      </x:c>
      <x:c r="P653" s="26" t="str">
        <x:v>Some action words are ordinary English too; results may need object/context filters.</x:v>
      </x:c>
      <x:c r="Q653" s="26" t="str">
        <x:v>https://scryfall.com/docs/syntax</x:v>
      </x:c>
      <x:c r="R653" s="26" t="str">
        <x:v>2026-08-21</x:v>
      </x:c>
    </x:row>
    <x:row r="654">
      <x:c r="A654" s="26" t="str">
        <x:v>KeywordActions!A53:B53</x:v>
      </x:c>
      <x:c r="B654" s="26" t="str">
        <x:v>Keyword Action</x:v>
      </x:c>
      <x:c r="C654" s="26" t="str">
        <x:v>Play</x:v>
      </x:c>
      <x:c r="D654" s="26" t="str">
        <x:v>Rule 701.18</x:v>
      </x:c>
      <x:c r="E654" s="26"/>
      <x:c r="F654" s="26" t="str">
        <x:v>o:"Play"</x:v>
      </x:c>
      <x:c r="G654" s="26" t="str">
        <x:v>Medium</x:v>
      </x:c>
      <x:c r="H654" s="26" t="str">
        <x:v>Keyword action</x:v>
      </x:c>
      <x:c r="I654" s="26" t="str">
        <x:v>oracle:</x:v>
      </x:c>
      <x:c r="J654" s="26" t="str">
        <x:v>o:"Play"</x:v>
      </x:c>
      <x:c r="K654" s="26" t="str"/>
      <x:c r="L654" s="26" t="str">
        <x:v>play</x:v>
      </x:c>
      <x:c r="M654" s="26" t="str">
        <x:v>Translate with wording caveat</x:v>
      </x:c>
      <x:c r="N654" s="26" t="str">
        <x:v>Review</x:v>
      </x:c>
      <x:c r="O654" s="43" t="n">
        <x:v>0.82</x:v>
      </x:c>
      <x:c r="P654" s="26" t="str">
        <x:v>Some action words are ordinary English too; results may need object/context filters.</x:v>
      </x:c>
      <x:c r="Q654" s="26" t="str">
        <x:v>https://scryfall.com/docs/syntax</x:v>
      </x:c>
      <x:c r="R654" s="26" t="str">
        <x:v>2026-08-21</x:v>
      </x:c>
    </x:row>
    <x:row r="655">
      <x:c r="A655" s="26" t="str">
        <x:v>KeywordActions!A54:B54</x:v>
      </x:c>
      <x:c r="B655" s="26" t="str">
        <x:v>Keyword Action</x:v>
      </x:c>
      <x:c r="C655" s="26" t="str">
        <x:v>Plot</x:v>
      </x:c>
      <x:c r="D655" s="26" t="str">
        <x:v>No rule number listed</x:v>
      </x:c>
      <x:c r="E655" s="26"/>
      <x:c r="F655" s="26" t="str">
        <x:v>o:"Plot"</x:v>
      </x:c>
      <x:c r="G655" s="26" t="str">
        <x:v>Medium</x:v>
      </x:c>
      <x:c r="H655" s="26" t="str">
        <x:v>Keyword action</x:v>
      </x:c>
      <x:c r="I655" s="26" t="str">
        <x:v>oracle:</x:v>
      </x:c>
      <x:c r="J655" s="26" t="str">
        <x:v>o:"Plot"</x:v>
      </x:c>
      <x:c r="K655" s="26" t="str"/>
      <x:c r="L655" s="26" t="str">
        <x:v>plot</x:v>
      </x:c>
      <x:c r="M655" s="26" t="str">
        <x:v>Translate with wording caveat</x:v>
      </x:c>
      <x:c r="N655" s="26" t="str">
        <x:v>Review</x:v>
      </x:c>
      <x:c r="O655" s="43" t="n">
        <x:v>0.82</x:v>
      </x:c>
      <x:c r="P655" s="26" t="str">
        <x:v>Some action words are ordinary English too; results may need object/context filters.</x:v>
      </x:c>
      <x:c r="Q655" s="26" t="str">
        <x:v>https://scryfall.com/docs/syntax</x:v>
      </x:c>
      <x:c r="R655" s="26" t="str">
        <x:v>2026-08-21</x:v>
      </x:c>
    </x:row>
    <x:row r="656">
      <x:c r="A656" s="26" t="str">
        <x:v>KeywordActions!A55:B55</x:v>
      </x:c>
      <x:c r="B656" s="26" t="str">
        <x:v>Keyword Action</x:v>
      </x:c>
      <x:c r="C656" s="26" t="str">
        <x:v>Populate</x:v>
      </x:c>
      <x:c r="D656" s="26" t="str">
        <x:v>Rule 701.36</x:v>
      </x:c>
      <x:c r="E656" s="26"/>
      <x:c r="F656" s="26" t="str">
        <x:v>o:"Populate"</x:v>
      </x:c>
      <x:c r="G656" s="26" t="str">
        <x:v>Medium</x:v>
      </x:c>
      <x:c r="H656" s="26" t="str">
        <x:v>Keyword action</x:v>
      </x:c>
      <x:c r="I656" s="26" t="str">
        <x:v>oracle:</x:v>
      </x:c>
      <x:c r="J656" s="26" t="str">
        <x:v>o:"Populate"</x:v>
      </x:c>
      <x:c r="K656" s="26" t="str"/>
      <x:c r="L656" s="26" t="str">
        <x:v>populate</x:v>
      </x:c>
      <x:c r="M656" s="26" t="str">
        <x:v>Translate with wording caveat</x:v>
      </x:c>
      <x:c r="N656" s="26" t="str">
        <x:v>Review</x:v>
      </x:c>
      <x:c r="O656" s="43" t="n">
        <x:v>0.82</x:v>
      </x:c>
      <x:c r="P656" s="26" t="str">
        <x:v>Some action words are ordinary English too; results may need object/context filters.</x:v>
      </x:c>
      <x:c r="Q656" s="26" t="str">
        <x:v>https://scryfall.com/docs/syntax</x:v>
      </x:c>
      <x:c r="R656" s="26" t="str">
        <x:v>2026-08-21</x:v>
      </x:c>
    </x:row>
    <x:row r="657">
      <x:c r="A657" s="26" t="str">
        <x:v>KeywordActions!A56:B56</x:v>
      </x:c>
      <x:c r="B657" s="26" t="str">
        <x:v>Keyword Action</x:v>
      </x:c>
      <x:c r="C657" s="26" t="str">
        <x:v>Prepared</x:v>
      </x:c>
      <x:c r="D657" s="26" t="str">
        <x:v>No rule number listed</x:v>
      </x:c>
      <x:c r="E657" s="26"/>
      <x:c r="F657" s="26" t="str">
        <x:v>o:"Prepared"</x:v>
      </x:c>
      <x:c r="G657" s="26" t="str">
        <x:v>Medium</x:v>
      </x:c>
      <x:c r="H657" s="26" t="str">
        <x:v>Keyword action</x:v>
      </x:c>
      <x:c r="I657" s="26" t="str">
        <x:v>oracle:</x:v>
      </x:c>
      <x:c r="J657" s="26" t="str">
        <x:v>o:"Prepared"</x:v>
      </x:c>
      <x:c r="K657" s="26" t="str"/>
      <x:c r="L657" s="26" t="str">
        <x:v>prepared</x:v>
      </x:c>
      <x:c r="M657" s="26" t="str">
        <x:v>Translate with wording caveat</x:v>
      </x:c>
      <x:c r="N657" s="26" t="str">
        <x:v>Review</x:v>
      </x:c>
      <x:c r="O657" s="43" t="n">
        <x:v>0.82</x:v>
      </x:c>
      <x:c r="P657" s="26" t="str">
        <x:v>Some action words are ordinary English too; results may need object/context filters.</x:v>
      </x:c>
      <x:c r="Q657" s="26" t="str">
        <x:v>https://scryfall.com/docs/syntax</x:v>
      </x:c>
      <x:c r="R657" s="26" t="str">
        <x:v>2026-08-21</x:v>
      </x:c>
    </x:row>
    <x:row r="658">
      <x:c r="A658" s="26" t="str">
        <x:v>KeywordActions!A57:B57</x:v>
      </x:c>
      <x:c r="B658" s="26" t="str">
        <x:v>Keyword Action</x:v>
      </x:c>
      <x:c r="C658" s="26" t="str">
        <x:v>Proliferate</x:v>
      </x:c>
      <x:c r="D658" s="26" t="str">
        <x:v>Rule 701.34</x:v>
      </x:c>
      <x:c r="E658" s="26"/>
      <x:c r="F658" s="26" t="str">
        <x:v>o:"Proliferate"</x:v>
      </x:c>
      <x:c r="G658" s="26" t="str">
        <x:v>Medium</x:v>
      </x:c>
      <x:c r="H658" s="26" t="str">
        <x:v>Keyword action</x:v>
      </x:c>
      <x:c r="I658" s="26" t="str">
        <x:v>oracle:</x:v>
      </x:c>
      <x:c r="J658" s="26" t="str">
        <x:v>o:"Proliferate"</x:v>
      </x:c>
      <x:c r="K658" s="26" t="str"/>
      <x:c r="L658" s="26" t="str">
        <x:v>proliferate</x:v>
      </x:c>
      <x:c r="M658" s="26" t="str">
        <x:v>Translate with wording caveat</x:v>
      </x:c>
      <x:c r="N658" s="26" t="str">
        <x:v>Review</x:v>
      </x:c>
      <x:c r="O658" s="43" t="n">
        <x:v>0.82</x:v>
      </x:c>
      <x:c r="P658" s="26" t="str">
        <x:v>Some action words are ordinary English too; results may need object/context filters.</x:v>
      </x:c>
      <x:c r="Q658" s="26" t="str">
        <x:v>https://scryfall.com/docs/syntax</x:v>
      </x:c>
      <x:c r="R658" s="26" t="str">
        <x:v>2026-08-21</x:v>
      </x:c>
    </x:row>
    <x:row r="659">
      <x:c r="A659" s="26" t="str">
        <x:v>KeywordActions!A58:B58</x:v>
      </x:c>
      <x:c r="B659" s="26" t="str">
        <x:v>Keyword Action</x:v>
      </x:c>
      <x:c r="C659" s="26" t="str">
        <x:v>Regenerate</x:v>
      </x:c>
      <x:c r="D659" s="26" t="str">
        <x:v>Rule 701.19</x:v>
      </x:c>
      <x:c r="E659" s="26"/>
      <x:c r="F659" s="26" t="str">
        <x:v>o:"Regenerate"</x:v>
      </x:c>
      <x:c r="G659" s="26" t="str">
        <x:v>Medium</x:v>
      </x:c>
      <x:c r="H659" s="26" t="str">
        <x:v>Keyword action</x:v>
      </x:c>
      <x:c r="I659" s="26" t="str">
        <x:v>oracle:</x:v>
      </x:c>
      <x:c r="J659" s="26" t="str">
        <x:v>o:"Regenerate"</x:v>
      </x:c>
      <x:c r="K659" s="26" t="str"/>
      <x:c r="L659" s="26" t="str">
        <x:v>regenerate</x:v>
      </x:c>
      <x:c r="M659" s="26" t="str">
        <x:v>Translate with wording caveat</x:v>
      </x:c>
      <x:c r="N659" s="26" t="str">
        <x:v>Review</x:v>
      </x:c>
      <x:c r="O659" s="43" t="n">
        <x:v>0.82</x:v>
      </x:c>
      <x:c r="P659" s="26" t="str">
        <x:v>Some action words are ordinary English too; results may need object/context filters.</x:v>
      </x:c>
      <x:c r="Q659" s="26" t="str">
        <x:v>https://scryfall.com/docs/syntax</x:v>
      </x:c>
      <x:c r="R659" s="26" t="str">
        <x:v>2026-08-21</x:v>
      </x:c>
    </x:row>
    <x:row r="660">
      <x:c r="A660" s="26" t="str">
        <x:v>KeywordActions!A59:B59</x:v>
      </x:c>
      <x:c r="B660" s="26" t="str">
        <x:v>Keyword Action</x:v>
      </x:c>
      <x:c r="C660" s="26" t="str">
        <x:v>Reveal</x:v>
      </x:c>
      <x:c r="D660" s="26" t="str">
        <x:v>Rule 701.2</x:v>
      </x:c>
      <x:c r="E660" s="26"/>
      <x:c r="F660" s="26" t="str">
        <x:v>o:"Reveal"</x:v>
      </x:c>
      <x:c r="G660" s="26" t="str">
        <x:v>Medium</x:v>
      </x:c>
      <x:c r="H660" s="26" t="str">
        <x:v>Keyword action</x:v>
      </x:c>
      <x:c r="I660" s="26" t="str">
        <x:v>oracle:</x:v>
      </x:c>
      <x:c r="J660" s="26" t="str">
        <x:v>o:"Reveal"</x:v>
      </x:c>
      <x:c r="K660" s="26" t="str"/>
      <x:c r="L660" s="26" t="str">
        <x:v>reveal</x:v>
      </x:c>
      <x:c r="M660" s="26" t="str">
        <x:v>Translate with wording caveat</x:v>
      </x:c>
      <x:c r="N660" s="26" t="str">
        <x:v>Review</x:v>
      </x:c>
      <x:c r="O660" s="43" t="n">
        <x:v>0.82</x:v>
      </x:c>
      <x:c r="P660" s="26" t="str">
        <x:v>Some action words are ordinary English too; results may need object/context filters.</x:v>
      </x:c>
      <x:c r="Q660" s="26" t="str">
        <x:v>https://scryfall.com/docs/syntax</x:v>
      </x:c>
      <x:c r="R660" s="26" t="str">
        <x:v>2026-08-21</x:v>
      </x:c>
    </x:row>
    <x:row r="661">
      <x:c r="A661" s="26" t="str">
        <x:v>KeywordActions!A60:B60</x:v>
      </x:c>
      <x:c r="B661" s="26" t="str">
        <x:v>Keyword Action</x:v>
      </x:c>
      <x:c r="C661" s="26" t="str">
        <x:v>Role token</x:v>
      </x:c>
      <x:c r="D661" s="26" t="str">
        <x:v>No rule number listed</x:v>
      </x:c>
      <x:c r="E661" s="26"/>
      <x:c r="F661" s="26" t="str">
        <x:v>o:"Role token"</x:v>
      </x:c>
      <x:c r="G661" s="26" t="str">
        <x:v>Medium</x:v>
      </x:c>
      <x:c r="H661" s="26" t="str">
        <x:v>Keyword action</x:v>
      </x:c>
      <x:c r="I661" s="26" t="str">
        <x:v>oracle:</x:v>
      </x:c>
      <x:c r="J661" s="26" t="str">
        <x:v>o:"Role token"</x:v>
      </x:c>
      <x:c r="K661" s="26" t="str"/>
      <x:c r="L661" s="26" t="str">
        <x:v>role token</x:v>
      </x:c>
      <x:c r="M661" s="26" t="str">
        <x:v>Translate with wording caveat</x:v>
      </x:c>
      <x:c r="N661" s="26" t="str">
        <x:v>Review</x:v>
      </x:c>
      <x:c r="O661" s="43" t="n">
        <x:v>0.82</x:v>
      </x:c>
      <x:c r="P661" s="26" t="str">
        <x:v>Some action words are ordinary English too; results may need object/context filters.</x:v>
      </x:c>
      <x:c r="Q661" s="26" t="str">
        <x:v>https://scryfall.com/docs/syntax</x:v>
      </x:c>
      <x:c r="R661" s="26" t="str">
        <x:v>2026-08-21</x:v>
      </x:c>
    </x:row>
    <x:row r="662">
      <x:c r="A662" s="26" t="str">
        <x:v>KeywordActions!A61:B61</x:v>
      </x:c>
      <x:c r="B662" s="26" t="str">
        <x:v>Keyword Action</x:v>
      </x:c>
      <x:c r="C662" s="26" t="str">
        <x:v>Roll to Visit Your Attractions</x:v>
      </x:c>
      <x:c r="D662" s="26" t="str">
        <x:v>Rule 701.52</x:v>
      </x:c>
      <x:c r="E662" s="26"/>
      <x:c r="F662" s="26" t="str">
        <x:v>o:"Roll to Visit Your Attractions"</x:v>
      </x:c>
      <x:c r="G662" s="26" t="str">
        <x:v>Medium</x:v>
      </x:c>
      <x:c r="H662" s="26" t="str">
        <x:v>Keyword action</x:v>
      </x:c>
      <x:c r="I662" s="26" t="str">
        <x:v>oracle:</x:v>
      </x:c>
      <x:c r="J662" s="26" t="str">
        <x:v>o:"Roll to Visit Your Attractions"</x:v>
      </x:c>
      <x:c r="K662" s="26" t="str"/>
      <x:c r="L662" s="26" t="str">
        <x:v>roll to visit your attractions</x:v>
      </x:c>
      <x:c r="M662" s="26" t="str">
        <x:v>Translate with wording caveat</x:v>
      </x:c>
      <x:c r="N662" s="26" t="str">
        <x:v>Review</x:v>
      </x:c>
      <x:c r="O662" s="43" t="n">
        <x:v>0.82</x:v>
      </x:c>
      <x:c r="P662" s="26" t="str">
        <x:v>Some action words are ordinary English too; results may need object/context filters.</x:v>
      </x:c>
      <x:c r="Q662" s="26" t="str">
        <x:v>https://scryfall.com/docs/syntax</x:v>
      </x:c>
      <x:c r="R662" s="26" t="str">
        <x:v>2026-08-21</x:v>
      </x:c>
    </x:row>
    <x:row r="663">
      <x:c r="A663" s="26" t="str">
        <x:v>KeywordActions!A62:B62</x:v>
      </x:c>
      <x:c r="B663" s="26" t="str">
        <x:v>Keyword Action</x:v>
      </x:c>
      <x:c r="C663" s="26" t="str">
        <x:v>Sacrifice</x:v>
      </x:c>
      <x:c r="D663" s="26" t="str">
        <x:v>Rule 701.21</x:v>
      </x:c>
      <x:c r="E663" s="26"/>
      <x:c r="F663" s="26" t="str">
        <x:v>o:"Sacrifice"</x:v>
      </x:c>
      <x:c r="G663" s="26" t="str">
        <x:v>Medium</x:v>
      </x:c>
      <x:c r="H663" s="26" t="str">
        <x:v>Keyword action</x:v>
      </x:c>
      <x:c r="I663" s="26" t="str">
        <x:v>oracle:</x:v>
      </x:c>
      <x:c r="J663" s="26" t="str">
        <x:v>o:"Sacrifice"</x:v>
      </x:c>
      <x:c r="K663" s="26" t="str"/>
      <x:c r="L663" s="26" t="str">
        <x:v>sacrifice</x:v>
      </x:c>
      <x:c r="M663" s="26" t="str">
        <x:v>Translate with wording caveat</x:v>
      </x:c>
      <x:c r="N663" s="26" t="str">
        <x:v>Review</x:v>
      </x:c>
      <x:c r="O663" s="43" t="n">
        <x:v>0.82</x:v>
      </x:c>
      <x:c r="P663" s="26" t="str">
        <x:v>Some action words are ordinary English too; results may need object/context filters.</x:v>
      </x:c>
      <x:c r="Q663" s="26" t="str">
        <x:v>https://scryfall.com/docs/syntax</x:v>
      </x:c>
      <x:c r="R663" s="26" t="str">
        <x:v>2026-08-21</x:v>
      </x:c>
    </x:row>
    <x:row r="664">
      <x:c r="A664" s="26" t="str">
        <x:v>KeywordActions!A63:B63</x:v>
      </x:c>
      <x:c r="B664" s="26" t="str">
        <x:v>Keyword Action</x:v>
      </x:c>
      <x:c r="C664" s="26" t="str">
        <x:v>Scry</x:v>
      </x:c>
      <x:c r="D664" s="26" t="str">
        <x:v>Rule 701.22</x:v>
      </x:c>
      <x:c r="E664" s="26"/>
      <x:c r="F664" s="26" t="str">
        <x:v>o:"Scry"</x:v>
      </x:c>
      <x:c r="G664" s="26" t="str">
        <x:v>Medium</x:v>
      </x:c>
      <x:c r="H664" s="26" t="str">
        <x:v>Keyword action</x:v>
      </x:c>
      <x:c r="I664" s="26" t="str">
        <x:v>oracle:</x:v>
      </x:c>
      <x:c r="J664" s="26" t="str">
        <x:v>o:"Scry"</x:v>
      </x:c>
      <x:c r="K664" s="26" t="str"/>
      <x:c r="L664" s="26" t="str">
        <x:v>scry</x:v>
      </x:c>
      <x:c r="M664" s="26" t="str">
        <x:v>Translate with wording caveat</x:v>
      </x:c>
      <x:c r="N664" s="26" t="str">
        <x:v>Review</x:v>
      </x:c>
      <x:c r="O664" s="43" t="n">
        <x:v>0.82</x:v>
      </x:c>
      <x:c r="P664" s="26" t="str">
        <x:v>Some action words are ordinary English too; results may need object/context filters.</x:v>
      </x:c>
      <x:c r="Q664" s="26" t="str">
        <x:v>https://scryfall.com/docs/syntax</x:v>
      </x:c>
      <x:c r="R664" s="26" t="str">
        <x:v>2026-08-21</x:v>
      </x:c>
    </x:row>
    <x:row r="665">
      <x:c r="A665" s="26" t="str">
        <x:v>KeywordActions!A64:B64</x:v>
      </x:c>
      <x:c r="B665" s="26" t="str">
        <x:v>Keyword Action</x:v>
      </x:c>
      <x:c r="C665" s="26" t="str">
        <x:v>Search</x:v>
      </x:c>
      <x:c r="D665" s="26" t="str">
        <x:v>Rule 701.23</x:v>
      </x:c>
      <x:c r="E665" s="26"/>
      <x:c r="F665" s="26" t="str">
        <x:v>o:"Search"</x:v>
      </x:c>
      <x:c r="G665" s="26" t="str">
        <x:v>Medium</x:v>
      </x:c>
      <x:c r="H665" s="26" t="str">
        <x:v>Keyword action</x:v>
      </x:c>
      <x:c r="I665" s="26" t="str">
        <x:v>oracle:</x:v>
      </x:c>
      <x:c r="J665" s="26" t="str">
        <x:v>o:"Search"</x:v>
      </x:c>
      <x:c r="K665" s="26" t="str"/>
      <x:c r="L665" s="26" t="str">
        <x:v>search</x:v>
      </x:c>
      <x:c r="M665" s="26" t="str">
        <x:v>Translate with wording caveat</x:v>
      </x:c>
      <x:c r="N665" s="26" t="str">
        <x:v>Review</x:v>
      </x:c>
      <x:c r="O665" s="43" t="n">
        <x:v>0.82</x:v>
      </x:c>
      <x:c r="P665" s="26" t="str">
        <x:v>Some action words are ordinary English too; results may need object/context filters.</x:v>
      </x:c>
      <x:c r="Q665" s="26" t="str">
        <x:v>https://scryfall.com/docs/syntax</x:v>
      </x:c>
      <x:c r="R665" s="26" t="str">
        <x:v>2026-08-21</x:v>
      </x:c>
    </x:row>
    <x:row r="666">
      <x:c r="A666" s="26" t="str">
        <x:v>KeywordActions!A65:B65</x:v>
      </x:c>
      <x:c r="B666" s="26" t="str">
        <x:v>Keyword Action</x:v>
      </x:c>
      <x:c r="C666" s="26" t="str">
        <x:v>Seek</x:v>
      </x:c>
      <x:c r="D666" s="26" t="str">
        <x:v>No rule number listed</x:v>
      </x:c>
      <x:c r="E666" s="26"/>
      <x:c r="F666" s="26" t="str">
        <x:v>o:"Seek"</x:v>
      </x:c>
      <x:c r="G666" s="26" t="str">
        <x:v>Medium</x:v>
      </x:c>
      <x:c r="H666" s="26" t="str">
        <x:v>Keyword action</x:v>
      </x:c>
      <x:c r="I666" s="26" t="str">
        <x:v>oracle:</x:v>
      </x:c>
      <x:c r="J666" s="26" t="str">
        <x:v>o:"Seek"</x:v>
      </x:c>
      <x:c r="K666" s="26" t="str"/>
      <x:c r="L666" s="26" t="str">
        <x:v>seek</x:v>
      </x:c>
      <x:c r="M666" s="26" t="str">
        <x:v>Translate with wording caveat</x:v>
      </x:c>
      <x:c r="N666" s="26" t="str">
        <x:v>Review</x:v>
      </x:c>
      <x:c r="O666" s="43" t="n">
        <x:v>0.82</x:v>
      </x:c>
      <x:c r="P666" s="26" t="str">
        <x:v>Some action words are ordinary English too; results may need object/context filters.</x:v>
      </x:c>
      <x:c r="Q666" s="26" t="str">
        <x:v>https://scryfall.com/docs/syntax</x:v>
      </x:c>
      <x:c r="R666" s="26" t="str">
        <x:v>2026-08-21</x:v>
      </x:c>
    </x:row>
    <x:row r="667">
      <x:c r="A667" s="26" t="str">
        <x:v>KeywordActions!A66:B66</x:v>
      </x:c>
      <x:c r="B667" s="26" t="str">
        <x:v>Keyword Action</x:v>
      </x:c>
      <x:c r="C667" s="26" t="str">
        <x:v>Set in Motion</x:v>
      </x:c>
      <x:c r="D667" s="26" t="str">
        <x:v>Rule 701.32</x:v>
      </x:c>
      <x:c r="E667" s="26"/>
      <x:c r="F667" s="26" t="str">
        <x:v>o:"Set in Motion"</x:v>
      </x:c>
      <x:c r="G667" s="26" t="str">
        <x:v>Medium</x:v>
      </x:c>
      <x:c r="H667" s="26" t="str">
        <x:v>Keyword action</x:v>
      </x:c>
      <x:c r="I667" s="26" t="str">
        <x:v>oracle:</x:v>
      </x:c>
      <x:c r="J667" s="26" t="str">
        <x:v>o:"Set in Motion"</x:v>
      </x:c>
      <x:c r="K667" s="26" t="str"/>
      <x:c r="L667" s="26" t="str">
        <x:v>set in motion</x:v>
      </x:c>
      <x:c r="M667" s="26" t="str">
        <x:v>Translate with wording caveat</x:v>
      </x:c>
      <x:c r="N667" s="26" t="str">
        <x:v>Review</x:v>
      </x:c>
      <x:c r="O667" s="43" t="n">
        <x:v>0.82</x:v>
      </x:c>
      <x:c r="P667" s="26" t="str">
        <x:v>Some action words are ordinary English too; results may need object/context filters.</x:v>
      </x:c>
      <x:c r="Q667" s="26" t="str">
        <x:v>https://scryfall.com/docs/syntax</x:v>
      </x:c>
      <x:c r="R667" s="26" t="str">
        <x:v>2026-08-21</x:v>
      </x:c>
    </x:row>
    <x:row r="668">
      <x:c r="A668" s="26" t="str">
        <x:v>KeywordActions!A67:B67</x:v>
      </x:c>
      <x:c r="B668" s="26" t="str">
        <x:v>Keyword Action</x:v>
      </x:c>
      <x:c r="C668" s="26" t="str">
        <x:v>Shuffle</x:v>
      </x:c>
      <x:c r="D668" s="26" t="str">
        <x:v>Rule 701.24</x:v>
      </x:c>
      <x:c r="E668" s="26"/>
      <x:c r="F668" s="26" t="str">
        <x:v>o:"Shuffle"</x:v>
      </x:c>
      <x:c r="G668" s="26" t="str">
        <x:v>Medium</x:v>
      </x:c>
      <x:c r="H668" s="26" t="str">
        <x:v>Keyword action</x:v>
      </x:c>
      <x:c r="I668" s="26" t="str">
        <x:v>oracle:</x:v>
      </x:c>
      <x:c r="J668" s="26" t="str">
        <x:v>o:"Shuffle"</x:v>
      </x:c>
      <x:c r="K668" s="26" t="str"/>
      <x:c r="L668" s="26" t="str">
        <x:v>shuffle</x:v>
      </x:c>
      <x:c r="M668" s="26" t="str">
        <x:v>Translate with wording caveat</x:v>
      </x:c>
      <x:c r="N668" s="26" t="str">
        <x:v>Review</x:v>
      </x:c>
      <x:c r="O668" s="43" t="n">
        <x:v>0.82</x:v>
      </x:c>
      <x:c r="P668" s="26" t="str">
        <x:v>Some action words are ordinary English too; results may need object/context filters.</x:v>
      </x:c>
      <x:c r="Q668" s="26" t="str">
        <x:v>https://scryfall.com/docs/syntax</x:v>
      </x:c>
      <x:c r="R668" s="26" t="str">
        <x:v>2026-08-21</x:v>
      </x:c>
    </x:row>
    <x:row r="669">
      <x:c r="A669" s="26" t="str">
        <x:v>KeywordActions!A68:B68</x:v>
      </x:c>
      <x:c r="B669" s="26" t="str">
        <x:v>Keyword Action</x:v>
      </x:c>
      <x:c r="C669" s="26" t="str">
        <x:v>Support</x:v>
      </x:c>
      <x:c r="D669" s="26" t="str">
        <x:v>Rule 701.41</x:v>
      </x:c>
      <x:c r="E669" s="26"/>
      <x:c r="F669" s="26" t="str">
        <x:v>o:"Support"</x:v>
      </x:c>
      <x:c r="G669" s="26" t="str">
        <x:v>Medium</x:v>
      </x:c>
      <x:c r="H669" s="26" t="str">
        <x:v>Keyword action</x:v>
      </x:c>
      <x:c r="I669" s="26" t="str">
        <x:v>oracle:</x:v>
      </x:c>
      <x:c r="J669" s="26" t="str">
        <x:v>o:"Support"</x:v>
      </x:c>
      <x:c r="K669" s="26" t="str"/>
      <x:c r="L669" s="26" t="str">
        <x:v>support</x:v>
      </x:c>
      <x:c r="M669" s="26" t="str">
        <x:v>Translate with wording caveat</x:v>
      </x:c>
      <x:c r="N669" s="26" t="str">
        <x:v>Review</x:v>
      </x:c>
      <x:c r="O669" s="43" t="n">
        <x:v>0.82</x:v>
      </x:c>
      <x:c r="P669" s="26" t="str">
        <x:v>Some action words are ordinary English too; results may need object/context filters.</x:v>
      </x:c>
      <x:c r="Q669" s="26" t="str">
        <x:v>https://scryfall.com/docs/syntax</x:v>
      </x:c>
      <x:c r="R669" s="26" t="str">
        <x:v>2026-08-21</x:v>
      </x:c>
    </x:row>
    <x:row r="670">
      <x:c r="A670" s="26" t="str">
        <x:v>KeywordActions!A69:B69</x:v>
      </x:c>
      <x:c r="B670" s="26" t="str">
        <x:v>Keyword Action</x:v>
      </x:c>
      <x:c r="C670" s="26" t="str">
        <x:v>Surveil</x:v>
      </x:c>
      <x:c r="D670" s="26" t="str">
        <x:v>Rule 701.25</x:v>
      </x:c>
      <x:c r="E670" s="26"/>
      <x:c r="F670" s="26" t="str">
        <x:v>o:"Surveil"</x:v>
      </x:c>
      <x:c r="G670" s="26" t="str">
        <x:v>Medium</x:v>
      </x:c>
      <x:c r="H670" s="26" t="str">
        <x:v>Keyword action</x:v>
      </x:c>
      <x:c r="I670" s="26" t="str">
        <x:v>oracle:</x:v>
      </x:c>
      <x:c r="J670" s="26" t="str">
        <x:v>o:"Surveil"</x:v>
      </x:c>
      <x:c r="K670" s="26" t="str"/>
      <x:c r="L670" s="26" t="str">
        <x:v>surveil</x:v>
      </x:c>
      <x:c r="M670" s="26" t="str">
        <x:v>Translate with wording caveat</x:v>
      </x:c>
      <x:c r="N670" s="26" t="str">
        <x:v>Review</x:v>
      </x:c>
      <x:c r="O670" s="43" t="n">
        <x:v>0.82</x:v>
      </x:c>
      <x:c r="P670" s="26" t="str">
        <x:v>Some action words are ordinary English too; results may need object/context filters.</x:v>
      </x:c>
      <x:c r="Q670" s="26" t="str">
        <x:v>https://scryfall.com/docs/syntax</x:v>
      </x:c>
      <x:c r="R670" s="26" t="str">
        <x:v>2026-08-21</x:v>
      </x:c>
    </x:row>
    <x:row r="671">
      <x:c r="A671" s="26" t="str">
        <x:v>KeywordActions!A70:B70</x:v>
      </x:c>
      <x:c r="B671" s="26" t="str">
        <x:v>Keyword Action</x:v>
      </x:c>
      <x:c r="C671" s="26" t="str">
        <x:v>Suspect</x:v>
      </x:c>
      <x:c r="D671" s="26" t="str">
        <x:v>Rule 701.6</x:v>
      </x:c>
      <x:c r="E671" s="26"/>
      <x:c r="F671" s="26" t="str">
        <x:v>o:"Suspect"</x:v>
      </x:c>
      <x:c r="G671" s="26" t="str">
        <x:v>Medium</x:v>
      </x:c>
      <x:c r="H671" s="26" t="str">
        <x:v>Keyword action</x:v>
      </x:c>
      <x:c r="I671" s="26" t="str">
        <x:v>oracle:</x:v>
      </x:c>
      <x:c r="J671" s="26" t="str">
        <x:v>o:"Suspect"</x:v>
      </x:c>
      <x:c r="K671" s="26" t="str"/>
      <x:c r="L671" s="26" t="str">
        <x:v>suspect</x:v>
      </x:c>
      <x:c r="M671" s="26" t="str">
        <x:v>Translate with wording caveat</x:v>
      </x:c>
      <x:c r="N671" s="26" t="str">
        <x:v>Review</x:v>
      </x:c>
      <x:c r="O671" s="43" t="n">
        <x:v>0.82</x:v>
      </x:c>
      <x:c r="P671" s="26" t="str">
        <x:v>Some action words are ordinary English too; results may need object/context filters.</x:v>
      </x:c>
      <x:c r="Q671" s="26" t="str">
        <x:v>https://scryfall.com/docs/syntax</x:v>
      </x:c>
      <x:c r="R671" s="26" t="str">
        <x:v>2026-08-21</x:v>
      </x:c>
    </x:row>
    <x:row r="672">
      <x:c r="A672" s="26" t="str">
        <x:v>KeywordActions!A71:B71</x:v>
      </x:c>
      <x:c r="B672" s="26" t="str">
        <x:v>Keyword Action</x:v>
      </x:c>
      <x:c r="C672" s="26" t="str">
        <x:v>Tap</x:v>
      </x:c>
      <x:c r="D672" s="26" t="str">
        <x:v>No rule number listed</x:v>
      </x:c>
      <x:c r="E672" s="26"/>
      <x:c r="F672" s="26" t="str">
        <x:v>o:"Tap"</x:v>
      </x:c>
      <x:c r="G672" s="26" t="str">
        <x:v>Medium</x:v>
      </x:c>
      <x:c r="H672" s="26" t="str">
        <x:v>Keyword action</x:v>
      </x:c>
      <x:c r="I672" s="26" t="str">
        <x:v>oracle:</x:v>
      </x:c>
      <x:c r="J672" s="26" t="str">
        <x:v>o:"Tap"</x:v>
      </x:c>
      <x:c r="K672" s="26" t="str"/>
      <x:c r="L672" s="26" t="str">
        <x:v>tap</x:v>
      </x:c>
      <x:c r="M672" s="26" t="str">
        <x:v>Translate with wording caveat</x:v>
      </x:c>
      <x:c r="N672" s="26" t="str">
        <x:v>Review</x:v>
      </x:c>
      <x:c r="O672" s="43" t="n">
        <x:v>0.82</x:v>
      </x:c>
      <x:c r="P672" s="26" t="str">
        <x:v>Some action words are ordinary English too; results may need object/context filters.</x:v>
      </x:c>
      <x:c r="Q672" s="26" t="str">
        <x:v>https://scryfall.com/docs/syntax</x:v>
      </x:c>
      <x:c r="R672" s="26" t="str">
        <x:v>2026-08-21</x:v>
      </x:c>
    </x:row>
    <x:row r="673">
      <x:c r="A673" s="26" t="str">
        <x:v>KeywordActions!A72:B72</x:v>
      </x:c>
      <x:c r="B673" s="26" t="str">
        <x:v>Keyword Action</x:v>
      </x:c>
      <x:c r="C673" s="26" t="str">
        <x:v>Tap and Untap</x:v>
      </x:c>
      <x:c r="D673" s="26" t="str">
        <x:v>Rule 701.26</x:v>
      </x:c>
      <x:c r="E673" s="26"/>
      <x:c r="F673" s="26" t="str">
        <x:v>o:"Tap and Untap"</x:v>
      </x:c>
      <x:c r="G673" s="26" t="str">
        <x:v>Medium</x:v>
      </x:c>
      <x:c r="H673" s="26" t="str">
        <x:v>Keyword action</x:v>
      </x:c>
      <x:c r="I673" s="26" t="str">
        <x:v>oracle:</x:v>
      </x:c>
      <x:c r="J673" s="26" t="str">
        <x:v>o:"Tap and Untap"</x:v>
      </x:c>
      <x:c r="K673" s="26" t="str"/>
      <x:c r="L673" s="26" t="str">
        <x:v>tap and untap</x:v>
      </x:c>
      <x:c r="M673" s="26" t="str">
        <x:v>Translate with wording caveat</x:v>
      </x:c>
      <x:c r="N673" s="26" t="str">
        <x:v>Review</x:v>
      </x:c>
      <x:c r="O673" s="43" t="n">
        <x:v>0.82</x:v>
      </x:c>
      <x:c r="P673" s="26" t="str">
        <x:v>Some action words are ordinary English too; results may need object/context filters.</x:v>
      </x:c>
      <x:c r="Q673" s="26" t="str">
        <x:v>https://scryfall.com/docs/syntax</x:v>
      </x:c>
      <x:c r="R673" s="26" t="str">
        <x:v>2026-08-21</x:v>
      </x:c>
    </x:row>
    <x:row r="674">
      <x:c r="A674" s="26" t="str">
        <x:v>KeywordActions!A73:B73</x:v>
      </x:c>
      <x:c r="B674" s="26" t="str">
        <x:v>Keyword Action</x:v>
      </x:c>
      <x:c r="C674" s="26" t="str">
        <x:v>The Ring Tempts You</x:v>
      </x:c>
      <x:c r="D674" s="26" t="str">
        <x:v>Rule 701.54</x:v>
      </x:c>
      <x:c r="E674" s="26"/>
      <x:c r="F674" s="26" t="str">
        <x:v>o:"The Ring Tempts You"</x:v>
      </x:c>
      <x:c r="G674" s="26" t="str">
        <x:v>Medium</x:v>
      </x:c>
      <x:c r="H674" s="26" t="str">
        <x:v>Keyword action</x:v>
      </x:c>
      <x:c r="I674" s="26" t="str">
        <x:v>oracle:</x:v>
      </x:c>
      <x:c r="J674" s="26" t="str">
        <x:v>o:"The Ring Tempts You"</x:v>
      </x:c>
      <x:c r="K674" s="26" t="str"/>
      <x:c r="L674" s="26" t="str">
        <x:v>the ring tempts you</x:v>
      </x:c>
      <x:c r="M674" s="26" t="str">
        <x:v>Translate with wording caveat</x:v>
      </x:c>
      <x:c r="N674" s="26" t="str">
        <x:v>Review</x:v>
      </x:c>
      <x:c r="O674" s="43" t="n">
        <x:v>0.82</x:v>
      </x:c>
      <x:c r="P674" s="26" t="str">
        <x:v>Some action words are ordinary English too; results may need object/context filters.</x:v>
      </x:c>
      <x:c r="Q674" s="26" t="str">
        <x:v>https://scryfall.com/docs/syntax</x:v>
      </x:c>
      <x:c r="R674" s="26" t="str">
        <x:v>2026-08-21</x:v>
      </x:c>
    </x:row>
    <x:row r="675">
      <x:c r="A675" s="26" t="str">
        <x:v>KeywordActions!A74:B74</x:v>
      </x:c>
      <x:c r="B675" s="26" t="str">
        <x:v>Keyword Action</x:v>
      </x:c>
      <x:c r="C675" s="26" t="str">
        <x:v>Time Travel</x:v>
      </x:c>
      <x:c r="D675" s="26" t="str">
        <x:v>Rule 701.56</x:v>
      </x:c>
      <x:c r="E675" s="26"/>
      <x:c r="F675" s="26" t="str">
        <x:v>o:"Time Travel"</x:v>
      </x:c>
      <x:c r="G675" s="26" t="str">
        <x:v>Medium</x:v>
      </x:c>
      <x:c r="H675" s="26" t="str">
        <x:v>Keyword action</x:v>
      </x:c>
      <x:c r="I675" s="26" t="str">
        <x:v>oracle:</x:v>
      </x:c>
      <x:c r="J675" s="26" t="str">
        <x:v>o:"Time Travel"</x:v>
      </x:c>
      <x:c r="K675" s="26" t="str"/>
      <x:c r="L675" s="26" t="str">
        <x:v>time travel</x:v>
      </x:c>
      <x:c r="M675" s="26" t="str">
        <x:v>Translate with wording caveat</x:v>
      </x:c>
      <x:c r="N675" s="26" t="str">
        <x:v>Review</x:v>
      </x:c>
      <x:c r="O675" s="43" t="n">
        <x:v>0.82</x:v>
      </x:c>
      <x:c r="P675" s="26" t="str">
        <x:v>Some action words are ordinary English too; results may need object/context filters.</x:v>
      </x:c>
      <x:c r="Q675" s="26" t="str">
        <x:v>https://scryfall.com/docs/syntax</x:v>
      </x:c>
      <x:c r="R675" s="26" t="str">
        <x:v>2026-08-21</x:v>
      </x:c>
    </x:row>
    <x:row r="676">
      <x:c r="A676" s="26" t="str">
        <x:v>KeywordActions!A75:B75</x:v>
      </x:c>
      <x:c r="B676" s="26" t="str">
        <x:v>Keyword Action</x:v>
      </x:c>
      <x:c r="C676" s="26" t="str">
        <x:v>Transform</x:v>
      </x:c>
      <x:c r="D676" s="26" t="str">
        <x:v>Rule 701.27</x:v>
      </x:c>
      <x:c r="E676" s="26"/>
      <x:c r="F676" s="26" t="str">
        <x:v>o:"Transform"</x:v>
      </x:c>
      <x:c r="G676" s="26" t="str">
        <x:v>Medium</x:v>
      </x:c>
      <x:c r="H676" s="26" t="str">
        <x:v>Keyword action</x:v>
      </x:c>
      <x:c r="I676" s="26" t="str">
        <x:v>oracle:</x:v>
      </x:c>
      <x:c r="J676" s="26" t="str">
        <x:v>o:"Transform"</x:v>
      </x:c>
      <x:c r="K676" s="26" t="str"/>
      <x:c r="L676" s="26" t="str">
        <x:v>transform</x:v>
      </x:c>
      <x:c r="M676" s="26" t="str">
        <x:v>Translate with wording caveat</x:v>
      </x:c>
      <x:c r="N676" s="26" t="str">
        <x:v>Review</x:v>
      </x:c>
      <x:c r="O676" s="43" t="n">
        <x:v>0.82</x:v>
      </x:c>
      <x:c r="P676" s="26" t="str">
        <x:v>Some action words are ordinary English too; results may need object/context filters.</x:v>
      </x:c>
      <x:c r="Q676" s="26" t="str">
        <x:v>https://scryfall.com/docs/syntax</x:v>
      </x:c>
      <x:c r="R676" s="26" t="str">
        <x:v>2026-08-21</x:v>
      </x:c>
    </x:row>
    <x:row r="677">
      <x:c r="A677" s="26" t="str">
        <x:v>KeywordActions!A76:B76</x:v>
      </x:c>
      <x:c r="B677" s="26" t="str">
        <x:v>Keyword Action</x:v>
      </x:c>
      <x:c r="C677" s="26" t="str">
        <x:v>Treasure</x:v>
      </x:c>
      <x:c r="D677" s="26" t="str">
        <x:v>No rule number listed</x:v>
      </x:c>
      <x:c r="E677" s="26"/>
      <x:c r="F677" s="26" t="str">
        <x:v>o:"Treasure"</x:v>
      </x:c>
      <x:c r="G677" s="26" t="str">
        <x:v>Medium</x:v>
      </x:c>
      <x:c r="H677" s="26" t="str">
        <x:v>Keyword action</x:v>
      </x:c>
      <x:c r="I677" s="26" t="str">
        <x:v>oracle:</x:v>
      </x:c>
      <x:c r="J677" s="26" t="str">
        <x:v>o:"Treasure"</x:v>
      </x:c>
      <x:c r="K677" s="26" t="str"/>
      <x:c r="L677" s="26" t="str">
        <x:v>treasure</x:v>
      </x:c>
      <x:c r="M677" s="26" t="str">
        <x:v>Translate with wording caveat</x:v>
      </x:c>
      <x:c r="N677" s="26" t="str">
        <x:v>Review</x:v>
      </x:c>
      <x:c r="O677" s="43" t="n">
        <x:v>0.82</x:v>
      </x:c>
      <x:c r="P677" s="26" t="str">
        <x:v>Some action words are ordinary English too; results may need object/context filters.</x:v>
      </x:c>
      <x:c r="Q677" s="26" t="str">
        <x:v>https://scryfall.com/docs/syntax</x:v>
      </x:c>
      <x:c r="R677" s="26" t="str">
        <x:v>2026-08-21</x:v>
      </x:c>
    </x:row>
    <x:row r="678">
      <x:c r="A678" s="26" t="str">
        <x:v>KeywordActions!A77:B77</x:v>
      </x:c>
      <x:c r="B678" s="26" t="str">
        <x:v>Keyword Action</x:v>
      </x:c>
      <x:c r="C678" s="26" t="str">
        <x:v>Triple</x:v>
      </x:c>
      <x:c r="D678" s="26" t="str">
        <x:v>Rule 701.11</x:v>
      </x:c>
      <x:c r="E678" s="26"/>
      <x:c r="F678" s="26" t="str">
        <x:v>o:"Triple"</x:v>
      </x:c>
      <x:c r="G678" s="26" t="str">
        <x:v>Medium</x:v>
      </x:c>
      <x:c r="H678" s="26" t="str">
        <x:v>Keyword action</x:v>
      </x:c>
      <x:c r="I678" s="26" t="str">
        <x:v>oracle:</x:v>
      </x:c>
      <x:c r="J678" s="26" t="str">
        <x:v>o:"Triple"</x:v>
      </x:c>
      <x:c r="K678" s="26" t="str"/>
      <x:c r="L678" s="26" t="str">
        <x:v>triple</x:v>
      </x:c>
      <x:c r="M678" s="26" t="str">
        <x:v>Translate with wording caveat</x:v>
      </x:c>
      <x:c r="N678" s="26" t="str">
        <x:v>Review</x:v>
      </x:c>
      <x:c r="O678" s="43" t="n">
        <x:v>0.82</x:v>
      </x:c>
      <x:c r="P678" s="26" t="str">
        <x:v>Some action words are ordinary English too; results may need object/context filters.</x:v>
      </x:c>
      <x:c r="Q678" s="26" t="str">
        <x:v>https://scryfall.com/docs/syntax</x:v>
      </x:c>
      <x:c r="R678" s="26" t="str">
        <x:v>2026-08-21</x:v>
      </x:c>
    </x:row>
    <x:row r="679">
      <x:c r="A679" s="26" t="str">
        <x:v>KeywordActions!A78:B78</x:v>
      </x:c>
      <x:c r="B679" s="26" t="str">
        <x:v>Keyword Action</x:v>
      </x:c>
      <x:c r="C679" s="26" t="str">
        <x:v>Untap</x:v>
      </x:c>
      <x:c r="D679" s="26" t="str">
        <x:v>No rule number listed</x:v>
      </x:c>
      <x:c r="E679" s="26"/>
      <x:c r="F679" s="26" t="str">
        <x:v>o:"Untap"</x:v>
      </x:c>
      <x:c r="G679" s="26" t="str">
        <x:v>Medium</x:v>
      </x:c>
      <x:c r="H679" s="26" t="str">
        <x:v>Keyword action</x:v>
      </x:c>
      <x:c r="I679" s="26" t="str">
        <x:v>oracle:</x:v>
      </x:c>
      <x:c r="J679" s="26" t="str">
        <x:v>o:"Untap"</x:v>
      </x:c>
      <x:c r="K679" s="26" t="str"/>
      <x:c r="L679" s="26" t="str">
        <x:v>untap</x:v>
      </x:c>
      <x:c r="M679" s="26" t="str">
        <x:v>Translate with wording caveat</x:v>
      </x:c>
      <x:c r="N679" s="26" t="str">
        <x:v>Review</x:v>
      </x:c>
      <x:c r="O679" s="43" t="n">
        <x:v>0.82</x:v>
      </x:c>
      <x:c r="P679" s="26" t="str">
        <x:v>Some action words are ordinary English too; results may need object/context filters.</x:v>
      </x:c>
      <x:c r="Q679" s="26" t="str">
        <x:v>https://scryfall.com/docs/syntax</x:v>
      </x:c>
      <x:c r="R679" s="26" t="str">
        <x:v>2026-08-21</x:v>
      </x:c>
    </x:row>
    <x:row r="680">
      <x:c r="A680" s="26" t="str">
        <x:v>KeywordActions!A79:B79</x:v>
      </x:c>
      <x:c r="B680" s="26" t="str">
        <x:v>Keyword Action</x:v>
      </x:c>
      <x:c r="C680" s="26" t="str">
        <x:v>Venture into the Dungeon</x:v>
      </x:c>
      <x:c r="D680" s="26" t="str">
        <x:v>Rule 701.49</x:v>
      </x:c>
      <x:c r="E680" s="26"/>
      <x:c r="F680" s="26" t="str">
        <x:v>o:"Venture into the Dungeon"</x:v>
      </x:c>
      <x:c r="G680" s="26" t="str">
        <x:v>Medium</x:v>
      </x:c>
      <x:c r="H680" s="26" t="str">
        <x:v>Keyword action</x:v>
      </x:c>
      <x:c r="I680" s="26" t="str">
        <x:v>oracle:</x:v>
      </x:c>
      <x:c r="J680" s="26" t="str">
        <x:v>o:"Venture into the Dungeon"</x:v>
      </x:c>
      <x:c r="K680" s="26" t="str"/>
      <x:c r="L680" s="26" t="str">
        <x:v>venture into the dungeon</x:v>
      </x:c>
      <x:c r="M680" s="26" t="str">
        <x:v>Translate with wording caveat</x:v>
      </x:c>
      <x:c r="N680" s="26" t="str">
        <x:v>Review</x:v>
      </x:c>
      <x:c r="O680" s="43" t="n">
        <x:v>0.82</x:v>
      </x:c>
      <x:c r="P680" s="26" t="str">
        <x:v>Some action words are ordinary English too; results may need object/context filters.</x:v>
      </x:c>
      <x:c r="Q680" s="26" t="str">
        <x:v>https://scryfall.com/docs/syntax</x:v>
      </x:c>
      <x:c r="R680" s="26" t="str">
        <x:v>2026-08-21</x:v>
      </x:c>
    </x:row>
    <x:row r="681">
      <x:c r="A681" s="26" t="str">
        <x:v>KeywordActions!A80:B80</x:v>
      </x:c>
      <x:c r="B681" s="26" t="str">
        <x:v>Keyword Action</x:v>
      </x:c>
      <x:c r="C681" s="26" t="str">
        <x:v>Vote</x:v>
      </x:c>
      <x:c r="D681" s="26" t="str">
        <x:v>Rule 701.38</x:v>
      </x:c>
      <x:c r="E681" s="26"/>
      <x:c r="F681" s="26" t="str">
        <x:v>o:"Vote"</x:v>
      </x:c>
      <x:c r="G681" s="26" t="str">
        <x:v>Medium</x:v>
      </x:c>
      <x:c r="H681" s="26" t="str">
        <x:v>Keyword action</x:v>
      </x:c>
      <x:c r="I681" s="26" t="str">
        <x:v>oracle:</x:v>
      </x:c>
      <x:c r="J681" s="26" t="str">
        <x:v>o:"Vote"</x:v>
      </x:c>
      <x:c r="K681" s="26" t="str"/>
      <x:c r="L681" s="26" t="str">
        <x:v>vote</x:v>
      </x:c>
      <x:c r="M681" s="26" t="str">
        <x:v>Translate with wording caveat</x:v>
      </x:c>
      <x:c r="N681" s="26" t="str">
        <x:v>Review</x:v>
      </x:c>
      <x:c r="O681" s="43" t="n">
        <x:v>0.82</x:v>
      </x:c>
      <x:c r="P681" s="26" t="str">
        <x:v>Some action words are ordinary English too; results may need object/context filters.</x:v>
      </x:c>
      <x:c r="Q681" s="26" t="str">
        <x:v>https://scryfall.com/docs/syntax</x:v>
      </x:c>
      <x:c r="R681" s="26" t="str">
        <x:v>2026-08-21</x:v>
      </x:c>
    </x:row>
    <x:row r="682">
      <x:c r="A682" s="26" t="str">
        <x:v>KeywordActions!A81:B81</x:v>
      </x:c>
      <x:c r="B682" s="26" t="str">
        <x:v>Keyword Action</x:v>
      </x:c>
      <x:c r="C682" s="26" t="str">
        <x:v>Waterbend</x:v>
      </x:c>
      <x:c r="D682" s="26" t="str">
        <x:v>Rule 701.67</x:v>
      </x:c>
      <x:c r="E682" s="26"/>
      <x:c r="F682" s="26" t="str">
        <x:v>o:"Waterbend"</x:v>
      </x:c>
      <x:c r="G682" s="26" t="str">
        <x:v>Medium</x:v>
      </x:c>
      <x:c r="H682" s="26" t="str">
        <x:v>Keyword action</x:v>
      </x:c>
      <x:c r="I682" s="26" t="str">
        <x:v>oracle:</x:v>
      </x:c>
      <x:c r="J682" s="26" t="str">
        <x:v>o:"Waterbend"</x:v>
      </x:c>
      <x:c r="K682" s="26" t="str"/>
      <x:c r="L682" s="26" t="str">
        <x:v>waterbend</x:v>
      </x:c>
      <x:c r="M682" s="26" t="str">
        <x:v>Translate with wording caveat</x:v>
      </x:c>
      <x:c r="N682" s="26" t="str">
        <x:v>Review</x:v>
      </x:c>
      <x:c r="O682" s="43" t="n">
        <x:v>0.82</x:v>
      </x:c>
      <x:c r="P682" s="26" t="str">
        <x:v>Some action words are ordinary English too; results may need object/context filters.</x:v>
      </x:c>
      <x:c r="Q682" s="26" t="str">
        <x:v>https://scryfall.com/docs/syntax</x:v>
      </x:c>
      <x:c r="R682" s="26" t="str">
        <x:v>2026-08-21</x:v>
      </x:c>
    </x:row>
    <x:row r="683">
      <x:c r="A683" s="26" t="str">
        <x:v>EvasionAbilities!A2:C2</x:v>
      </x:c>
      <x:c r="B683" s="26" t="str">
        <x:v>Keyworded</x:v>
      </x:c>
      <x:c r="C683" s="26" t="str">
        <x:v>Flying</x:v>
      </x:c>
      <x:c r="D683" s="26" t="str">
        <x:v>Evasion</x:v>
      </x:c>
      <x:c r="E683" s="26" t="str">
        <x:v>Can only be blocked by other creatures with flying or reach (e.g. Wild Griffin).</x:v>
      </x:c>
      <x:c r="F683" s="26" t="str">
        <x:v>keyword:"Flying"</x:v>
      </x:c>
      <x:c r="G683" s="26" t="str">
        <x:v>High</x:v>
      </x:c>
      <x:c r="H683" s="26" t="str">
        <x:v>Named keyword / mechanic</x:v>
      </x:c>
      <x:c r="I683" s="26" t="str">
        <x:v>keyword: preferred</x:v>
      </x:c>
      <x:c r="J683" s="26" t="str">
        <x:v>kw:Flying</x:v>
      </x:c>
      <x:c r="K683" s="26" t="str">
        <x:v>o:"Flying"</x:v>
      </x:c>
      <x:c r="L683" s="26" t="str">
        <x:v>flying</x:v>
      </x:c>
      <x:c r="M683" s="26" t="str">
        <x:v>Translate, but retain fallback</x:v>
      </x:c>
      <x:c r="N683" s="26" t="str">
        <x:v>Production-ready</x:v>
      </x:c>
      <x:c r="O683" s="43" t="n">
        <x:v>0.96</x:v>
      </x:c>
      <x:c r="P683" s="26" t="str">
        <x:v>Mechanic taxonomy evolves; validate edge cases where the source list mixes keyword abilities, actions, or layouts.</x:v>
      </x:c>
      <x:c r="Q683" s="26" t="str">
        <x:v>https://scryfall.com/docs/syntax</x:v>
      </x:c>
      <x:c r="R683" s="26" t="str">
        <x:v>2026-08-21</x:v>
      </x:c>
    </x:row>
    <x:row r="684">
      <x:c r="A684" s="26" t="str">
        <x:v>EvasionAbilities!A3:C3</x:v>
      </x:c>
      <x:c r="B684" s="26" t="str">
        <x:v>Keyworded</x:v>
      </x:c>
      <x:c r="C684" s="26" t="str">
        <x:v>Fear</x:v>
      </x:c>
      <x:c r="D684" s="26" t="str">
        <x:v>Evasion</x:v>
      </x:c>
      <x:c r="E684" s="26" t="str">
        <x:v>Can only be blocked by Black or Artifact creatures (e.g. Gluttonous Zombie).</x:v>
      </x:c>
      <x:c r="F684" s="26" t="str">
        <x:v>keyword:"Fear"</x:v>
      </x:c>
      <x:c r="G684" s="26" t="str">
        <x:v>High</x:v>
      </x:c>
      <x:c r="H684" s="26" t="str">
        <x:v>Named keyword / mechanic</x:v>
      </x:c>
      <x:c r="I684" s="26" t="str">
        <x:v>keyword: preferred</x:v>
      </x:c>
      <x:c r="J684" s="26" t="str">
        <x:v>kw:Fear</x:v>
      </x:c>
      <x:c r="K684" s="26" t="str">
        <x:v>o:"Fear"</x:v>
      </x:c>
      <x:c r="L684" s="26" t="str">
        <x:v>fear</x:v>
      </x:c>
      <x:c r="M684" s="26" t="str">
        <x:v>Translate, but retain fallback</x:v>
      </x:c>
      <x:c r="N684" s="26" t="str">
        <x:v>Production-ready</x:v>
      </x:c>
      <x:c r="O684" s="43" t="n">
        <x:v>0.96</x:v>
      </x:c>
      <x:c r="P684" s="26" t="str">
        <x:v>Mechanic taxonomy evolves; validate edge cases where the source list mixes keyword abilities, actions, or layouts.</x:v>
      </x:c>
      <x:c r="Q684" s="26" t="str">
        <x:v>https://scryfall.com/docs/syntax</x:v>
      </x:c>
      <x:c r="R684" s="26" t="str">
        <x:v>2026-08-21</x:v>
      </x:c>
    </x:row>
    <x:row r="685">
      <x:c r="A685" s="26" t="str">
        <x:v>EvasionAbilities!A4:C4</x:v>
      </x:c>
      <x:c r="B685" s="26" t="str">
        <x:v>Keyworded</x:v>
      </x:c>
      <x:c r="C685" s="26" t="str">
        <x:v>Intimidate</x:v>
      </x:c>
      <x:c r="D685" s="26" t="str">
        <x:v>Evasion</x:v>
      </x:c>
      <x:c r="E685" s="26" t="str">
        <x:v>Can only be blocked by artifact creatures and/or creatures that share a color with it (e.g. Bladetusk Boar).</x:v>
      </x:c>
      <x:c r="F685" s="26" t="str">
        <x:v>keyword:"Intimidate"</x:v>
      </x:c>
      <x:c r="G685" s="26" t="str">
        <x:v>High</x:v>
      </x:c>
      <x:c r="H685" s="26" t="str">
        <x:v>Named keyword / mechanic</x:v>
      </x:c>
      <x:c r="I685" s="26" t="str">
        <x:v>keyword: preferred</x:v>
      </x:c>
      <x:c r="J685" s="26" t="str">
        <x:v>kw:Intimidate</x:v>
      </x:c>
      <x:c r="K685" s="26" t="str">
        <x:v>o:"Intimidate"</x:v>
      </x:c>
      <x:c r="L685" s="26" t="str">
        <x:v>intimidate</x:v>
      </x:c>
      <x:c r="M685" s="26" t="str">
        <x:v>Translate, but retain fallback</x:v>
      </x:c>
      <x:c r="N685" s="26" t="str">
        <x:v>Production-ready</x:v>
      </x:c>
      <x:c r="O685" s="43" t="n">
        <x:v>0.96</x:v>
      </x:c>
      <x:c r="P685" s="26" t="str">
        <x:v>Mechanic taxonomy evolves; validate edge cases where the source list mixes keyword abilities, actions, or layouts.</x:v>
      </x:c>
      <x:c r="Q685" s="26" t="str">
        <x:v>https://scryfall.com/docs/syntax</x:v>
      </x:c>
      <x:c r="R685" s="26" t="str">
        <x:v>2026-08-21</x:v>
      </x:c>
    </x:row>
    <x:row r="686">
      <x:c r="A686" s="26" t="str">
        <x:v>EvasionAbilities!A5:C5</x:v>
      </x:c>
      <x:c r="B686" s="26" t="str">
        <x:v>Keyworded</x:v>
      </x:c>
      <x:c r="C686" s="26" t="str">
        <x:v>Horsemanship</x:v>
      </x:c>
      <x:c r="D686" s="26" t="str">
        <x:v>Evasion</x:v>
      </x:c>
      <x:c r="E686" s="26" t="str">
        <x:v>Can only be blocked by other creatures with Horsemanship (e.g. Lu Bu, Master-at-Arms).</x:v>
      </x:c>
      <x:c r="F686" s="26" t="str">
        <x:v>keyword:"Horsemanship"</x:v>
      </x:c>
      <x:c r="G686" s="26" t="str">
        <x:v>High</x:v>
      </x:c>
      <x:c r="H686" s="26" t="str">
        <x:v>Named keyword / mechanic</x:v>
      </x:c>
      <x:c r="I686" s="26" t="str">
        <x:v>keyword: preferred</x:v>
      </x:c>
      <x:c r="J686" s="26" t="str">
        <x:v>kw:Horsemanship</x:v>
      </x:c>
      <x:c r="K686" s="26" t="str">
        <x:v>o:"Horsemanship"</x:v>
      </x:c>
      <x:c r="L686" s="26" t="str">
        <x:v>horsemanship</x:v>
      </x:c>
      <x:c r="M686" s="26" t="str">
        <x:v>Translate, but retain fallback</x:v>
      </x:c>
      <x:c r="N686" s="26" t="str">
        <x:v>Production-ready</x:v>
      </x:c>
      <x:c r="O686" s="43" t="n">
        <x:v>0.96</x:v>
      </x:c>
      <x:c r="P686" s="26" t="str">
        <x:v>Mechanic taxonomy evolves; validate edge cases where the source list mixes keyword abilities, actions, or layouts.</x:v>
      </x:c>
      <x:c r="Q686" s="26" t="str">
        <x:v>https://scryfall.com/docs/syntax</x:v>
      </x:c>
      <x:c r="R686" s="26" t="str">
        <x:v>2026-08-21</x:v>
      </x:c>
    </x:row>
    <x:row r="687">
      <x:c r="A687" s="26" t="str">
        <x:v>EvasionAbilities!A6:C6</x:v>
      </x:c>
      <x:c r="B687" s="26" t="str">
        <x:v>Keyworded</x:v>
      </x:c>
      <x:c r="C687" s="26" t="str">
        <x:v>Skulk</x:v>
      </x:c>
      <x:c r="D687" s="26" t="str">
        <x:v>Evasion</x:v>
      </x:c>
      <x:c r="E687" s="26" t="str">
        <x:v>Can only be blocked by creatures with equal or lesser power (e.g. Furtive Homunculus).</x:v>
      </x:c>
      <x:c r="F687" s="26" t="str">
        <x:v>keyword:"Skulk"</x:v>
      </x:c>
      <x:c r="G687" s="26" t="str">
        <x:v>High</x:v>
      </x:c>
      <x:c r="H687" s="26" t="str">
        <x:v>Named keyword / mechanic</x:v>
      </x:c>
      <x:c r="I687" s="26" t="str">
        <x:v>keyword: preferred</x:v>
      </x:c>
      <x:c r="J687" s="26" t="str">
        <x:v>kw:Skulk</x:v>
      </x:c>
      <x:c r="K687" s="26" t="str">
        <x:v>o:"Skulk"</x:v>
      </x:c>
      <x:c r="L687" s="26" t="str">
        <x:v>skulk</x:v>
      </x:c>
      <x:c r="M687" s="26" t="str">
        <x:v>Translate, but retain fallback</x:v>
      </x:c>
      <x:c r="N687" s="26" t="str">
        <x:v>Production-ready</x:v>
      </x:c>
      <x:c r="O687" s="43" t="n">
        <x:v>0.96</x:v>
      </x:c>
      <x:c r="P687" s="26" t="str">
        <x:v>Mechanic taxonomy evolves; validate edge cases where the source list mixes keyword abilities, actions, or layouts.</x:v>
      </x:c>
      <x:c r="Q687" s="26" t="str">
        <x:v>https://scryfall.com/docs/syntax</x:v>
      </x:c>
      <x:c r="R687" s="26" t="str">
        <x:v>2026-08-21</x:v>
      </x:c>
    </x:row>
    <x:row r="688">
      <x:c r="A688" s="26" t="str">
        <x:v>EvasionAbilities!A7:C7</x:v>
      </x:c>
      <x:c r="B688" s="26" t="str">
        <x:v>Keyworded</x:v>
      </x:c>
      <x:c r="C688" s="26" t="str">
        <x:v>Shadow</x:v>
      </x:c>
      <x:c r="D688" s="26" t="str">
        <x:v>Evasion</x:v>
      </x:c>
      <x:c r="E688" s="26" t="str">
        <x:v>Can only block or be blocked by other creatures with Shadow (e.g. Soltari Priest).</x:v>
      </x:c>
      <x:c r="F688" s="26" t="str">
        <x:v>keyword:"Shadow"</x:v>
      </x:c>
      <x:c r="G688" s="26" t="str">
        <x:v>High</x:v>
      </x:c>
      <x:c r="H688" s="26" t="str">
        <x:v>Named keyword / mechanic</x:v>
      </x:c>
      <x:c r="I688" s="26" t="str">
        <x:v>keyword: preferred</x:v>
      </x:c>
      <x:c r="J688" s="26" t="str">
        <x:v>kw:Shadow</x:v>
      </x:c>
      <x:c r="K688" s="26" t="str">
        <x:v>o:"Shadow"</x:v>
      </x:c>
      <x:c r="L688" s="26" t="str">
        <x:v>shadow</x:v>
      </x:c>
      <x:c r="M688" s="26" t="str">
        <x:v>Translate, but retain fallback</x:v>
      </x:c>
      <x:c r="N688" s="26" t="str">
        <x:v>Production-ready</x:v>
      </x:c>
      <x:c r="O688" s="43" t="n">
        <x:v>0.96</x:v>
      </x:c>
      <x:c r="P688" s="26" t="str">
        <x:v>Mechanic taxonomy evolves; validate edge cases where the source list mixes keyword abilities, actions, or layouts.</x:v>
      </x:c>
      <x:c r="Q688" s="26" t="str">
        <x:v>https://scryfall.com/docs/syntax</x:v>
      </x:c>
      <x:c r="R688" s="26" t="str">
        <x:v>2026-08-21</x:v>
      </x:c>
    </x:row>
    <x:row r="689">
      <x:c r="A689" s="26" t="str">
        <x:v>EvasionAbilities!A8:C8</x:v>
      </x:c>
      <x:c r="B689" s="26" t="str">
        <x:v>Keyworded</x:v>
      </x:c>
      <x:c r="C689" s="26" t="str">
        <x:v>Menace</x:v>
      </x:c>
      <x:c r="D689" s="26" t="str">
        <x:v>Evasion</x:v>
      </x:c>
      <x:c r="E689" s="26" t="str">
        <x:v>Can only be blocked by two or more creatures (e.g. Boggart Brute).</x:v>
      </x:c>
      <x:c r="F689" s="26" t="str">
        <x:v>keyword:"Menace"</x:v>
      </x:c>
      <x:c r="G689" s="26" t="str">
        <x:v>High</x:v>
      </x:c>
      <x:c r="H689" s="26" t="str">
        <x:v>Named keyword / mechanic</x:v>
      </x:c>
      <x:c r="I689" s="26" t="str">
        <x:v>keyword: preferred</x:v>
      </x:c>
      <x:c r="J689" s="26" t="str">
        <x:v>kw:Menace</x:v>
      </x:c>
      <x:c r="K689" s="26" t="str">
        <x:v>o:"Menace"</x:v>
      </x:c>
      <x:c r="L689" s="26" t="str">
        <x:v>menace</x:v>
      </x:c>
      <x:c r="M689" s="26" t="str">
        <x:v>Translate, but retain fallback</x:v>
      </x:c>
      <x:c r="N689" s="26" t="str">
        <x:v>Production-ready</x:v>
      </x:c>
      <x:c r="O689" s="43" t="n">
        <x:v>0.96</x:v>
      </x:c>
      <x:c r="P689" s="26" t="str">
        <x:v>Mechanic taxonomy evolves; validate edge cases where the source list mixes keyword abilities, actions, or layouts.</x:v>
      </x:c>
      <x:c r="Q689" s="26" t="str">
        <x:v>https://scryfall.com/docs/syntax</x:v>
      </x:c>
      <x:c r="R689" s="26" t="str">
        <x:v>2026-08-21</x:v>
      </x:c>
    </x:row>
    <x:row r="690">
      <x:c r="A690" s="26" t="str">
        <x:v>EvasionAbilities!A9:C9</x:v>
      </x:c>
      <x:c r="B690" s="26" t="str">
        <x:v>Keyworded</x:v>
      </x:c>
      <x:c r="C690" s="26" t="str">
        <x:v>Landwalk</x:v>
      </x:c>
      <x:c r="D690" s="26" t="str">
        <x:v>Evasion</x:v>
      </x:c>
      <x:c r="E690" s="26" t="str">
        <x:v>Unblockable if defending player controls a land with this property (e.g. Rushwood Dryad).</x:v>
      </x:c>
      <x:c r="F690" s="26" t="str">
        <x:v>keyword:"Landwalk"</x:v>
      </x:c>
      <x:c r="G690" s="26" t="str">
        <x:v>High</x:v>
      </x:c>
      <x:c r="H690" s="26" t="str">
        <x:v>Named keyword / mechanic</x:v>
      </x:c>
      <x:c r="I690" s="26" t="str">
        <x:v>keyword: preferred</x:v>
      </x:c>
      <x:c r="J690" s="26" t="str">
        <x:v>kw:Landwalk</x:v>
      </x:c>
      <x:c r="K690" s="26" t="str">
        <x:v>o:"Landwalk"</x:v>
      </x:c>
      <x:c r="L690" s="26" t="str">
        <x:v>landwalk</x:v>
      </x:c>
      <x:c r="M690" s="26" t="str">
        <x:v>Translate, but retain fallback</x:v>
      </x:c>
      <x:c r="N690" s="26" t="str">
        <x:v>Production-ready</x:v>
      </x:c>
      <x:c r="O690" s="43" t="n">
        <x:v>0.96</x:v>
      </x:c>
      <x:c r="P690" s="26" t="str">
        <x:v>Mechanic taxonomy evolves; validate edge cases where the source list mixes keyword abilities, actions, or layouts.</x:v>
      </x:c>
      <x:c r="Q690" s="26" t="str">
        <x:v>https://scryfall.com/docs/syntax</x:v>
      </x:c>
      <x:c r="R690" s="26" t="str">
        <x:v>2026-08-21</x:v>
      </x:c>
    </x:row>
    <x:row r="691">
      <x:c r="A691" s="26" t="str">
        <x:v>EvasionAbilities!A10:C10</x:v>
      </x:c>
      <x:c r="B691" s="26" t="str">
        <x:v>Keyworded</x:v>
      </x:c>
      <x:c r="C691" s="26" t="str">
        <x:v>Protection from X</x:v>
      </x:c>
      <x:c r="D691" s="26" t="str">
        <x:v>Evasion</x:v>
      </x:c>
      <x:c r="E691" s="26" t="str">
        <x:v>Cannot be blocked by creatures with X quality (e.g. Paladin en-Vec).</x:v>
      </x:c>
      <x:c r="F691" s="26" t="str">
        <x:v>o:"Protection from X"</x:v>
      </x:c>
      <x:c r="G691" s="26" t="str">
        <x:v>Medium</x:v>
      </x:c>
      <x:c r="H691" s="26" t="str">
        <x:v>Named keyword / mechanic</x:v>
      </x:c>
      <x:c r="I691" s="26" t="str">
        <x:v>keyword: preferred</x:v>
      </x:c>
      <x:c r="J691" s="26" t="str">
        <x:v>kw:protection</x:v>
      </x:c>
      <x:c r="K691" s="26" t="str">
        <x:v>o:"Protection from X"</x:v>
      </x:c>
      <x:c r="L691" s="26" t="str">
        <x:v>protection from x</x:v>
      </x:c>
      <x:c r="M691" s="26" t="str">
        <x:v>Translate, but retain fallback</x:v>
      </x:c>
      <x:c r="N691" s="26" t="str">
        <x:v>Production-ready</x:v>
      </x:c>
      <x:c r="O691" s="43" t="n">
        <x:v>0.96</x:v>
      </x:c>
      <x:c r="P691" s="26" t="str">
        <x:v>Mechanic taxonomy evolves; validate edge cases where the source list mixes keyword abilities, actions, or layouts.</x:v>
      </x:c>
      <x:c r="Q691" s="26" t="str">
        <x:v>https://scryfall.com/docs/syntax</x:v>
      </x:c>
      <x:c r="R691" s="26" t="str">
        <x:v>2026-08-21</x:v>
      </x:c>
    </x:row>
    <x:row r="692">
      <x:c r="A692" s="26" t="str">
        <x:v>EvasionAbilities!A11:C11</x:v>
      </x:c>
      <x:c r="B692" s="26" t="str">
        <x:v>Unkeyworded (Colloquial)</x:v>
      </x:c>
      <x:c r="C692" s="26" t="str">
        <x:v>Unblockable</x:v>
      </x:c>
      <x:c r="D692" s="26" t="str">
        <x:v>Evasion</x:v>
      </x:c>
      <x:c r="E692" s="26" t="str">
        <x:v>This creature is unblockable (e.g. Tidal Kraken).</x:v>
      </x:c>
      <x:c r="F692" s="26" t="str">
        <x:v>o:"Unblockable"</x:v>
      </x:c>
      <x:c r="G692" s="26" t="str">
        <x:v>Medium</x:v>
      </x:c>
      <x:c r="H692" s="26" t="str">
        <x:v>Colloquial mechanic</x:v>
      </x:c>
      <x:c r="I692" s="26" t="str">
        <x:v>semantic / oracle</x:v>
      </x:c>
      <x:c r="J692" s="26" t="str"/>
      <x:c r="K692" s="26" t="str"/>
      <x:c r="L692" s="26" t="str">
        <x:v>unblockable</x:v>
      </x:c>
      <x:c r="M692" s="26" t="str">
        <x:v>Do not silently literal-search</x:v>
      </x:c>
      <x:c r="N692" s="26" t="str">
        <x:v>Semantic</x:v>
      </x:c>
      <x:c r="O692" s="43" t="n">
        <x:v>0.35</x:v>
      </x:c>
      <x:c r="P692" s="26" t="str">
        <x:v>The source label may not exist in Oracle text; requires curated patterns or aliases.</x:v>
      </x:c>
      <x:c r="Q692" s="26" t="str">
        <x:v>https://scryfall.com/docs/syntax</x:v>
      </x:c>
      <x:c r="R692" s="26" t="str">
        <x:v>2026-08-21</x:v>
      </x:c>
    </x:row>
    <x:row r="693">
      <x:c r="A693" s="26" t="str">
        <x:v>EvasionAbilities!A12:C12</x:v>
      </x:c>
      <x:c r="B693" s="26" t="str">
        <x:v>Unkeyworded (Colloquial)</x:v>
      </x:c>
      <x:c r="C693" s="26" t="str">
        <x:v>Burrowing</x:v>
      </x:c>
      <x:c r="D693" s="26" t="str">
        <x:v>Evasion</x:v>
      </x:c>
      <x:c r="E693" s="26" t="str">
        <x:v>Can't be blocked by creatures with flying (e.g. Stone Spirit).</x:v>
      </x:c>
      <x:c r="F693" s="26" t="str">
        <x:v>o:"Burrowing"</x:v>
      </x:c>
      <x:c r="G693" s="26" t="str">
        <x:v>Medium</x:v>
      </x:c>
      <x:c r="H693" s="26" t="str">
        <x:v>Colloquial mechanic</x:v>
      </x:c>
      <x:c r="I693" s="26" t="str">
        <x:v>semantic / oracle</x:v>
      </x:c>
      <x:c r="J693" s="26" t="str"/>
      <x:c r="K693" s="26" t="str"/>
      <x:c r="L693" s="26" t="str">
        <x:v>burrowing</x:v>
      </x:c>
      <x:c r="M693" s="26" t="str">
        <x:v>Do not silently literal-search</x:v>
      </x:c>
      <x:c r="N693" s="26" t="str">
        <x:v>Semantic</x:v>
      </x:c>
      <x:c r="O693" s="43" t="n">
        <x:v>0.35</x:v>
      </x:c>
      <x:c r="P693" s="26" t="str">
        <x:v>The source label may not exist in Oracle text; requires curated patterns or aliases.</x:v>
      </x:c>
      <x:c r="Q693" s="26" t="str">
        <x:v>https://scryfall.com/docs/syntax</x:v>
      </x:c>
      <x:c r="R693" s="26" t="str">
        <x:v>2026-08-21</x:v>
      </x:c>
    </x:row>
    <x:row r="694">
      <x:c r="A694" s="26" t="str">
        <x:v>EvasionAbilities!A13:C13</x:v>
      </x:c>
      <x:c r="B694" s="26" t="str">
        <x:v>Unkeyworded (Colloquial)</x:v>
      </x:c>
      <x:c r="C694" s="26" t="str">
        <x:v>Daunt</x:v>
      </x:c>
      <x:c r="D694" s="26" t="str">
        <x:v>Evasion</x:v>
      </x:c>
      <x:c r="E694" s="26" t="str">
        <x:v>Can't be blocked by creatures with 2 or less power (e.g. Arlinn's Wolf).</x:v>
      </x:c>
      <x:c r="F694" s="26" t="str">
        <x:v>o:"Daunt"</x:v>
      </x:c>
      <x:c r="G694" s="26" t="str">
        <x:v>Medium</x:v>
      </x:c>
      <x:c r="H694" s="26" t="str">
        <x:v>Colloquial mechanic</x:v>
      </x:c>
      <x:c r="I694" s="26" t="str">
        <x:v>semantic / oracle</x:v>
      </x:c>
      <x:c r="J694" s="26" t="str"/>
      <x:c r="K694" s="26" t="str"/>
      <x:c r="L694" s="26" t="str">
        <x:v>daunt</x:v>
      </x:c>
      <x:c r="M694" s="26" t="str">
        <x:v>Do not silently literal-search</x:v>
      </x:c>
      <x:c r="N694" s="26" t="str">
        <x:v>Semantic</x:v>
      </x:c>
      <x:c r="O694" s="43" t="n">
        <x:v>0.35</x:v>
      </x:c>
      <x:c r="P694" s="26" t="str">
        <x:v>The source label may not exist in Oracle text; requires curated patterns or aliases.</x:v>
      </x:c>
      <x:c r="Q694" s="26" t="str">
        <x:v>https://scryfall.com/docs/syntax</x:v>
      </x:c>
      <x:c r="R694" s="26" t="str">
        <x:v>2026-08-21</x:v>
      </x:c>
    </x:row>
    <x:row r="695">
      <x:c r="A695" s="26" t="str">
        <x:v>EvasionAbilities!A14:C14</x:v>
      </x:c>
      <x:c r="B695" s="26" t="str">
        <x:v>Unkeyworded (Colloquial)</x:v>
      </x:c>
      <x:c r="C695" s="26" t="str">
        <x:v>Gingerbrute ability</x:v>
      </x:c>
      <x:c r="D695" s="26" t="str">
        <x:v>Evasion</x:v>
      </x:c>
      <x:c r="E695" s="26" t="str">
        <x:v>Can't be blocked except by creatures with haste (e.g. Gingerbrute).</x:v>
      </x:c>
      <x:c r="F695" s="26" t="str">
        <x:v>o:"Gingerbrute ability"</x:v>
      </x:c>
      <x:c r="G695" s="26" t="str">
        <x:v>Medium</x:v>
      </x:c>
      <x:c r="H695" s="26" t="str">
        <x:v>Colloquial mechanic</x:v>
      </x:c>
      <x:c r="I695" s="26" t="str">
        <x:v>semantic / oracle</x:v>
      </x:c>
      <x:c r="J695" s="26" t="str"/>
      <x:c r="K695" s="26" t="str"/>
      <x:c r="L695" s="26" t="str">
        <x:v>gingerbrute ability</x:v>
      </x:c>
      <x:c r="M695" s="26" t="str">
        <x:v>Do not silently literal-search</x:v>
      </x:c>
      <x:c r="N695" s="26" t="str">
        <x:v>Semantic</x:v>
      </x:c>
      <x:c r="O695" s="43" t="n">
        <x:v>0.35</x:v>
      </x:c>
      <x:c r="P695" s="26" t="str">
        <x:v>The source label may not exist in Oracle text; requires curated patterns or aliases.</x:v>
      </x:c>
      <x:c r="Q695" s="26" t="str">
        <x:v>https://scryfall.com/docs/syntax</x:v>
      </x:c>
      <x:c r="R695" s="26" t="str">
        <x:v>2026-08-21</x:v>
      </x:c>
    </x:row>
    <x:row r="696">
      <x:c r="A696" s="26" t="str">
        <x:v>EvasionAbilities!A15:C15</x:v>
      </x:c>
      <x:c r="B696" s="26" t="str">
        <x:v>Unkeyworded (Colloquial)</x:v>
      </x:c>
      <x:c r="C696" s="26" t="str">
        <x:v>Nimble</x:v>
      </x:c>
      <x:c r="D696" s="26" t="str">
        <x:v>Evasion</x:v>
      </x:c>
      <x:c r="E696" s="26" t="str">
        <x:v>Can't be blocked by creatures with power 3 or greater (e.g. Lydia Frye (ACR)).</x:v>
      </x:c>
      <x:c r="F696" s="26" t="str">
        <x:v>o:"Nimble"</x:v>
      </x:c>
      <x:c r="G696" s="26" t="str">
        <x:v>Medium</x:v>
      </x:c>
      <x:c r="H696" s="26" t="str">
        <x:v>Colloquial mechanic</x:v>
      </x:c>
      <x:c r="I696" s="26" t="str">
        <x:v>semantic / oracle</x:v>
      </x:c>
      <x:c r="J696" s="26" t="str"/>
      <x:c r="K696" s="26" t="str"/>
      <x:c r="L696" s="26" t="str">
        <x:v>nimble</x:v>
      </x:c>
      <x:c r="M696" s="26" t="str">
        <x:v>Do not silently literal-search</x:v>
      </x:c>
      <x:c r="N696" s="26" t="str">
        <x:v>Semantic</x:v>
      </x:c>
      <x:c r="O696" s="43" t="n">
        <x:v>0.35</x:v>
      </x:c>
      <x:c r="P696" s="26" t="str">
        <x:v>The source label may not exist in Oracle text; requires curated patterns or aliases.</x:v>
      </x:c>
      <x:c r="Q696" s="26" t="str">
        <x:v>https://scryfall.com/docs/syntax</x:v>
      </x:c>
      <x:c r="R696" s="26" t="str">
        <x:v>2026-08-21</x:v>
      </x:c>
    </x:row>
    <x:row r="697">
      <x:c r="A697" s="26" t="str">
        <x:v>EvasionAbilities!A16:C16</x:v>
      </x:c>
      <x:c r="B697" s="26" t="str">
        <x:v>Pseudo-evasion</x:v>
      </x:c>
      <x:c r="C697" s="26" t="str">
        <x:v>Afflict</x:v>
      </x:c>
      <x:c r="D697" s="26" t="str">
        <x:v>Evasion</x:v>
      </x:c>
      <x:c r="E697" s="26" t="str">
        <x:v>Deals life loss to the defender when blocked (e.g. Ammit Eternal).</x:v>
      </x:c>
      <x:c r="F697" s="26" t="str">
        <x:v>o:"Afflict"</x:v>
      </x:c>
      <x:c r="G697" s="26" t="str">
        <x:v>Medium</x:v>
      </x:c>
      <x:c r="H697" s="26" t="str">
        <x:v>Combat/evasion concept</x:v>
      </x:c>
      <x:c r="I697" s="26" t="str">
        <x:v>keyword or semantic</x:v>
      </x:c>
      <x:c r="J697" s="26" t="str">
        <x:v>kw:afflict</x:v>
      </x:c>
      <x:c r="K697" s="26" t="str"/>
      <x:c r="L697" s="26" t="str">
        <x:v>afflict</x:v>
      </x:c>
      <x:c r="M697" s="26" t="str">
        <x:v>Translate only when mapping is governed</x:v>
      </x:c>
      <x:c r="N697" s="26" t="str">
        <x:v>Production-ready</x:v>
      </x:c>
      <x:c r="O697" s="43" t="n">
        <x:v>0.95</x:v>
      </x:c>
      <x:c r="P697" s="26" t="str">
        <x:v>Pseudo-evasion is a strategic label, not always a native Scryfall property.</x:v>
      </x:c>
      <x:c r="Q697" s="26" t="str">
        <x:v>https://scryfall.com/docs/syntax</x:v>
      </x:c>
      <x:c r="R697" s="26" t="str">
        <x:v>2026-08-21</x:v>
      </x:c>
    </x:row>
    <x:row r="698">
      <x:c r="A698" s="26" t="str">
        <x:v>EvasionAbilities!A17:C17</x:v>
      </x:c>
      <x:c r="B698" s="26" t="str">
        <x:v>Pseudo-evasion</x:v>
      </x:c>
      <x:c r="C698" s="26" t="str">
        <x:v>Trample</x:v>
      </x:c>
      <x:c r="D698" s="26" t="str">
        <x:v>Evasion</x:v>
      </x:c>
      <x:c r="E698" s="26" t="str">
        <x:v>Allows excess combat damage to be dealt to the defending player (e.g. Force of Nature).</x:v>
      </x:c>
      <x:c r="F698" s="26" t="str">
        <x:v>o:"Trample"</x:v>
      </x:c>
      <x:c r="G698" s="26" t="str">
        <x:v>Medium</x:v>
      </x:c>
      <x:c r="H698" s="26" t="str">
        <x:v>Combat/evasion concept</x:v>
      </x:c>
      <x:c r="I698" s="26" t="str">
        <x:v>keyword or semantic</x:v>
      </x:c>
      <x:c r="J698" s="26" t="str">
        <x:v>kw:trample</x:v>
      </x:c>
      <x:c r="K698" s="26" t="str"/>
      <x:c r="L698" s="26" t="str">
        <x:v>trample</x:v>
      </x:c>
      <x:c r="M698" s="26" t="str">
        <x:v>Translate only when mapping is governed</x:v>
      </x:c>
      <x:c r="N698" s="26" t="str">
        <x:v>Production-ready</x:v>
      </x:c>
      <x:c r="O698" s="43" t="n">
        <x:v>0.97</x:v>
      </x:c>
      <x:c r="P698" s="26" t="str">
        <x:v>Pseudo-evasion is a strategic label, not always a native Scryfall property.</x:v>
      </x:c>
      <x:c r="Q698" s="26" t="str">
        <x:v>https://scryfall.com/docs/syntax</x:v>
      </x:c>
      <x:c r="R698" s="26" t="str">
        <x:v>2026-08-21</x:v>
      </x:c>
    </x:row>
    <x:row r="699">
      <x:c r="A699" s="26" t="str">
        <x:v>EvasionAbilities!A18:C18</x:v>
      </x:c>
      <x:c r="B699" s="26" t="str">
        <x:v>Pseudo-evasion</x:v>
      </x:c>
      <x:c r="C699" s="26" t="str">
        <x:v>Unstoppable</x:v>
      </x:c>
      <x:c r="D699" s="26" t="str">
        <x:v>Evasion</x:v>
      </x:c>
      <x:c r="E699" s="26" t="str">
        <x:v>All combat damage is dealt directly to player (e.g. Thorn Elemental).</x:v>
      </x:c>
      <x:c r="F699" s="26" t="str">
        <x:v>o:"Unstoppable"</x:v>
      </x:c>
      <x:c r="G699" s="26" t="str">
        <x:v>Medium</x:v>
      </x:c>
      <x:c r="H699" s="26" t="str">
        <x:v>Combat/evasion concept</x:v>
      </x:c>
      <x:c r="I699" s="26" t="str">
        <x:v>keyword or semantic</x:v>
      </x:c>
      <x:c r="J699" s="26" t="str"/>
      <x:c r="K699" s="26" t="str"/>
      <x:c r="L699" s="26" t="str">
        <x:v>unstoppable</x:v>
      </x:c>
      <x:c r="M699" s="26" t="str">
        <x:v>Translate only when mapping is governed</x:v>
      </x:c>
      <x:c r="N699" s="26" t="str">
        <x:v>Semantic</x:v>
      </x:c>
      <x:c r="O699" s="43" t="n">
        <x:v>0.45</x:v>
      </x:c>
      <x:c r="P699" s="26" t="str">
        <x:v>Pseudo-evasion is a strategic label, not always a native Scryfall property.</x:v>
      </x:c>
      <x:c r="Q699" s="26" t="str">
        <x:v>https://scryfall.com/docs/syntax</x:v>
      </x:c>
      <x:c r="R699" s="26" t="str">
        <x:v>2026-08-21</x:v>
      </x:c>
    </x:row>
    <x:row r="700">
      <x:c r="A700" s="26" t="str">
        <x:v>CardTypes!A2:B2</x:v>
      </x:c>
      <x:c r="B700" s="26" t="str">
        <x:v>Card Type</x:v>
      </x:c>
      <x:c r="C700" s="26" t="str">
        <x:v>Artifact</x:v>
      </x:c>
      <x:c r="D700" s="26" t="str">
        <x:v>Card-type taxonomy</x:v>
      </x:c>
      <x:c r="E700" s="26"/>
      <x:c r="F700" s="26" t="str">
        <x:v>t:"Artifact"</x:v>
      </x:c>
      <x:c r="G700" s="26" t="str">
        <x:v>High</x:v>
      </x:c>
      <x:c r="H700" s="26" t="str">
        <x:v>Native taxonomy</x:v>
      </x:c>
      <x:c r="I700" s="26" t="str">
        <x:v>type:</x:v>
      </x:c>
      <x:c r="J700" s="26" t="str">
        <x:v>t:"Artifact"</x:v>
      </x:c>
      <x:c r="K700" s="26" t="str"/>
      <x:c r="L700" s="26" t="str">
        <x:v>artifact</x:v>
      </x:c>
      <x:c r="M700" s="26" t="str">
        <x:v>Translate directly</x:v>
      </x:c>
      <x:c r="N700" s="26" t="str">
        <x:v>Production-ready</x:v>
      </x:c>
      <x:c r="O700" s="43" t="n">
        <x:v>0.99</x:v>
      </x:c>
      <x:c r="P700" s="26" t="str">
        <x:v>Use for card type/supertype/subtype intent, not for art or rules-text mentions.</x:v>
      </x:c>
      <x:c r="Q700" s="26" t="str">
        <x:v>https://scryfall.com/docs/syntax</x:v>
      </x:c>
      <x:c r="R700" s="26" t="str">
        <x:v>2026-08-21</x:v>
      </x:c>
    </x:row>
    <x:row r="701">
      <x:c r="A701" s="26" t="str">
        <x:v>CardTypes!A3:B3</x:v>
      </x:c>
      <x:c r="B701" s="26" t="str">
        <x:v>Card Type</x:v>
      </x:c>
      <x:c r="C701" s="26" t="str">
        <x:v>Battle</x:v>
      </x:c>
      <x:c r="D701" s="26" t="str">
        <x:v>Card-type taxonomy</x:v>
      </x:c>
      <x:c r="E701" s="26"/>
      <x:c r="F701" s="26" t="str">
        <x:v>t:"Battle"</x:v>
      </x:c>
      <x:c r="G701" s="26" t="str">
        <x:v>High</x:v>
      </x:c>
      <x:c r="H701" s="26" t="str">
        <x:v>Native taxonomy</x:v>
      </x:c>
      <x:c r="I701" s="26" t="str">
        <x:v>type:</x:v>
      </x:c>
      <x:c r="J701" s="26" t="str">
        <x:v>t:"Battle"</x:v>
      </x:c>
      <x:c r="K701" s="26" t="str"/>
      <x:c r="L701" s="26" t="str">
        <x:v>battle</x:v>
      </x:c>
      <x:c r="M701" s="26" t="str">
        <x:v>Translate directly</x:v>
      </x:c>
      <x:c r="N701" s="26" t="str">
        <x:v>Production-ready</x:v>
      </x:c>
      <x:c r="O701" s="43" t="n">
        <x:v>0.99</x:v>
      </x:c>
      <x:c r="P701" s="26" t="str">
        <x:v>Use for card type/supertype/subtype intent, not for art or rules-text mentions.</x:v>
      </x:c>
      <x:c r="Q701" s="26" t="str">
        <x:v>https://scryfall.com/docs/syntax</x:v>
      </x:c>
      <x:c r="R701" s="26" t="str">
        <x:v>2026-08-21</x:v>
      </x:c>
    </x:row>
    <x:row r="702">
      <x:c r="A702" s="26" t="str">
        <x:v>CardTypes!A4:B4</x:v>
      </x:c>
      <x:c r="B702" s="26" t="str">
        <x:v>Card Type</x:v>
      </x:c>
      <x:c r="C702" s="26" t="str">
        <x:v>Boss</x:v>
      </x:c>
      <x:c r="D702" s="26" t="str">
        <x:v>Card-type taxonomy</x:v>
      </x:c>
      <x:c r="E702" s="26"/>
      <x:c r="F702" s="26" t="str">
        <x:v>t:"Boss"</x:v>
      </x:c>
      <x:c r="G702" s="26" t="str">
        <x:v>High</x:v>
      </x:c>
      <x:c r="H702" s="26" t="str">
        <x:v>Native taxonomy</x:v>
      </x:c>
      <x:c r="I702" s="26" t="str">
        <x:v>type:</x:v>
      </x:c>
      <x:c r="J702" s="26" t="str">
        <x:v>t:"Boss"</x:v>
      </x:c>
      <x:c r="K702" s="26" t="str"/>
      <x:c r="L702" s="26" t="str">
        <x:v>boss</x:v>
      </x:c>
      <x:c r="M702" s="26" t="str">
        <x:v>Translate directly</x:v>
      </x:c>
      <x:c r="N702" s="26" t="str">
        <x:v>Production-ready</x:v>
      </x:c>
      <x:c r="O702" s="43" t="n">
        <x:v>0.99</x:v>
      </x:c>
      <x:c r="P702" s="26" t="str">
        <x:v>Use for card type/supertype/subtype intent, not for art or rules-text mentions.</x:v>
      </x:c>
      <x:c r="Q702" s="26" t="str">
        <x:v>https://scryfall.com/docs/syntax</x:v>
      </x:c>
      <x:c r="R702" s="26" t="str">
        <x:v>2026-08-21</x:v>
      </x:c>
    </x:row>
    <x:row r="703">
      <x:c r="A703" s="26" t="str">
        <x:v>CardTypes!A5:B5</x:v>
      </x:c>
      <x:c r="B703" s="26" t="str">
        <x:v>Card Type</x:v>
      </x:c>
      <x:c r="C703" s="26" t="str">
        <x:v>Conspiracy</x:v>
      </x:c>
      <x:c r="D703" s="26" t="str">
        <x:v>Card-type taxonomy</x:v>
      </x:c>
      <x:c r="E703" s="26"/>
      <x:c r="F703" s="26" t="str">
        <x:v>t:"Conspiracy"</x:v>
      </x:c>
      <x:c r="G703" s="26" t="str">
        <x:v>High</x:v>
      </x:c>
      <x:c r="H703" s="26" t="str">
        <x:v>Native taxonomy</x:v>
      </x:c>
      <x:c r="I703" s="26" t="str">
        <x:v>type:</x:v>
      </x:c>
      <x:c r="J703" s="26" t="str">
        <x:v>t:"Conspiracy"</x:v>
      </x:c>
      <x:c r="K703" s="26" t="str"/>
      <x:c r="L703" s="26" t="str">
        <x:v>conspiracy</x:v>
      </x:c>
      <x:c r="M703" s="26" t="str">
        <x:v>Translate directly</x:v>
      </x:c>
      <x:c r="N703" s="26" t="str">
        <x:v>Production-ready</x:v>
      </x:c>
      <x:c r="O703" s="43" t="n">
        <x:v>0.99</x:v>
      </x:c>
      <x:c r="P703" s="26" t="str">
        <x:v>Use for card type/supertype/subtype intent, not for art or rules-text mentions.</x:v>
      </x:c>
      <x:c r="Q703" s="26" t="str">
        <x:v>https://scryfall.com/docs/syntax</x:v>
      </x:c>
      <x:c r="R703" s="26" t="str">
        <x:v>2026-08-21</x:v>
      </x:c>
    </x:row>
    <x:row r="704">
      <x:c r="A704" s="26" t="str">
        <x:v>CardTypes!A6:B6</x:v>
      </x:c>
      <x:c r="B704" s="26" t="str">
        <x:v>Card Type</x:v>
      </x:c>
      <x:c r="C704" s="26" t="str">
        <x:v>Creature</x:v>
      </x:c>
      <x:c r="D704" s="26" t="str">
        <x:v>Card-type taxonomy</x:v>
      </x:c>
      <x:c r="E704" s="26"/>
      <x:c r="F704" s="26" t="str">
        <x:v>t:"Creature"</x:v>
      </x:c>
      <x:c r="G704" s="26" t="str">
        <x:v>High</x:v>
      </x:c>
      <x:c r="H704" s="26" t="str">
        <x:v>Native taxonomy</x:v>
      </x:c>
      <x:c r="I704" s="26" t="str">
        <x:v>type:</x:v>
      </x:c>
      <x:c r="J704" s="26" t="str">
        <x:v>t:"Creature"</x:v>
      </x:c>
      <x:c r="K704" s="26" t="str"/>
      <x:c r="L704" s="26" t="str">
        <x:v>creature</x:v>
      </x:c>
      <x:c r="M704" s="26" t="str">
        <x:v>Translate directly</x:v>
      </x:c>
      <x:c r="N704" s="26" t="str">
        <x:v>Production-ready</x:v>
      </x:c>
      <x:c r="O704" s="43" t="n">
        <x:v>0.99</x:v>
      </x:c>
      <x:c r="P704" s="26" t="str">
        <x:v>Use for card type/supertype/subtype intent, not for art or rules-text mentions.</x:v>
      </x:c>
      <x:c r="Q704" s="26" t="str">
        <x:v>https://scryfall.com/docs/syntax</x:v>
      </x:c>
      <x:c r="R704" s="26" t="str">
        <x:v>2026-08-21</x:v>
      </x:c>
    </x:row>
    <x:row r="705">
      <x:c r="A705" s="26" t="str">
        <x:v>CardTypes!A7:B7</x:v>
      </x:c>
      <x:c r="B705" s="26" t="str">
        <x:v>Card Type</x:v>
      </x:c>
      <x:c r="C705" s="26" t="str">
        <x:v>Dungeon</x:v>
      </x:c>
      <x:c r="D705" s="26" t="str">
        <x:v>Card-type taxonomy</x:v>
      </x:c>
      <x:c r="E705" s="26"/>
      <x:c r="F705" s="26" t="str">
        <x:v>t:"Dungeon"</x:v>
      </x:c>
      <x:c r="G705" s="26" t="str">
        <x:v>High</x:v>
      </x:c>
      <x:c r="H705" s="26" t="str">
        <x:v>Native taxonomy</x:v>
      </x:c>
      <x:c r="I705" s="26" t="str">
        <x:v>type:</x:v>
      </x:c>
      <x:c r="J705" s="26" t="str">
        <x:v>t:"Dungeon"</x:v>
      </x:c>
      <x:c r="K705" s="26" t="str"/>
      <x:c r="L705" s="26" t="str">
        <x:v>dungeon</x:v>
      </x:c>
      <x:c r="M705" s="26" t="str">
        <x:v>Translate directly</x:v>
      </x:c>
      <x:c r="N705" s="26" t="str">
        <x:v>Production-ready</x:v>
      </x:c>
      <x:c r="O705" s="43" t="n">
        <x:v>0.99</x:v>
      </x:c>
      <x:c r="P705" s="26" t="str">
        <x:v>Use for card type/supertype/subtype intent, not for art or rules-text mentions.</x:v>
      </x:c>
      <x:c r="Q705" s="26" t="str">
        <x:v>https://scryfall.com/docs/syntax</x:v>
      </x:c>
      <x:c r="R705" s="26" t="str">
        <x:v>2026-08-21</x:v>
      </x:c>
    </x:row>
    <x:row r="706">
      <x:c r="A706" s="26" t="str">
        <x:v>CardTypes!A8:B8</x:v>
      </x:c>
      <x:c r="B706" s="26" t="str">
        <x:v>Card Type</x:v>
      </x:c>
      <x:c r="C706" s="26" t="str">
        <x:v>Emblem</x:v>
      </x:c>
      <x:c r="D706" s="26" t="str">
        <x:v>Card-type taxonomy</x:v>
      </x:c>
      <x:c r="E706" s="26"/>
      <x:c r="F706" s="26" t="str">
        <x:v>t:"Emblem"</x:v>
      </x:c>
      <x:c r="G706" s="26" t="str">
        <x:v>High</x:v>
      </x:c>
      <x:c r="H706" s="26" t="str">
        <x:v>Native taxonomy</x:v>
      </x:c>
      <x:c r="I706" s="26" t="str">
        <x:v>type:</x:v>
      </x:c>
      <x:c r="J706" s="26" t="str">
        <x:v>t:"Emblem"</x:v>
      </x:c>
      <x:c r="K706" s="26" t="str"/>
      <x:c r="L706" s="26" t="str">
        <x:v>emblem</x:v>
      </x:c>
      <x:c r="M706" s="26" t="str">
        <x:v>Translate directly</x:v>
      </x:c>
      <x:c r="N706" s="26" t="str">
        <x:v>Production-ready</x:v>
      </x:c>
      <x:c r="O706" s="43" t="n">
        <x:v>0.99</x:v>
      </x:c>
      <x:c r="P706" s="26" t="str">
        <x:v>Use for card type/supertype/subtype intent, not for art or rules-text mentions.</x:v>
      </x:c>
      <x:c r="Q706" s="26" t="str">
        <x:v>https://scryfall.com/docs/syntax</x:v>
      </x:c>
      <x:c r="R706" s="26" t="str">
        <x:v>2026-08-21</x:v>
      </x:c>
    </x:row>
    <x:row r="707">
      <x:c r="A707" s="26" t="str">
        <x:v>CardTypes!A9:B9</x:v>
      </x:c>
      <x:c r="B707" s="26" t="str">
        <x:v>Card Type</x:v>
      </x:c>
      <x:c r="C707" s="26" t="str">
        <x:v>Enchantment</x:v>
      </x:c>
      <x:c r="D707" s="26" t="str">
        <x:v>Card-type taxonomy</x:v>
      </x:c>
      <x:c r="E707" s="26"/>
      <x:c r="F707" s="26" t="str">
        <x:v>t:"Enchantment"</x:v>
      </x:c>
      <x:c r="G707" s="26" t="str">
        <x:v>High</x:v>
      </x:c>
      <x:c r="H707" s="26" t="str">
        <x:v>Native taxonomy</x:v>
      </x:c>
      <x:c r="I707" s="26" t="str">
        <x:v>type:</x:v>
      </x:c>
      <x:c r="J707" s="26" t="str">
        <x:v>t:"Enchantment"</x:v>
      </x:c>
      <x:c r="K707" s="26" t="str"/>
      <x:c r="L707" s="26" t="str">
        <x:v>enchantment</x:v>
      </x:c>
      <x:c r="M707" s="26" t="str">
        <x:v>Translate directly</x:v>
      </x:c>
      <x:c r="N707" s="26" t="str">
        <x:v>Production-ready</x:v>
      </x:c>
      <x:c r="O707" s="43" t="n">
        <x:v>0.99</x:v>
      </x:c>
      <x:c r="P707" s="26" t="str">
        <x:v>Use for card type/supertype/subtype intent, not for art or rules-text mentions.</x:v>
      </x:c>
      <x:c r="Q707" s="26" t="str">
        <x:v>https://scryfall.com/docs/syntax</x:v>
      </x:c>
      <x:c r="R707" s="26" t="str">
        <x:v>2026-08-21</x:v>
      </x:c>
    </x:row>
    <x:row r="708">
      <x:c r="A708" s="26" t="str">
        <x:v>CardTypes!A10:B10</x:v>
      </x:c>
      <x:c r="B708" s="26" t="str">
        <x:v>Card Type</x:v>
      </x:c>
      <x:c r="C708" s="26" t="str">
        <x:v>Event</x:v>
      </x:c>
      <x:c r="D708" s="26" t="str">
        <x:v>Card-type taxonomy</x:v>
      </x:c>
      <x:c r="E708" s="26"/>
      <x:c r="F708" s="26" t="str">
        <x:v>t:"Event"</x:v>
      </x:c>
      <x:c r="G708" s="26" t="str">
        <x:v>High</x:v>
      </x:c>
      <x:c r="H708" s="26" t="str">
        <x:v>Native taxonomy</x:v>
      </x:c>
      <x:c r="I708" s="26" t="str">
        <x:v>type:</x:v>
      </x:c>
      <x:c r="J708" s="26" t="str">
        <x:v>t:"Event"</x:v>
      </x:c>
      <x:c r="K708" s="26" t="str"/>
      <x:c r="L708" s="26" t="str">
        <x:v>event</x:v>
      </x:c>
      <x:c r="M708" s="26" t="str">
        <x:v>Translate directly</x:v>
      </x:c>
      <x:c r="N708" s="26" t="str">
        <x:v>Production-ready</x:v>
      </x:c>
      <x:c r="O708" s="43" t="n">
        <x:v>0.99</x:v>
      </x:c>
      <x:c r="P708" s="26" t="str">
        <x:v>Use for card type/supertype/subtype intent, not for art or rules-text mentions.</x:v>
      </x:c>
      <x:c r="Q708" s="26" t="str">
        <x:v>https://scryfall.com/docs/syntax</x:v>
      </x:c>
      <x:c r="R708" s="26" t="str">
        <x:v>2026-08-21</x:v>
      </x:c>
    </x:row>
    <x:row r="709">
      <x:c r="A709" s="26" t="str">
        <x:v>CardTypes!A11:B11</x:v>
      </x:c>
      <x:c r="B709" s="26" t="str">
        <x:v>Card Type</x:v>
      </x:c>
      <x:c r="C709" s="26" t="str">
        <x:v>Hero</x:v>
      </x:c>
      <x:c r="D709" s="26" t="str">
        <x:v>Card-type taxonomy</x:v>
      </x:c>
      <x:c r="E709" s="26"/>
      <x:c r="F709" s="26" t="str">
        <x:v>t:"Hero"</x:v>
      </x:c>
      <x:c r="G709" s="26" t="str">
        <x:v>High</x:v>
      </x:c>
      <x:c r="H709" s="26" t="str">
        <x:v>Native taxonomy</x:v>
      </x:c>
      <x:c r="I709" s="26" t="str">
        <x:v>type:</x:v>
      </x:c>
      <x:c r="J709" s="26" t="str">
        <x:v>t:"Hero"</x:v>
      </x:c>
      <x:c r="K709" s="26" t="str"/>
      <x:c r="L709" s="26" t="str">
        <x:v>hero</x:v>
      </x:c>
      <x:c r="M709" s="26" t="str">
        <x:v>Translate directly</x:v>
      </x:c>
      <x:c r="N709" s="26" t="str">
        <x:v>Production-ready</x:v>
      </x:c>
      <x:c r="O709" s="43" t="n">
        <x:v>0.99</x:v>
      </x:c>
      <x:c r="P709" s="26" t="str">
        <x:v>Use for card type/supertype/subtype intent, not for art or rules-text mentions.</x:v>
      </x:c>
      <x:c r="Q709" s="26" t="str">
        <x:v>https://scryfall.com/docs/syntax</x:v>
      </x:c>
      <x:c r="R709" s="26" t="str">
        <x:v>2026-08-21</x:v>
      </x:c>
    </x:row>
    <x:row r="710">
      <x:c r="A710" s="26" t="str">
        <x:v>CardTypes!A12:B12</x:v>
      </x:c>
      <x:c r="B710" s="26" t="str">
        <x:v>Card Type</x:v>
      </x:c>
      <x:c r="C710" s="26" t="str">
        <x:v>Instant</x:v>
      </x:c>
      <x:c r="D710" s="26" t="str">
        <x:v>Card-type taxonomy</x:v>
      </x:c>
      <x:c r="E710" s="26"/>
      <x:c r="F710" s="26" t="str">
        <x:v>t:"Instant"</x:v>
      </x:c>
      <x:c r="G710" s="26" t="str">
        <x:v>High</x:v>
      </x:c>
      <x:c r="H710" s="26" t="str">
        <x:v>Native taxonomy</x:v>
      </x:c>
      <x:c r="I710" s="26" t="str">
        <x:v>type:</x:v>
      </x:c>
      <x:c r="J710" s="26" t="str">
        <x:v>t:"Instant"</x:v>
      </x:c>
      <x:c r="K710" s="26" t="str"/>
      <x:c r="L710" s="26" t="str">
        <x:v>instant</x:v>
      </x:c>
      <x:c r="M710" s="26" t="str">
        <x:v>Translate directly</x:v>
      </x:c>
      <x:c r="N710" s="26" t="str">
        <x:v>Production-ready</x:v>
      </x:c>
      <x:c r="O710" s="43" t="n">
        <x:v>0.99</x:v>
      </x:c>
      <x:c r="P710" s="26" t="str">
        <x:v>Use for card type/supertype/subtype intent, not for art or rules-text mentions.</x:v>
      </x:c>
      <x:c r="Q710" s="26" t="str">
        <x:v>https://scryfall.com/docs/syntax</x:v>
      </x:c>
      <x:c r="R710" s="26" t="str">
        <x:v>2026-08-21</x:v>
      </x:c>
    </x:row>
    <x:row r="711">
      <x:c r="A711" s="26" t="str">
        <x:v>CardTypes!A13:B13</x:v>
      </x:c>
      <x:c r="B711" s="26" t="str">
        <x:v>Card Type</x:v>
      </x:c>
      <x:c r="C711" s="26" t="str">
        <x:v>Kindred</x:v>
      </x:c>
      <x:c r="D711" s="26" t="str">
        <x:v>Card-type taxonomy</x:v>
      </x:c>
      <x:c r="E711" s="26"/>
      <x:c r="F711" s="26" t="str">
        <x:v>t:"Kindred"</x:v>
      </x:c>
      <x:c r="G711" s="26" t="str">
        <x:v>High</x:v>
      </x:c>
      <x:c r="H711" s="26" t="str">
        <x:v>Native taxonomy</x:v>
      </x:c>
      <x:c r="I711" s="26" t="str">
        <x:v>type:</x:v>
      </x:c>
      <x:c r="J711" s="26" t="str">
        <x:v>t:"Kindred"</x:v>
      </x:c>
      <x:c r="K711" s="26" t="str"/>
      <x:c r="L711" s="26" t="str">
        <x:v>kindred</x:v>
      </x:c>
      <x:c r="M711" s="26" t="str">
        <x:v>Translate directly</x:v>
      </x:c>
      <x:c r="N711" s="26" t="str">
        <x:v>Production-ready</x:v>
      </x:c>
      <x:c r="O711" s="43" t="n">
        <x:v>0.99</x:v>
      </x:c>
      <x:c r="P711" s="26" t="str">
        <x:v>Use for card type/supertype/subtype intent, not for art or rules-text mentions.</x:v>
      </x:c>
      <x:c r="Q711" s="26" t="str">
        <x:v>https://scryfall.com/docs/syntax</x:v>
      </x:c>
      <x:c r="R711" s="26" t="str">
        <x:v>2026-08-21</x:v>
      </x:c>
    </x:row>
    <x:row r="712">
      <x:c r="A712" s="26" t="str">
        <x:v>CardTypes!A14:B14</x:v>
      </x:c>
      <x:c r="B712" s="26" t="str">
        <x:v>Card Type</x:v>
      </x:c>
      <x:c r="C712" s="26" t="str">
        <x:v>Land</x:v>
      </x:c>
      <x:c r="D712" s="26" t="str">
        <x:v>Card-type taxonomy</x:v>
      </x:c>
      <x:c r="E712" s="26"/>
      <x:c r="F712" s="26" t="str">
        <x:v>t:"Land"</x:v>
      </x:c>
      <x:c r="G712" s="26" t="str">
        <x:v>High</x:v>
      </x:c>
      <x:c r="H712" s="26" t="str">
        <x:v>Native taxonomy</x:v>
      </x:c>
      <x:c r="I712" s="26" t="str">
        <x:v>type:</x:v>
      </x:c>
      <x:c r="J712" s="26" t="str">
        <x:v>t:"Land"</x:v>
      </x:c>
      <x:c r="K712" s="26" t="str"/>
      <x:c r="L712" s="26" t="str">
        <x:v>land</x:v>
      </x:c>
      <x:c r="M712" s="26" t="str">
        <x:v>Translate directly</x:v>
      </x:c>
      <x:c r="N712" s="26" t="str">
        <x:v>Production-ready</x:v>
      </x:c>
      <x:c r="O712" s="43" t="n">
        <x:v>0.99</x:v>
      </x:c>
      <x:c r="P712" s="26" t="str">
        <x:v>Use for card type/supertype/subtype intent, not for art or rules-text mentions.</x:v>
      </x:c>
      <x:c r="Q712" s="26" t="str">
        <x:v>https://scryfall.com/docs/syntax</x:v>
      </x:c>
      <x:c r="R712" s="26" t="str">
        <x:v>2026-08-21</x:v>
      </x:c>
    </x:row>
    <x:row r="713">
      <x:c r="A713" s="26" t="str">
        <x:v>CardTypes!A15:B15</x:v>
      </x:c>
      <x:c r="B713" s="26" t="str">
        <x:v>Card Type</x:v>
      </x:c>
      <x:c r="C713" s="26" t="str">
        <x:v>Phenomenon</x:v>
      </x:c>
      <x:c r="D713" s="26" t="str">
        <x:v>Card-type taxonomy</x:v>
      </x:c>
      <x:c r="E713" s="26"/>
      <x:c r="F713" s="26" t="str">
        <x:v>t:"Phenomenon"</x:v>
      </x:c>
      <x:c r="G713" s="26" t="str">
        <x:v>High</x:v>
      </x:c>
      <x:c r="H713" s="26" t="str">
        <x:v>Native taxonomy</x:v>
      </x:c>
      <x:c r="I713" s="26" t="str">
        <x:v>type:</x:v>
      </x:c>
      <x:c r="J713" s="26" t="str">
        <x:v>t:"Phenomenon"</x:v>
      </x:c>
      <x:c r="K713" s="26" t="str"/>
      <x:c r="L713" s="26" t="str">
        <x:v>phenomenon</x:v>
      </x:c>
      <x:c r="M713" s="26" t="str">
        <x:v>Translate directly</x:v>
      </x:c>
      <x:c r="N713" s="26" t="str">
        <x:v>Production-ready</x:v>
      </x:c>
      <x:c r="O713" s="43" t="n">
        <x:v>0.99</x:v>
      </x:c>
      <x:c r="P713" s="26" t="str">
        <x:v>Use for card type/supertype/subtype intent, not for art or rules-text mentions.</x:v>
      </x:c>
      <x:c r="Q713" s="26" t="str">
        <x:v>https://scryfall.com/docs/syntax</x:v>
      </x:c>
      <x:c r="R713" s="26" t="str">
        <x:v>2026-08-21</x:v>
      </x:c>
    </x:row>
    <x:row r="714">
      <x:c r="A714" s="26" t="str">
        <x:v>CardTypes!A16:B16</x:v>
      </x:c>
      <x:c r="B714" s="26" t="str">
        <x:v>Card Type</x:v>
      </x:c>
      <x:c r="C714" s="26" t="str">
        <x:v>Plane</x:v>
      </x:c>
      <x:c r="D714" s="26" t="str">
        <x:v>Card-type taxonomy</x:v>
      </x:c>
      <x:c r="E714" s="26"/>
      <x:c r="F714" s="26" t="str">
        <x:v>t:"Plane"</x:v>
      </x:c>
      <x:c r="G714" s="26" t="str">
        <x:v>High</x:v>
      </x:c>
      <x:c r="H714" s="26" t="str">
        <x:v>Native taxonomy</x:v>
      </x:c>
      <x:c r="I714" s="26" t="str">
        <x:v>type:</x:v>
      </x:c>
      <x:c r="J714" s="26" t="str">
        <x:v>t:"Plane"</x:v>
      </x:c>
      <x:c r="K714" s="26" t="str"/>
      <x:c r="L714" s="26" t="str">
        <x:v>plane</x:v>
      </x:c>
      <x:c r="M714" s="26" t="str">
        <x:v>Translate directly</x:v>
      </x:c>
      <x:c r="N714" s="26" t="str">
        <x:v>Production-ready</x:v>
      </x:c>
      <x:c r="O714" s="43" t="n">
        <x:v>0.99</x:v>
      </x:c>
      <x:c r="P714" s="26" t="str">
        <x:v>Use for card type/supertype/subtype intent, not for art or rules-text mentions.</x:v>
      </x:c>
      <x:c r="Q714" s="26" t="str">
        <x:v>https://scryfall.com/docs/syntax</x:v>
      </x:c>
      <x:c r="R714" s="26" t="str">
        <x:v>2026-08-21</x:v>
      </x:c>
    </x:row>
    <x:row r="715">
      <x:c r="A715" s="26" t="str">
        <x:v>CardTypes!A17:B17</x:v>
      </x:c>
      <x:c r="B715" s="26" t="str">
        <x:v>Card Type</x:v>
      </x:c>
      <x:c r="C715" s="26" t="str">
        <x:v>Planeswalker</x:v>
      </x:c>
      <x:c r="D715" s="26" t="str">
        <x:v>Card-type taxonomy</x:v>
      </x:c>
      <x:c r="E715" s="26"/>
      <x:c r="F715" s="26" t="str">
        <x:v>t:"Planeswalker"</x:v>
      </x:c>
      <x:c r="G715" s="26" t="str">
        <x:v>High</x:v>
      </x:c>
      <x:c r="H715" s="26" t="str">
        <x:v>Native taxonomy</x:v>
      </x:c>
      <x:c r="I715" s="26" t="str">
        <x:v>type:</x:v>
      </x:c>
      <x:c r="J715" s="26" t="str">
        <x:v>t:"Planeswalker"</x:v>
      </x:c>
      <x:c r="K715" s="26" t="str"/>
      <x:c r="L715" s="26" t="str">
        <x:v>planeswalker</x:v>
      </x:c>
      <x:c r="M715" s="26" t="str">
        <x:v>Translate directly</x:v>
      </x:c>
      <x:c r="N715" s="26" t="str">
        <x:v>Production-ready</x:v>
      </x:c>
      <x:c r="O715" s="43" t="n">
        <x:v>0.99</x:v>
      </x:c>
      <x:c r="P715" s="26" t="str">
        <x:v>Use for card type/supertype/subtype intent, not for art or rules-text mentions.</x:v>
      </x:c>
      <x:c r="Q715" s="26" t="str">
        <x:v>https://scryfall.com/docs/syntax</x:v>
      </x:c>
      <x:c r="R715" s="26" t="str">
        <x:v>2026-08-21</x:v>
      </x:c>
    </x:row>
    <x:row r="716">
      <x:c r="A716" s="26" t="str">
        <x:v>CardTypes!A18:B18</x:v>
      </x:c>
      <x:c r="B716" s="26" t="str">
        <x:v>Card Type</x:v>
      </x:c>
      <x:c r="C716" s="26" t="str">
        <x:v>Scheme</x:v>
      </x:c>
      <x:c r="D716" s="26" t="str">
        <x:v>Card-type taxonomy</x:v>
      </x:c>
      <x:c r="E716" s="26"/>
      <x:c r="F716" s="26" t="str">
        <x:v>t:"Scheme"</x:v>
      </x:c>
      <x:c r="G716" s="26" t="str">
        <x:v>High</x:v>
      </x:c>
      <x:c r="H716" s="26" t="str">
        <x:v>Native taxonomy</x:v>
      </x:c>
      <x:c r="I716" s="26" t="str">
        <x:v>type:</x:v>
      </x:c>
      <x:c r="J716" s="26" t="str">
        <x:v>t:"Scheme"</x:v>
      </x:c>
      <x:c r="K716" s="26" t="str"/>
      <x:c r="L716" s="26" t="str">
        <x:v>scheme</x:v>
      </x:c>
      <x:c r="M716" s="26" t="str">
        <x:v>Translate directly</x:v>
      </x:c>
      <x:c r="N716" s="26" t="str">
        <x:v>Production-ready</x:v>
      </x:c>
      <x:c r="O716" s="43" t="n">
        <x:v>0.99</x:v>
      </x:c>
      <x:c r="P716" s="26" t="str">
        <x:v>Use for card type/supertype/subtype intent, not for art or rules-text mentions.</x:v>
      </x:c>
      <x:c r="Q716" s="26" t="str">
        <x:v>https://scryfall.com/docs/syntax</x:v>
      </x:c>
      <x:c r="R716" s="26" t="str">
        <x:v>2026-08-21</x:v>
      </x:c>
    </x:row>
    <x:row r="717">
      <x:c r="A717" s="26" t="str">
        <x:v>CardTypes!A19:B19</x:v>
      </x:c>
      <x:c r="B717" s="26" t="str">
        <x:v>Card Type</x:v>
      </x:c>
      <x:c r="C717" s="26" t="str">
        <x:v>Sorcery</x:v>
      </x:c>
      <x:c r="D717" s="26" t="str">
        <x:v>Card-type taxonomy</x:v>
      </x:c>
      <x:c r="E717" s="26"/>
      <x:c r="F717" s="26" t="str">
        <x:v>t:"Sorcery"</x:v>
      </x:c>
      <x:c r="G717" s="26" t="str">
        <x:v>High</x:v>
      </x:c>
      <x:c r="H717" s="26" t="str">
        <x:v>Native taxonomy</x:v>
      </x:c>
      <x:c r="I717" s="26" t="str">
        <x:v>type:</x:v>
      </x:c>
      <x:c r="J717" s="26" t="str">
        <x:v>t:"Sorcery"</x:v>
      </x:c>
      <x:c r="K717" s="26" t="str"/>
      <x:c r="L717" s="26" t="str">
        <x:v>sorcery</x:v>
      </x:c>
      <x:c r="M717" s="26" t="str">
        <x:v>Translate directly</x:v>
      </x:c>
      <x:c r="N717" s="26" t="str">
        <x:v>Production-ready</x:v>
      </x:c>
      <x:c r="O717" s="43" t="n">
        <x:v>0.99</x:v>
      </x:c>
      <x:c r="P717" s="26" t="str">
        <x:v>Use for card type/supertype/subtype intent, not for art or rules-text mentions.</x:v>
      </x:c>
      <x:c r="Q717" s="26" t="str">
        <x:v>https://scryfall.com/docs/syntax</x:v>
      </x:c>
      <x:c r="R717" s="26" t="str">
        <x:v>2026-08-21</x:v>
      </x:c>
    </x:row>
    <x:row r="718">
      <x:c r="A718" s="26" t="str">
        <x:v>CardTypes!A20:B20</x:v>
      </x:c>
      <x:c r="B718" s="26" t="str">
        <x:v>Card Type</x:v>
      </x:c>
      <x:c r="C718" s="26" t="str">
        <x:v>Vanguard</x:v>
      </x:c>
      <x:c r="D718" s="26" t="str">
        <x:v>Card-type taxonomy</x:v>
      </x:c>
      <x:c r="E718" s="26"/>
      <x:c r="F718" s="26" t="str">
        <x:v>t:"Vanguard"</x:v>
      </x:c>
      <x:c r="G718" s="26" t="str">
        <x:v>High</x:v>
      </x:c>
      <x:c r="H718" s="26" t="str">
        <x:v>Native taxonomy</x:v>
      </x:c>
      <x:c r="I718" s="26" t="str">
        <x:v>type:</x:v>
      </x:c>
      <x:c r="J718" s="26" t="str">
        <x:v>t:"Vanguard"</x:v>
      </x:c>
      <x:c r="K718" s="26" t="str"/>
      <x:c r="L718" s="26" t="str">
        <x:v>vanguard</x:v>
      </x:c>
      <x:c r="M718" s="26" t="str">
        <x:v>Translate directly</x:v>
      </x:c>
      <x:c r="N718" s="26" t="str">
        <x:v>Production-ready</x:v>
      </x:c>
      <x:c r="O718" s="43" t="n">
        <x:v>0.99</x:v>
      </x:c>
      <x:c r="P718" s="26" t="str">
        <x:v>Use for card type/supertype/subtype intent, not for art or rules-text mentions.</x:v>
      </x:c>
      <x:c r="Q718" s="26" t="str">
        <x:v>https://scryfall.com/docs/syntax</x:v>
      </x:c>
      <x:c r="R718" s="26" t="str">
        <x:v>2026-08-21</x:v>
      </x:c>
    </x:row>
    <x:row r="719">
      <x:c r="A719" s="26" t="str">
        <x:v>CardTypes!A21:B21</x:v>
      </x:c>
      <x:c r="B719" s="26" t="str">
        <x:v>Supertype</x:v>
      </x:c>
      <x:c r="C719" s="26" t="str">
        <x:v>Basic</x:v>
      </x:c>
      <x:c r="D719" s="26" t="str">
        <x:v>Card-type taxonomy</x:v>
      </x:c>
      <x:c r="E719" s="26"/>
      <x:c r="F719" s="26" t="str">
        <x:v>t:"Basic"</x:v>
      </x:c>
      <x:c r="G719" s="26" t="str">
        <x:v>High</x:v>
      </x:c>
      <x:c r="H719" s="26" t="str">
        <x:v>Native taxonomy</x:v>
      </x:c>
      <x:c r="I719" s="26" t="str">
        <x:v>type:</x:v>
      </x:c>
      <x:c r="J719" s="26" t="str">
        <x:v>t:"Basic"</x:v>
      </x:c>
      <x:c r="K719" s="26" t="str"/>
      <x:c r="L719" s="26" t="str">
        <x:v>basic</x:v>
      </x:c>
      <x:c r="M719" s="26" t="str">
        <x:v>Translate directly</x:v>
      </x:c>
      <x:c r="N719" s="26" t="str">
        <x:v>Production-ready</x:v>
      </x:c>
      <x:c r="O719" s="43" t="n">
        <x:v>0.99</x:v>
      </x:c>
      <x:c r="P719" s="26" t="str">
        <x:v>Use for card type/supertype/subtype intent, not for art or rules-text mentions.</x:v>
      </x:c>
      <x:c r="Q719" s="26" t="str">
        <x:v>https://scryfall.com/docs/syntax</x:v>
      </x:c>
      <x:c r="R719" s="26" t="str">
        <x:v>2026-08-21</x:v>
      </x:c>
    </x:row>
    <x:row r="720">
      <x:c r="A720" s="26" t="str">
        <x:v>CardTypes!A22:B22</x:v>
      </x:c>
      <x:c r="B720" s="26" t="str">
        <x:v>Supertype</x:v>
      </x:c>
      <x:c r="C720" s="26" t="str">
        <x:v>Elite</x:v>
      </x:c>
      <x:c r="D720" s="26" t="str">
        <x:v>Card-type taxonomy</x:v>
      </x:c>
      <x:c r="E720" s="26"/>
      <x:c r="F720" s="26" t="str">
        <x:v>t:"Elite"</x:v>
      </x:c>
      <x:c r="G720" s="26" t="str">
        <x:v>High</x:v>
      </x:c>
      <x:c r="H720" s="26" t="str">
        <x:v>Native taxonomy</x:v>
      </x:c>
      <x:c r="I720" s="26" t="str">
        <x:v>type:</x:v>
      </x:c>
      <x:c r="J720" s="26" t="str">
        <x:v>t:"Elite"</x:v>
      </x:c>
      <x:c r="K720" s="26" t="str"/>
      <x:c r="L720" s="26" t="str">
        <x:v>elite</x:v>
      </x:c>
      <x:c r="M720" s="26" t="str">
        <x:v>Translate directly</x:v>
      </x:c>
      <x:c r="N720" s="26" t="str">
        <x:v>Production-ready</x:v>
      </x:c>
      <x:c r="O720" s="43" t="n">
        <x:v>0.99</x:v>
      </x:c>
      <x:c r="P720" s="26" t="str">
        <x:v>Use for card type/supertype/subtype intent, not for art or rules-text mentions.</x:v>
      </x:c>
      <x:c r="Q720" s="26" t="str">
        <x:v>https://scryfall.com/docs/syntax</x:v>
      </x:c>
      <x:c r="R720" s="26" t="str">
        <x:v>2026-08-21</x:v>
      </x:c>
    </x:row>
    <x:row r="721">
      <x:c r="A721" s="26" t="str">
        <x:v>CardTypes!A23:B23</x:v>
      </x:c>
      <x:c r="B721" s="26" t="str">
        <x:v>Supertype</x:v>
      </x:c>
      <x:c r="C721" s="26" t="str">
        <x:v>Legendary</x:v>
      </x:c>
      <x:c r="D721" s="26" t="str">
        <x:v>Card-type taxonomy</x:v>
      </x:c>
      <x:c r="E721" s="26"/>
      <x:c r="F721" s="26" t="str">
        <x:v>t:"Legendary"</x:v>
      </x:c>
      <x:c r="G721" s="26" t="str">
        <x:v>High</x:v>
      </x:c>
      <x:c r="H721" s="26" t="str">
        <x:v>Native taxonomy</x:v>
      </x:c>
      <x:c r="I721" s="26" t="str">
        <x:v>type:</x:v>
      </x:c>
      <x:c r="J721" s="26" t="str">
        <x:v>t:"Legendary"</x:v>
      </x:c>
      <x:c r="K721" s="26" t="str"/>
      <x:c r="L721" s="26" t="str">
        <x:v>legendary</x:v>
      </x:c>
      <x:c r="M721" s="26" t="str">
        <x:v>Translate directly</x:v>
      </x:c>
      <x:c r="N721" s="26" t="str">
        <x:v>Production-ready</x:v>
      </x:c>
      <x:c r="O721" s="43" t="n">
        <x:v>0.99</x:v>
      </x:c>
      <x:c r="P721" s="26" t="str">
        <x:v>Use for card type/supertype/subtype intent, not for art or rules-text mentions.</x:v>
      </x:c>
      <x:c r="Q721" s="26" t="str">
        <x:v>https://scryfall.com/docs/syntax</x:v>
      </x:c>
      <x:c r="R721" s="26" t="str">
        <x:v>2026-08-21</x:v>
      </x:c>
    </x:row>
    <x:row r="722">
      <x:c r="A722" s="26" t="str">
        <x:v>CardTypes!A24:B24</x:v>
      </x:c>
      <x:c r="B722" s="26" t="str">
        <x:v>Supertype</x:v>
      </x:c>
      <x:c r="C722" s="26" t="str">
        <x:v>Ongoing</x:v>
      </x:c>
      <x:c r="D722" s="26" t="str">
        <x:v>Card-type taxonomy</x:v>
      </x:c>
      <x:c r="E722" s="26"/>
      <x:c r="F722" s="26" t="str">
        <x:v>t:"Ongoing"</x:v>
      </x:c>
      <x:c r="G722" s="26" t="str">
        <x:v>High</x:v>
      </x:c>
      <x:c r="H722" s="26" t="str">
        <x:v>Native taxonomy</x:v>
      </x:c>
      <x:c r="I722" s="26" t="str">
        <x:v>type:</x:v>
      </x:c>
      <x:c r="J722" s="26" t="str">
        <x:v>t:"Ongoing"</x:v>
      </x:c>
      <x:c r="K722" s="26" t="str"/>
      <x:c r="L722" s="26" t="str">
        <x:v>ongoing</x:v>
      </x:c>
      <x:c r="M722" s="26" t="str">
        <x:v>Translate directly</x:v>
      </x:c>
      <x:c r="N722" s="26" t="str">
        <x:v>Production-ready</x:v>
      </x:c>
      <x:c r="O722" s="43" t="n">
        <x:v>0.99</x:v>
      </x:c>
      <x:c r="P722" s="26" t="str">
        <x:v>Use for card type/supertype/subtype intent, not for art or rules-text mentions.</x:v>
      </x:c>
      <x:c r="Q722" s="26" t="str">
        <x:v>https://scryfall.com/docs/syntax</x:v>
      </x:c>
      <x:c r="R722" s="26" t="str">
        <x:v>2026-08-21</x:v>
      </x:c>
    </x:row>
    <x:row r="723">
      <x:c r="A723" s="26" t="str">
        <x:v>CardTypes!A25:B25</x:v>
      </x:c>
      <x:c r="B723" s="26" t="str">
        <x:v>Supertype</x:v>
      </x:c>
      <x:c r="C723" s="26" t="str">
        <x:v>Snow</x:v>
      </x:c>
      <x:c r="D723" s="26" t="str">
        <x:v>Card-type taxonomy</x:v>
      </x:c>
      <x:c r="E723" s="26"/>
      <x:c r="F723" s="26" t="str">
        <x:v>t:"Snow"</x:v>
      </x:c>
      <x:c r="G723" s="26" t="str">
        <x:v>High</x:v>
      </x:c>
      <x:c r="H723" s="26" t="str">
        <x:v>Native taxonomy</x:v>
      </x:c>
      <x:c r="I723" s="26" t="str">
        <x:v>type:</x:v>
      </x:c>
      <x:c r="J723" s="26" t="str">
        <x:v>t:"Snow"</x:v>
      </x:c>
      <x:c r="K723" s="26" t="str"/>
      <x:c r="L723" s="26" t="str">
        <x:v>snow</x:v>
      </x:c>
      <x:c r="M723" s="26" t="str">
        <x:v>Translate directly</x:v>
      </x:c>
      <x:c r="N723" s="26" t="str">
        <x:v>Production-ready</x:v>
      </x:c>
      <x:c r="O723" s="43" t="n">
        <x:v>0.99</x:v>
      </x:c>
      <x:c r="P723" s="26" t="str">
        <x:v>Use for card type/supertype/subtype intent, not for art or rules-text mentions.</x:v>
      </x:c>
      <x:c r="Q723" s="26" t="str">
        <x:v>https://scryfall.com/docs/syntax</x:v>
      </x:c>
      <x:c r="R723" s="26" t="str">
        <x:v>2026-08-21</x:v>
      </x:c>
    </x:row>
    <x:row r="724">
      <x:c r="A724" s="26" t="str">
        <x:v>CardTypes!A26:B26</x:v>
      </x:c>
      <x:c r="B724" s="26" t="str">
        <x:v>Supertype</x:v>
      </x:c>
      <x:c r="C724" s="26" t="str">
        <x:v>Token</x:v>
      </x:c>
      <x:c r="D724" s="26" t="str">
        <x:v>Card-type taxonomy</x:v>
      </x:c>
      <x:c r="E724" s="26"/>
      <x:c r="F724" s="26" t="str">
        <x:v>t:"Token"</x:v>
      </x:c>
      <x:c r="G724" s="26" t="str">
        <x:v>High</x:v>
      </x:c>
      <x:c r="H724" s="26" t="str">
        <x:v>Native taxonomy</x:v>
      </x:c>
      <x:c r="I724" s="26" t="str">
        <x:v>type:</x:v>
      </x:c>
      <x:c r="J724" s="26" t="str">
        <x:v>t:"Token"</x:v>
      </x:c>
      <x:c r="K724" s="26" t="str"/>
      <x:c r="L724" s="26" t="str">
        <x:v>token</x:v>
      </x:c>
      <x:c r="M724" s="26" t="str">
        <x:v>Translate directly</x:v>
      </x:c>
      <x:c r="N724" s="26" t="str">
        <x:v>Production-ready</x:v>
      </x:c>
      <x:c r="O724" s="43" t="n">
        <x:v>0.99</x:v>
      </x:c>
      <x:c r="P724" s="26" t="str">
        <x:v>Use for card type/supertype/subtype intent, not for art or rules-text mentions.</x:v>
      </x:c>
      <x:c r="Q724" s="26" t="str">
        <x:v>https://scryfall.com/docs/syntax</x:v>
      </x:c>
      <x:c r="R724" s="26" t="str">
        <x:v>2026-08-21</x:v>
      </x:c>
    </x:row>
    <x:row r="725">
      <x:c r="A725" s="26" t="str">
        <x:v>CardTypes!A27:B27</x:v>
      </x:c>
      <x:c r="B725" s="26" t="str">
        <x:v>Supertype</x:v>
      </x:c>
      <x:c r="C725" s="26" t="str">
        <x:v>World</x:v>
      </x:c>
      <x:c r="D725" s="26" t="str">
        <x:v>Card-type taxonomy</x:v>
      </x:c>
      <x:c r="E725" s="26"/>
      <x:c r="F725" s="26" t="str">
        <x:v>t:"World"</x:v>
      </x:c>
      <x:c r="G725" s="26" t="str">
        <x:v>High</x:v>
      </x:c>
      <x:c r="H725" s="26" t="str">
        <x:v>Native taxonomy</x:v>
      </x:c>
      <x:c r="I725" s="26" t="str">
        <x:v>type:</x:v>
      </x:c>
      <x:c r="J725" s="26" t="str">
        <x:v>t:"World"</x:v>
      </x:c>
      <x:c r="K725" s="26" t="str"/>
      <x:c r="L725" s="26" t="str">
        <x:v>world</x:v>
      </x:c>
      <x:c r="M725" s="26" t="str">
        <x:v>Translate directly</x:v>
      </x:c>
      <x:c r="N725" s="26" t="str">
        <x:v>Production-ready</x:v>
      </x:c>
      <x:c r="O725" s="43" t="n">
        <x:v>0.99</x:v>
      </x:c>
      <x:c r="P725" s="26" t="str">
        <x:v>Use for card type/supertype/subtype intent, not for art or rules-text mentions.</x:v>
      </x:c>
      <x:c r="Q725" s="26" t="str">
        <x:v>https://scryfall.com/docs/syntax</x:v>
      </x:c>
      <x:c r="R725" s="26" t="str">
        <x:v>2026-08-21</x:v>
      </x:c>
    </x:row>
    <x:row r="726">
      <x:c r="A726" s="26" t="str">
        <x:v>CardTypes!A28:B28</x:v>
      </x:c>
      <x:c r="B726" s="26" t="str">
        <x:v>Artifact Type</x:v>
      </x:c>
      <x:c r="C726" s="26" t="str">
        <x:v>Attraction</x:v>
      </x:c>
      <x:c r="D726" s="26" t="str">
        <x:v>Card-type taxonomy</x:v>
      </x:c>
      <x:c r="E726" s="26"/>
      <x:c r="F726" s="26" t="str">
        <x:v>t:"Attraction"</x:v>
      </x:c>
      <x:c r="G726" s="26" t="str">
        <x:v>High</x:v>
      </x:c>
      <x:c r="H726" s="26" t="str">
        <x:v>Native taxonomy</x:v>
      </x:c>
      <x:c r="I726" s="26" t="str">
        <x:v>type:</x:v>
      </x:c>
      <x:c r="J726" s="26" t="str">
        <x:v>t:"Attraction"</x:v>
      </x:c>
      <x:c r="K726" s="26" t="str"/>
      <x:c r="L726" s="26" t="str">
        <x:v>attraction</x:v>
      </x:c>
      <x:c r="M726" s="26" t="str">
        <x:v>Translate directly</x:v>
      </x:c>
      <x:c r="N726" s="26" t="str">
        <x:v>Production-ready</x:v>
      </x:c>
      <x:c r="O726" s="43" t="n">
        <x:v>0.99</x:v>
      </x:c>
      <x:c r="P726" s="26" t="str">
        <x:v>Use for card type/supertype/subtype intent, not for art or rules-text mentions.</x:v>
      </x:c>
      <x:c r="Q726" s="26" t="str">
        <x:v>https://scryfall.com/docs/syntax</x:v>
      </x:c>
      <x:c r="R726" s="26" t="str">
        <x:v>2026-08-21</x:v>
      </x:c>
    </x:row>
    <x:row r="727">
      <x:c r="A727" s="26" t="str">
        <x:v>CardTypes!A29:B29</x:v>
      </x:c>
      <x:c r="B727" s="26" t="str">
        <x:v>Artifact Type</x:v>
      </x:c>
      <x:c r="C727" s="26" t="str">
        <x:v>Blood</x:v>
      </x:c>
      <x:c r="D727" s="26" t="str">
        <x:v>Card-type taxonomy</x:v>
      </x:c>
      <x:c r="E727" s="26"/>
      <x:c r="F727" s="26" t="str">
        <x:v>t:"Blood"</x:v>
      </x:c>
      <x:c r="G727" s="26" t="str">
        <x:v>High</x:v>
      </x:c>
      <x:c r="H727" s="26" t="str">
        <x:v>Native taxonomy</x:v>
      </x:c>
      <x:c r="I727" s="26" t="str">
        <x:v>type:</x:v>
      </x:c>
      <x:c r="J727" s="26" t="str">
        <x:v>t:"Blood"</x:v>
      </x:c>
      <x:c r="K727" s="26" t="str"/>
      <x:c r="L727" s="26" t="str">
        <x:v>blood</x:v>
      </x:c>
      <x:c r="M727" s="26" t="str">
        <x:v>Translate directly</x:v>
      </x:c>
      <x:c r="N727" s="26" t="str">
        <x:v>Production-ready</x:v>
      </x:c>
      <x:c r="O727" s="43" t="n">
        <x:v>0.99</x:v>
      </x:c>
      <x:c r="P727" s="26" t="str">
        <x:v>Use for card type/supertype/subtype intent, not for art or rules-text mentions.</x:v>
      </x:c>
      <x:c r="Q727" s="26" t="str">
        <x:v>https://scryfall.com/docs/syntax</x:v>
      </x:c>
      <x:c r="R727" s="26" t="str">
        <x:v>2026-08-21</x:v>
      </x:c>
    </x:row>
    <x:row r="728">
      <x:c r="A728" s="26" t="str">
        <x:v>CardTypes!A30:B30</x:v>
      </x:c>
      <x:c r="B728" s="26" t="str">
        <x:v>Artifact Type</x:v>
      </x:c>
      <x:c r="C728" s="26" t="str">
        <x:v>Bobblehead</x:v>
      </x:c>
      <x:c r="D728" s="26" t="str">
        <x:v>Card-type taxonomy</x:v>
      </x:c>
      <x:c r="E728" s="26"/>
      <x:c r="F728" s="26" t="str">
        <x:v>t:"Bobblehead"</x:v>
      </x:c>
      <x:c r="G728" s="26" t="str">
        <x:v>High</x:v>
      </x:c>
      <x:c r="H728" s="26" t="str">
        <x:v>Native taxonomy</x:v>
      </x:c>
      <x:c r="I728" s="26" t="str">
        <x:v>type:</x:v>
      </x:c>
      <x:c r="J728" s="26" t="str">
        <x:v>t:"Bobblehead"</x:v>
      </x:c>
      <x:c r="K728" s="26" t="str"/>
      <x:c r="L728" s="26" t="str">
        <x:v>bobblehead</x:v>
      </x:c>
      <x:c r="M728" s="26" t="str">
        <x:v>Translate directly</x:v>
      </x:c>
      <x:c r="N728" s="26" t="str">
        <x:v>Production-ready</x:v>
      </x:c>
      <x:c r="O728" s="43" t="n">
        <x:v>0.99</x:v>
      </x:c>
      <x:c r="P728" s="26" t="str">
        <x:v>Use for card type/supertype/subtype intent, not for art or rules-text mentions.</x:v>
      </x:c>
      <x:c r="Q728" s="26" t="str">
        <x:v>https://scryfall.com/docs/syntax</x:v>
      </x:c>
      <x:c r="R728" s="26" t="str">
        <x:v>2026-08-21</x:v>
      </x:c>
    </x:row>
    <x:row r="729">
      <x:c r="A729" s="26" t="str">
        <x:v>CardTypes!A31:B31</x:v>
      </x:c>
      <x:c r="B729" s="26" t="str">
        <x:v>Artifact Type</x:v>
      </x:c>
      <x:c r="C729" s="26" t="str">
        <x:v>Book</x:v>
      </x:c>
      <x:c r="D729" s="26" t="str">
        <x:v>Card-type taxonomy</x:v>
      </x:c>
      <x:c r="E729" s="26"/>
      <x:c r="F729" s="26" t="str">
        <x:v>t:"Book"</x:v>
      </x:c>
      <x:c r="G729" s="26" t="str">
        <x:v>High</x:v>
      </x:c>
      <x:c r="H729" s="26" t="str">
        <x:v>Native taxonomy</x:v>
      </x:c>
      <x:c r="I729" s="26" t="str">
        <x:v>type:</x:v>
      </x:c>
      <x:c r="J729" s="26" t="str">
        <x:v>t:"Book"</x:v>
      </x:c>
      <x:c r="K729" s="26" t="str"/>
      <x:c r="L729" s="26" t="str">
        <x:v>book</x:v>
      </x:c>
      <x:c r="M729" s="26" t="str">
        <x:v>Translate directly</x:v>
      </x:c>
      <x:c r="N729" s="26" t="str">
        <x:v>Production-ready</x:v>
      </x:c>
      <x:c r="O729" s="43" t="n">
        <x:v>0.99</x:v>
      </x:c>
      <x:c r="P729" s="26" t="str">
        <x:v>Use for card type/supertype/subtype intent, not for art or rules-text mentions.</x:v>
      </x:c>
      <x:c r="Q729" s="26" t="str">
        <x:v>https://scryfall.com/docs/syntax</x:v>
      </x:c>
      <x:c r="R729" s="26" t="str">
        <x:v>2026-08-21</x:v>
      </x:c>
    </x:row>
    <x:row r="730">
      <x:c r="A730" s="26" t="str">
        <x:v>CardTypes!A32:B32</x:v>
      </x:c>
      <x:c r="B730" s="26" t="str">
        <x:v>Artifact Type</x:v>
      </x:c>
      <x:c r="C730" s="26" t="str">
        <x:v>Clue</x:v>
      </x:c>
      <x:c r="D730" s="26" t="str">
        <x:v>Card-type taxonomy</x:v>
      </x:c>
      <x:c r="E730" s="26"/>
      <x:c r="F730" s="26" t="str">
        <x:v>t:"Clue"</x:v>
      </x:c>
      <x:c r="G730" s="26" t="str">
        <x:v>High</x:v>
      </x:c>
      <x:c r="H730" s="26" t="str">
        <x:v>Native taxonomy</x:v>
      </x:c>
      <x:c r="I730" s="26" t="str">
        <x:v>type:</x:v>
      </x:c>
      <x:c r="J730" s="26" t="str">
        <x:v>t:"Clue"</x:v>
      </x:c>
      <x:c r="K730" s="26" t="str"/>
      <x:c r="L730" s="26" t="str">
        <x:v>clue</x:v>
      </x:c>
      <x:c r="M730" s="26" t="str">
        <x:v>Translate directly</x:v>
      </x:c>
      <x:c r="N730" s="26" t="str">
        <x:v>Production-ready</x:v>
      </x:c>
      <x:c r="O730" s="43" t="n">
        <x:v>0.99</x:v>
      </x:c>
      <x:c r="P730" s="26" t="str">
        <x:v>Use for card type/supertype/subtype intent, not for art or rules-text mentions.</x:v>
      </x:c>
      <x:c r="Q730" s="26" t="str">
        <x:v>https://scryfall.com/docs/syntax</x:v>
      </x:c>
      <x:c r="R730" s="26" t="str">
        <x:v>2026-08-21</x:v>
      </x:c>
    </x:row>
    <x:row r="731">
      <x:c r="A731" s="26" t="str">
        <x:v>CardTypes!A33:B33</x:v>
      </x:c>
      <x:c r="B731" s="26" t="str">
        <x:v>Artifact Type</x:v>
      </x:c>
      <x:c r="C731" s="26" t="str">
        <x:v>Contraption</x:v>
      </x:c>
      <x:c r="D731" s="26" t="str">
        <x:v>Card-type taxonomy</x:v>
      </x:c>
      <x:c r="E731" s="26"/>
      <x:c r="F731" s="26" t="str">
        <x:v>t:"Contraption"</x:v>
      </x:c>
      <x:c r="G731" s="26" t="str">
        <x:v>High</x:v>
      </x:c>
      <x:c r="H731" s="26" t="str">
        <x:v>Native taxonomy</x:v>
      </x:c>
      <x:c r="I731" s="26" t="str">
        <x:v>type:</x:v>
      </x:c>
      <x:c r="J731" s="26" t="str">
        <x:v>t:"Contraption"</x:v>
      </x:c>
      <x:c r="K731" s="26" t="str"/>
      <x:c r="L731" s="26" t="str">
        <x:v>contraption</x:v>
      </x:c>
      <x:c r="M731" s="26" t="str">
        <x:v>Translate directly</x:v>
      </x:c>
      <x:c r="N731" s="26" t="str">
        <x:v>Production-ready</x:v>
      </x:c>
      <x:c r="O731" s="43" t="n">
        <x:v>0.99</x:v>
      </x:c>
      <x:c r="P731" s="26" t="str">
        <x:v>Use for card type/supertype/subtype intent, not for art or rules-text mentions.</x:v>
      </x:c>
      <x:c r="Q731" s="26" t="str">
        <x:v>https://scryfall.com/docs/syntax</x:v>
      </x:c>
      <x:c r="R731" s="26" t="str">
        <x:v>2026-08-21</x:v>
      </x:c>
    </x:row>
    <x:row r="732">
      <x:c r="A732" s="26" t="str">
        <x:v>CardTypes!A34:B34</x:v>
      </x:c>
      <x:c r="B732" s="26" t="str">
        <x:v>Artifact Type</x:v>
      </x:c>
      <x:c r="C732" s="26" t="str">
        <x:v>Equipment</x:v>
      </x:c>
      <x:c r="D732" s="26" t="str">
        <x:v>Card-type taxonomy</x:v>
      </x:c>
      <x:c r="E732" s="26"/>
      <x:c r="F732" s="26" t="str">
        <x:v>t:"Equipment"</x:v>
      </x:c>
      <x:c r="G732" s="26" t="str">
        <x:v>High</x:v>
      </x:c>
      <x:c r="H732" s="26" t="str">
        <x:v>Native taxonomy</x:v>
      </x:c>
      <x:c r="I732" s="26" t="str">
        <x:v>type:</x:v>
      </x:c>
      <x:c r="J732" s="26" t="str">
        <x:v>t:"Equipment"</x:v>
      </x:c>
      <x:c r="K732" s="26" t="str"/>
      <x:c r="L732" s="26" t="str">
        <x:v>equipment</x:v>
      </x:c>
      <x:c r="M732" s="26" t="str">
        <x:v>Translate directly</x:v>
      </x:c>
      <x:c r="N732" s="26" t="str">
        <x:v>Production-ready</x:v>
      </x:c>
      <x:c r="O732" s="43" t="n">
        <x:v>0.99</x:v>
      </x:c>
      <x:c r="P732" s="26" t="str">
        <x:v>Use for card type/supertype/subtype intent, not for art or rules-text mentions.</x:v>
      </x:c>
      <x:c r="Q732" s="26" t="str">
        <x:v>https://scryfall.com/docs/syntax</x:v>
      </x:c>
      <x:c r="R732" s="26" t="str">
        <x:v>2026-08-21</x:v>
      </x:c>
    </x:row>
    <x:row r="733">
      <x:c r="A733" s="26" t="str">
        <x:v>CardTypes!A35:B35</x:v>
      </x:c>
      <x:c r="B733" s="26" t="str">
        <x:v>Artifact Type</x:v>
      </x:c>
      <x:c r="C733" s="26" t="str">
        <x:v>Food</x:v>
      </x:c>
      <x:c r="D733" s="26" t="str">
        <x:v>Card-type taxonomy</x:v>
      </x:c>
      <x:c r="E733" s="26"/>
      <x:c r="F733" s="26" t="str">
        <x:v>t:"Food"</x:v>
      </x:c>
      <x:c r="G733" s="26" t="str">
        <x:v>High</x:v>
      </x:c>
      <x:c r="H733" s="26" t="str">
        <x:v>Native taxonomy</x:v>
      </x:c>
      <x:c r="I733" s="26" t="str">
        <x:v>type:</x:v>
      </x:c>
      <x:c r="J733" s="26" t="str">
        <x:v>t:"Food"</x:v>
      </x:c>
      <x:c r="K733" s="26" t="str"/>
      <x:c r="L733" s="26" t="str">
        <x:v>food</x:v>
      </x:c>
      <x:c r="M733" s="26" t="str">
        <x:v>Translate directly</x:v>
      </x:c>
      <x:c r="N733" s="26" t="str">
        <x:v>Production-ready</x:v>
      </x:c>
      <x:c r="O733" s="43" t="n">
        <x:v>0.99</x:v>
      </x:c>
      <x:c r="P733" s="26" t="str">
        <x:v>Use for card type/supertype/subtype intent, not for art or rules-text mentions.</x:v>
      </x:c>
      <x:c r="Q733" s="26" t="str">
        <x:v>https://scryfall.com/docs/syntax</x:v>
      </x:c>
      <x:c r="R733" s="26" t="str">
        <x:v>2026-08-21</x:v>
      </x:c>
    </x:row>
    <x:row r="734">
      <x:c r="A734" s="26" t="str">
        <x:v>CardTypes!A36:B36</x:v>
      </x:c>
      <x:c r="B734" s="26" t="str">
        <x:v>Artifact Type</x:v>
      </x:c>
      <x:c r="C734" s="26" t="str">
        <x:v>Fortification</x:v>
      </x:c>
      <x:c r="D734" s="26" t="str">
        <x:v>Card-type taxonomy</x:v>
      </x:c>
      <x:c r="E734" s="26"/>
      <x:c r="F734" s="26" t="str">
        <x:v>t:"Fortification"</x:v>
      </x:c>
      <x:c r="G734" s="26" t="str">
        <x:v>High</x:v>
      </x:c>
      <x:c r="H734" s="26" t="str">
        <x:v>Native taxonomy</x:v>
      </x:c>
      <x:c r="I734" s="26" t="str">
        <x:v>type:</x:v>
      </x:c>
      <x:c r="J734" s="26" t="str">
        <x:v>t:"Fortification"</x:v>
      </x:c>
      <x:c r="K734" s="26" t="str"/>
      <x:c r="L734" s="26" t="str">
        <x:v>fortification</x:v>
      </x:c>
      <x:c r="M734" s="26" t="str">
        <x:v>Translate directly</x:v>
      </x:c>
      <x:c r="N734" s="26" t="str">
        <x:v>Production-ready</x:v>
      </x:c>
      <x:c r="O734" s="43" t="n">
        <x:v>0.99</x:v>
      </x:c>
      <x:c r="P734" s="26" t="str">
        <x:v>Use for card type/supertype/subtype intent, not for art or rules-text mentions.</x:v>
      </x:c>
      <x:c r="Q734" s="26" t="str">
        <x:v>https://scryfall.com/docs/syntax</x:v>
      </x:c>
      <x:c r="R734" s="26" t="str">
        <x:v>2026-08-21</x:v>
      </x:c>
    </x:row>
    <x:row r="735">
      <x:c r="A735" s="26" t="str">
        <x:v>CardTypes!A37:B37</x:v>
      </x:c>
      <x:c r="B735" s="26" t="str">
        <x:v>Artifact Type</x:v>
      </x:c>
      <x:c r="C735" s="26" t="str">
        <x:v>Gold</x:v>
      </x:c>
      <x:c r="D735" s="26" t="str">
        <x:v>Card-type taxonomy</x:v>
      </x:c>
      <x:c r="E735" s="26"/>
      <x:c r="F735" s="26" t="str">
        <x:v>t:"Gold"</x:v>
      </x:c>
      <x:c r="G735" s="26" t="str">
        <x:v>High</x:v>
      </x:c>
      <x:c r="H735" s="26" t="str">
        <x:v>Native taxonomy</x:v>
      </x:c>
      <x:c r="I735" s="26" t="str">
        <x:v>type:</x:v>
      </x:c>
      <x:c r="J735" s="26" t="str">
        <x:v>t:"Gold"</x:v>
      </x:c>
      <x:c r="K735" s="26" t="str"/>
      <x:c r="L735" s="26" t="str">
        <x:v>gold</x:v>
      </x:c>
      <x:c r="M735" s="26" t="str">
        <x:v>Translate directly</x:v>
      </x:c>
      <x:c r="N735" s="26" t="str">
        <x:v>Production-ready</x:v>
      </x:c>
      <x:c r="O735" s="43" t="n">
        <x:v>0.99</x:v>
      </x:c>
      <x:c r="P735" s="26" t="str">
        <x:v>Use for card type/supertype/subtype intent, not for art or rules-text mentions.</x:v>
      </x:c>
      <x:c r="Q735" s="26" t="str">
        <x:v>https://scryfall.com/docs/syntax</x:v>
      </x:c>
      <x:c r="R735" s="26" t="str">
        <x:v>2026-08-21</x:v>
      </x:c>
    </x:row>
    <x:row r="736">
      <x:c r="A736" s="26" t="str">
        <x:v>CardTypes!A38:B38</x:v>
      </x:c>
      <x:c r="B736" s="26" t="str">
        <x:v>Artifact Type</x:v>
      </x:c>
      <x:c r="C736" s="26" t="str">
        <x:v>Incubator</x:v>
      </x:c>
      <x:c r="D736" s="26" t="str">
        <x:v>Card-type taxonomy</x:v>
      </x:c>
      <x:c r="E736" s="26"/>
      <x:c r="F736" s="26" t="str">
        <x:v>t:"Incubator"</x:v>
      </x:c>
      <x:c r="G736" s="26" t="str">
        <x:v>High</x:v>
      </x:c>
      <x:c r="H736" s="26" t="str">
        <x:v>Native taxonomy</x:v>
      </x:c>
      <x:c r="I736" s="26" t="str">
        <x:v>type:</x:v>
      </x:c>
      <x:c r="J736" s="26" t="str">
        <x:v>t:"Incubator"</x:v>
      </x:c>
      <x:c r="K736" s="26" t="str"/>
      <x:c r="L736" s="26" t="str">
        <x:v>incubator</x:v>
      </x:c>
      <x:c r="M736" s="26" t="str">
        <x:v>Translate directly</x:v>
      </x:c>
      <x:c r="N736" s="26" t="str">
        <x:v>Production-ready</x:v>
      </x:c>
      <x:c r="O736" s="43" t="n">
        <x:v>0.99</x:v>
      </x:c>
      <x:c r="P736" s="26" t="str">
        <x:v>Use for card type/supertype/subtype intent, not for art or rules-text mentions.</x:v>
      </x:c>
      <x:c r="Q736" s="26" t="str">
        <x:v>https://scryfall.com/docs/syntax</x:v>
      </x:c>
      <x:c r="R736" s="26" t="str">
        <x:v>2026-08-21</x:v>
      </x:c>
    </x:row>
    <x:row r="737">
      <x:c r="A737" s="26" t="str">
        <x:v>CardTypes!A39:B39</x:v>
      </x:c>
      <x:c r="B737" s="26" t="str">
        <x:v>Artifact Type</x:v>
      </x:c>
      <x:c r="C737" s="26" t="str">
        <x:v>Infinity</x:v>
      </x:c>
      <x:c r="D737" s="26" t="str">
        <x:v>Card-type taxonomy</x:v>
      </x:c>
      <x:c r="E737" s="26"/>
      <x:c r="F737" s="26" t="str">
        <x:v>t:"Infinity"</x:v>
      </x:c>
      <x:c r="G737" s="26" t="str">
        <x:v>High</x:v>
      </x:c>
      <x:c r="H737" s="26" t="str">
        <x:v>Native taxonomy</x:v>
      </x:c>
      <x:c r="I737" s="26" t="str">
        <x:v>type:</x:v>
      </x:c>
      <x:c r="J737" s="26" t="str">
        <x:v>t:"Infinity"</x:v>
      </x:c>
      <x:c r="K737" s="26" t="str"/>
      <x:c r="L737" s="26" t="str">
        <x:v>infinity</x:v>
      </x:c>
      <x:c r="M737" s="26" t="str">
        <x:v>Translate directly</x:v>
      </x:c>
      <x:c r="N737" s="26" t="str">
        <x:v>Production-ready</x:v>
      </x:c>
      <x:c r="O737" s="43" t="n">
        <x:v>0.99</x:v>
      </x:c>
      <x:c r="P737" s="26" t="str">
        <x:v>Use for card type/supertype/subtype intent, not for art or rules-text mentions.</x:v>
      </x:c>
      <x:c r="Q737" s="26" t="str">
        <x:v>https://scryfall.com/docs/syntax</x:v>
      </x:c>
      <x:c r="R737" s="26" t="str">
        <x:v>2026-08-21</x:v>
      </x:c>
    </x:row>
    <x:row r="738">
      <x:c r="A738" s="26" t="str">
        <x:v>CardTypes!A40:B40</x:v>
      </x:c>
      <x:c r="B738" s="26" t="str">
        <x:v>Artifact Type</x:v>
      </x:c>
      <x:c r="C738" s="26" t="str">
        <x:v>Junk</x:v>
      </x:c>
      <x:c r="D738" s="26" t="str">
        <x:v>Card-type taxonomy</x:v>
      </x:c>
      <x:c r="E738" s="26"/>
      <x:c r="F738" s="26" t="str">
        <x:v>t:"Junk"</x:v>
      </x:c>
      <x:c r="G738" s="26" t="str">
        <x:v>High</x:v>
      </x:c>
      <x:c r="H738" s="26" t="str">
        <x:v>Native taxonomy</x:v>
      </x:c>
      <x:c r="I738" s="26" t="str">
        <x:v>type:</x:v>
      </x:c>
      <x:c r="J738" s="26" t="str">
        <x:v>t:"Junk"</x:v>
      </x:c>
      <x:c r="K738" s="26" t="str"/>
      <x:c r="L738" s="26" t="str">
        <x:v>junk</x:v>
      </x:c>
      <x:c r="M738" s="26" t="str">
        <x:v>Translate directly</x:v>
      </x:c>
      <x:c r="N738" s="26" t="str">
        <x:v>Production-ready</x:v>
      </x:c>
      <x:c r="O738" s="43" t="n">
        <x:v>0.99</x:v>
      </x:c>
      <x:c r="P738" s="26" t="str">
        <x:v>Use for card type/supertype/subtype intent, not for art or rules-text mentions.</x:v>
      </x:c>
      <x:c r="Q738" s="26" t="str">
        <x:v>https://scryfall.com/docs/syntax</x:v>
      </x:c>
      <x:c r="R738" s="26" t="str">
        <x:v>2026-08-21</x:v>
      </x:c>
    </x:row>
    <x:row r="739">
      <x:c r="A739" s="26" t="str">
        <x:v>CardTypes!A41:B41</x:v>
      </x:c>
      <x:c r="B739" s="26" t="str">
        <x:v>Artifact Type</x:v>
      </x:c>
      <x:c r="C739" s="26" t="str">
        <x:v>Map</x:v>
      </x:c>
      <x:c r="D739" s="26" t="str">
        <x:v>Card-type taxonomy</x:v>
      </x:c>
      <x:c r="E739" s="26"/>
      <x:c r="F739" s="26" t="str">
        <x:v>t:"Map"</x:v>
      </x:c>
      <x:c r="G739" s="26" t="str">
        <x:v>High</x:v>
      </x:c>
      <x:c r="H739" s="26" t="str">
        <x:v>Native taxonomy</x:v>
      </x:c>
      <x:c r="I739" s="26" t="str">
        <x:v>type:</x:v>
      </x:c>
      <x:c r="J739" s="26" t="str">
        <x:v>t:"Map"</x:v>
      </x:c>
      <x:c r="K739" s="26" t="str"/>
      <x:c r="L739" s="26" t="str">
        <x:v>map</x:v>
      </x:c>
      <x:c r="M739" s="26" t="str">
        <x:v>Translate directly</x:v>
      </x:c>
      <x:c r="N739" s="26" t="str">
        <x:v>Production-ready</x:v>
      </x:c>
      <x:c r="O739" s="43" t="n">
        <x:v>0.99</x:v>
      </x:c>
      <x:c r="P739" s="26" t="str">
        <x:v>Use for card type/supertype/subtype intent, not for art or rules-text mentions.</x:v>
      </x:c>
      <x:c r="Q739" s="26" t="str">
        <x:v>https://scryfall.com/docs/syntax</x:v>
      </x:c>
      <x:c r="R739" s="26" t="str">
        <x:v>2026-08-21</x:v>
      </x:c>
    </x:row>
    <x:row r="740">
      <x:c r="A740" s="26" t="str">
        <x:v>CardTypes!A42:B42</x:v>
      </x:c>
      <x:c r="B740" s="26" t="str">
        <x:v>Artifact Type</x:v>
      </x:c>
      <x:c r="C740" s="26" t="str">
        <x:v>Powerstone</x:v>
      </x:c>
      <x:c r="D740" s="26" t="str">
        <x:v>Card-type taxonomy</x:v>
      </x:c>
      <x:c r="E740" s="26"/>
      <x:c r="F740" s="26" t="str">
        <x:v>t:"Powerstone"</x:v>
      </x:c>
      <x:c r="G740" s="26" t="str">
        <x:v>High</x:v>
      </x:c>
      <x:c r="H740" s="26" t="str">
        <x:v>Native taxonomy</x:v>
      </x:c>
      <x:c r="I740" s="26" t="str">
        <x:v>type:</x:v>
      </x:c>
      <x:c r="J740" s="26" t="str">
        <x:v>t:"Powerstone"</x:v>
      </x:c>
      <x:c r="K740" s="26" t="str"/>
      <x:c r="L740" s="26" t="str">
        <x:v>powerstone</x:v>
      </x:c>
      <x:c r="M740" s="26" t="str">
        <x:v>Translate directly</x:v>
      </x:c>
      <x:c r="N740" s="26" t="str">
        <x:v>Production-ready</x:v>
      </x:c>
      <x:c r="O740" s="43" t="n">
        <x:v>0.99</x:v>
      </x:c>
      <x:c r="P740" s="26" t="str">
        <x:v>Use for card type/supertype/subtype intent, not for art or rules-text mentions.</x:v>
      </x:c>
      <x:c r="Q740" s="26" t="str">
        <x:v>https://scryfall.com/docs/syntax</x:v>
      </x:c>
      <x:c r="R740" s="26" t="str">
        <x:v>2026-08-21</x:v>
      </x:c>
    </x:row>
    <x:row r="741">
      <x:c r="A741" s="26" t="str">
        <x:v>CardTypes!A43:B43</x:v>
      </x:c>
      <x:c r="B741" s="26" t="str">
        <x:v>Artifact Type</x:v>
      </x:c>
      <x:c r="C741" s="26" t="str">
        <x:v>Spacecraft</x:v>
      </x:c>
      <x:c r="D741" s="26" t="str">
        <x:v>Card-type taxonomy</x:v>
      </x:c>
      <x:c r="E741" s="26"/>
      <x:c r="F741" s="26" t="str">
        <x:v>t:"Spacecraft"</x:v>
      </x:c>
      <x:c r="G741" s="26" t="str">
        <x:v>High</x:v>
      </x:c>
      <x:c r="H741" s="26" t="str">
        <x:v>Native taxonomy</x:v>
      </x:c>
      <x:c r="I741" s="26" t="str">
        <x:v>type:</x:v>
      </x:c>
      <x:c r="J741" s="26" t="str">
        <x:v>t:"Spacecraft"</x:v>
      </x:c>
      <x:c r="K741" s="26" t="str"/>
      <x:c r="L741" s="26" t="str">
        <x:v>spacecraft</x:v>
      </x:c>
      <x:c r="M741" s="26" t="str">
        <x:v>Translate directly</x:v>
      </x:c>
      <x:c r="N741" s="26" t="str">
        <x:v>Production-ready</x:v>
      </x:c>
      <x:c r="O741" s="43" t="n">
        <x:v>0.99</x:v>
      </x:c>
      <x:c r="P741" s="26" t="str">
        <x:v>Use for card type/supertype/subtype intent, not for art or rules-text mentions.</x:v>
      </x:c>
      <x:c r="Q741" s="26" t="str">
        <x:v>https://scryfall.com/docs/syntax</x:v>
      </x:c>
      <x:c r="R741" s="26" t="str">
        <x:v>2026-08-21</x:v>
      </x:c>
    </x:row>
    <x:row r="742">
      <x:c r="A742" s="26" t="str">
        <x:v>CardTypes!A44:B44</x:v>
      </x:c>
      <x:c r="B742" s="26" t="str">
        <x:v>Artifact Type</x:v>
      </x:c>
      <x:c r="C742" s="26" t="str">
        <x:v>Stone</x:v>
      </x:c>
      <x:c r="D742" s="26" t="str">
        <x:v>Card-type taxonomy</x:v>
      </x:c>
      <x:c r="E742" s="26"/>
      <x:c r="F742" s="26" t="str">
        <x:v>t:"Stone"</x:v>
      </x:c>
      <x:c r="G742" s="26" t="str">
        <x:v>High</x:v>
      </x:c>
      <x:c r="H742" s="26" t="str">
        <x:v>Native taxonomy</x:v>
      </x:c>
      <x:c r="I742" s="26" t="str">
        <x:v>type:</x:v>
      </x:c>
      <x:c r="J742" s="26" t="str">
        <x:v>t:"Stone"</x:v>
      </x:c>
      <x:c r="K742" s="26" t="str"/>
      <x:c r="L742" s="26" t="str">
        <x:v>stone</x:v>
      </x:c>
      <x:c r="M742" s="26" t="str">
        <x:v>Translate directly</x:v>
      </x:c>
      <x:c r="N742" s="26" t="str">
        <x:v>Production-ready</x:v>
      </x:c>
      <x:c r="O742" s="43" t="n">
        <x:v>0.99</x:v>
      </x:c>
      <x:c r="P742" s="26" t="str">
        <x:v>Use for card type/supertype/subtype intent, not for art or rules-text mentions.</x:v>
      </x:c>
      <x:c r="Q742" s="26" t="str">
        <x:v>https://scryfall.com/docs/syntax</x:v>
      </x:c>
      <x:c r="R742" s="26" t="str">
        <x:v>2026-08-21</x:v>
      </x:c>
    </x:row>
    <x:row r="743">
      <x:c r="A743" s="26" t="str">
        <x:v>CardTypes!A45:B45</x:v>
      </x:c>
      <x:c r="B743" s="26" t="str">
        <x:v>Artifact Type</x:v>
      </x:c>
      <x:c r="C743" s="26" t="str">
        <x:v>Terminus</x:v>
      </x:c>
      <x:c r="D743" s="26" t="str">
        <x:v>Card-type taxonomy</x:v>
      </x:c>
      <x:c r="E743" s="26"/>
      <x:c r="F743" s="26" t="str">
        <x:v>t:"Terminus"</x:v>
      </x:c>
      <x:c r="G743" s="26" t="str">
        <x:v>High</x:v>
      </x:c>
      <x:c r="H743" s="26" t="str">
        <x:v>Native taxonomy</x:v>
      </x:c>
      <x:c r="I743" s="26" t="str">
        <x:v>type:</x:v>
      </x:c>
      <x:c r="J743" s="26" t="str">
        <x:v>t:"Terminus"</x:v>
      </x:c>
      <x:c r="K743" s="26" t="str"/>
      <x:c r="L743" s="26" t="str">
        <x:v>terminus</x:v>
      </x:c>
      <x:c r="M743" s="26" t="str">
        <x:v>Translate directly</x:v>
      </x:c>
      <x:c r="N743" s="26" t="str">
        <x:v>Production-ready</x:v>
      </x:c>
      <x:c r="O743" s="43" t="n">
        <x:v>0.99</x:v>
      </x:c>
      <x:c r="P743" s="26" t="str">
        <x:v>Use for card type/supertype/subtype intent, not for art or rules-text mentions.</x:v>
      </x:c>
      <x:c r="Q743" s="26" t="str">
        <x:v>https://scryfall.com/docs/syntax</x:v>
      </x:c>
      <x:c r="R743" s="26" t="str">
        <x:v>2026-08-21</x:v>
      </x:c>
    </x:row>
    <x:row r="744">
      <x:c r="A744" s="26" t="str">
        <x:v>CardTypes!A46:B46</x:v>
      </x:c>
      <x:c r="B744" s="26" t="str">
        <x:v>Artifact Type</x:v>
      </x:c>
      <x:c r="C744" s="26" t="str">
        <x:v>Treasure</x:v>
      </x:c>
      <x:c r="D744" s="26" t="str">
        <x:v>Card-type taxonomy</x:v>
      </x:c>
      <x:c r="E744" s="26"/>
      <x:c r="F744" s="26" t="str">
        <x:v>t:"Treasure"</x:v>
      </x:c>
      <x:c r="G744" s="26" t="str">
        <x:v>High</x:v>
      </x:c>
      <x:c r="H744" s="26" t="str">
        <x:v>Native taxonomy</x:v>
      </x:c>
      <x:c r="I744" s="26" t="str">
        <x:v>type:</x:v>
      </x:c>
      <x:c r="J744" s="26" t="str">
        <x:v>t:"Treasure"</x:v>
      </x:c>
      <x:c r="K744" s="26" t="str"/>
      <x:c r="L744" s="26" t="str">
        <x:v>treasure</x:v>
      </x:c>
      <x:c r="M744" s="26" t="str">
        <x:v>Translate directly</x:v>
      </x:c>
      <x:c r="N744" s="26" t="str">
        <x:v>Production-ready</x:v>
      </x:c>
      <x:c r="O744" s="43" t="n">
        <x:v>0.99</x:v>
      </x:c>
      <x:c r="P744" s="26" t="str">
        <x:v>Use for card type/supertype/subtype intent, not for art or rules-text mentions.</x:v>
      </x:c>
      <x:c r="Q744" s="26" t="str">
        <x:v>https://scryfall.com/docs/syntax</x:v>
      </x:c>
      <x:c r="R744" s="26" t="str">
        <x:v>2026-08-21</x:v>
      </x:c>
    </x:row>
    <x:row r="745">
      <x:c r="A745" s="26" t="str">
        <x:v>CardTypes!A47:B47</x:v>
      </x:c>
      <x:c r="B745" s="26" t="str">
        <x:v>Artifact Type</x:v>
      </x:c>
      <x:c r="C745" s="26" t="str">
        <x:v>Vehicle</x:v>
      </x:c>
      <x:c r="D745" s="26" t="str">
        <x:v>Card-type taxonomy</x:v>
      </x:c>
      <x:c r="E745" s="26"/>
      <x:c r="F745" s="26" t="str">
        <x:v>t:"Vehicle"</x:v>
      </x:c>
      <x:c r="G745" s="26" t="str">
        <x:v>High</x:v>
      </x:c>
      <x:c r="H745" s="26" t="str">
        <x:v>Native taxonomy</x:v>
      </x:c>
      <x:c r="I745" s="26" t="str">
        <x:v>type:</x:v>
      </x:c>
      <x:c r="J745" s="26" t="str">
        <x:v>t:"Vehicle"</x:v>
      </x:c>
      <x:c r="K745" s="26" t="str"/>
      <x:c r="L745" s="26" t="str">
        <x:v>vehicle</x:v>
      </x:c>
      <x:c r="M745" s="26" t="str">
        <x:v>Translate directly</x:v>
      </x:c>
      <x:c r="N745" s="26" t="str">
        <x:v>Production-ready</x:v>
      </x:c>
      <x:c r="O745" s="43" t="n">
        <x:v>0.99</x:v>
      </x:c>
      <x:c r="P745" s="26" t="str">
        <x:v>Use for card type/supertype/subtype intent, not for art or rules-text mentions.</x:v>
      </x:c>
      <x:c r="Q745" s="26" t="str">
        <x:v>https://scryfall.com/docs/syntax</x:v>
      </x:c>
      <x:c r="R745" s="26" t="str">
        <x:v>2026-08-21</x:v>
      </x:c>
    </x:row>
    <x:row r="746">
      <x:c r="A746" s="26" t="str">
        <x:v>CardTypes!A48:B48</x:v>
      </x:c>
      <x:c r="B746" s="26" t="str">
        <x:v>Enchantment Type</x:v>
      </x:c>
      <x:c r="C746" s="26" t="str">
        <x:v>Aura</x:v>
      </x:c>
      <x:c r="D746" s="26" t="str">
        <x:v>Card-type taxonomy</x:v>
      </x:c>
      <x:c r="E746" s="26"/>
      <x:c r="F746" s="26" t="str">
        <x:v>t:"Aura"</x:v>
      </x:c>
      <x:c r="G746" s="26" t="str">
        <x:v>High</x:v>
      </x:c>
      <x:c r="H746" s="26" t="str">
        <x:v>Native taxonomy</x:v>
      </x:c>
      <x:c r="I746" s="26" t="str">
        <x:v>type:</x:v>
      </x:c>
      <x:c r="J746" s="26" t="str">
        <x:v>t:"Aura"</x:v>
      </x:c>
      <x:c r="K746" s="26" t="str"/>
      <x:c r="L746" s="26" t="str">
        <x:v>aura</x:v>
      </x:c>
      <x:c r="M746" s="26" t="str">
        <x:v>Translate directly</x:v>
      </x:c>
      <x:c r="N746" s="26" t="str">
        <x:v>Production-ready</x:v>
      </x:c>
      <x:c r="O746" s="43" t="n">
        <x:v>0.99</x:v>
      </x:c>
      <x:c r="P746" s="26" t="str">
        <x:v>Use for card type/supertype/subtype intent, not for art or rules-text mentions.</x:v>
      </x:c>
      <x:c r="Q746" s="26" t="str">
        <x:v>https://scryfall.com/docs/syntax</x:v>
      </x:c>
      <x:c r="R746" s="26" t="str">
        <x:v>2026-08-21</x:v>
      </x:c>
    </x:row>
    <x:row r="747">
      <x:c r="A747" s="26" t="str">
        <x:v>CardTypes!A49:B49</x:v>
      </x:c>
      <x:c r="B747" s="26" t="str">
        <x:v>Enchantment Type</x:v>
      </x:c>
      <x:c r="C747" s="26" t="str">
        <x:v>Background</x:v>
      </x:c>
      <x:c r="D747" s="26" t="str">
        <x:v>Card-type taxonomy</x:v>
      </x:c>
      <x:c r="E747" s="26"/>
      <x:c r="F747" s="26" t="str">
        <x:v>t:"Background"</x:v>
      </x:c>
      <x:c r="G747" s="26" t="str">
        <x:v>High</x:v>
      </x:c>
      <x:c r="H747" s="26" t="str">
        <x:v>Native taxonomy</x:v>
      </x:c>
      <x:c r="I747" s="26" t="str">
        <x:v>type:</x:v>
      </x:c>
      <x:c r="J747" s="26" t="str">
        <x:v>t:"Background"</x:v>
      </x:c>
      <x:c r="K747" s="26" t="str"/>
      <x:c r="L747" s="26" t="str">
        <x:v>background</x:v>
      </x:c>
      <x:c r="M747" s="26" t="str">
        <x:v>Translate directly</x:v>
      </x:c>
      <x:c r="N747" s="26" t="str">
        <x:v>Production-ready</x:v>
      </x:c>
      <x:c r="O747" s="43" t="n">
        <x:v>0.99</x:v>
      </x:c>
      <x:c r="P747" s="26" t="str">
        <x:v>Use for card type/supertype/subtype intent, not for art or rules-text mentions.</x:v>
      </x:c>
      <x:c r="Q747" s="26" t="str">
        <x:v>https://scryfall.com/docs/syntax</x:v>
      </x:c>
      <x:c r="R747" s="26" t="str">
        <x:v>2026-08-21</x:v>
      </x:c>
    </x:row>
    <x:row r="748">
      <x:c r="A748" s="26" t="str">
        <x:v>CardTypes!A50:B50</x:v>
      </x:c>
      <x:c r="B748" s="26" t="str">
        <x:v>Enchantment Type</x:v>
      </x:c>
      <x:c r="C748" s="26" t="str">
        <x:v>Cartouche</x:v>
      </x:c>
      <x:c r="D748" s="26" t="str">
        <x:v>Card-type taxonomy</x:v>
      </x:c>
      <x:c r="E748" s="26"/>
      <x:c r="F748" s="26" t="str">
        <x:v>t:"Cartouche"</x:v>
      </x:c>
      <x:c r="G748" s="26" t="str">
        <x:v>High</x:v>
      </x:c>
      <x:c r="H748" s="26" t="str">
        <x:v>Native taxonomy</x:v>
      </x:c>
      <x:c r="I748" s="26" t="str">
        <x:v>type:</x:v>
      </x:c>
      <x:c r="J748" s="26" t="str">
        <x:v>t:"Cartouche"</x:v>
      </x:c>
      <x:c r="K748" s="26" t="str"/>
      <x:c r="L748" s="26" t="str">
        <x:v>cartouche</x:v>
      </x:c>
      <x:c r="M748" s="26" t="str">
        <x:v>Translate directly</x:v>
      </x:c>
      <x:c r="N748" s="26" t="str">
        <x:v>Production-ready</x:v>
      </x:c>
      <x:c r="O748" s="43" t="n">
        <x:v>0.99</x:v>
      </x:c>
      <x:c r="P748" s="26" t="str">
        <x:v>Use for card type/supertype/subtype intent, not for art or rules-text mentions.</x:v>
      </x:c>
      <x:c r="Q748" s="26" t="str">
        <x:v>https://scryfall.com/docs/syntax</x:v>
      </x:c>
      <x:c r="R748" s="26" t="str">
        <x:v>2026-08-21</x:v>
      </x:c>
    </x:row>
    <x:row r="749">
      <x:c r="A749" s="26" t="str">
        <x:v>CardTypes!A51:B51</x:v>
      </x:c>
      <x:c r="B749" s="26" t="str">
        <x:v>Enchantment Type</x:v>
      </x:c>
      <x:c r="C749" s="26" t="str">
        <x:v>Case</x:v>
      </x:c>
      <x:c r="D749" s="26" t="str">
        <x:v>Card-type taxonomy</x:v>
      </x:c>
      <x:c r="E749" s="26"/>
      <x:c r="F749" s="26" t="str">
        <x:v>t:"Case"</x:v>
      </x:c>
      <x:c r="G749" s="26" t="str">
        <x:v>High</x:v>
      </x:c>
      <x:c r="H749" s="26" t="str">
        <x:v>Native taxonomy</x:v>
      </x:c>
      <x:c r="I749" s="26" t="str">
        <x:v>type:</x:v>
      </x:c>
      <x:c r="J749" s="26" t="str">
        <x:v>t:"Case"</x:v>
      </x:c>
      <x:c r="K749" s="26" t="str"/>
      <x:c r="L749" s="26" t="str">
        <x:v>case</x:v>
      </x:c>
      <x:c r="M749" s="26" t="str">
        <x:v>Translate directly</x:v>
      </x:c>
      <x:c r="N749" s="26" t="str">
        <x:v>Production-ready</x:v>
      </x:c>
      <x:c r="O749" s="43" t="n">
        <x:v>0.99</x:v>
      </x:c>
      <x:c r="P749" s="26" t="str">
        <x:v>Use for card type/supertype/subtype intent, not for art or rules-text mentions.</x:v>
      </x:c>
      <x:c r="Q749" s="26" t="str">
        <x:v>https://scryfall.com/docs/syntax</x:v>
      </x:c>
      <x:c r="R749" s="26" t="str">
        <x:v>2026-08-21</x:v>
      </x:c>
    </x:row>
    <x:row r="750">
      <x:c r="A750" s="26" t="str">
        <x:v>CardTypes!A52:B52</x:v>
      </x:c>
      <x:c r="B750" s="26" t="str">
        <x:v>Enchantment Type</x:v>
      </x:c>
      <x:c r="C750" s="26" t="str">
        <x:v>Class</x:v>
      </x:c>
      <x:c r="D750" s="26" t="str">
        <x:v>Card-type taxonomy</x:v>
      </x:c>
      <x:c r="E750" s="26"/>
      <x:c r="F750" s="26" t="str">
        <x:v>t:"Class"</x:v>
      </x:c>
      <x:c r="G750" s="26" t="str">
        <x:v>High</x:v>
      </x:c>
      <x:c r="H750" s="26" t="str">
        <x:v>Native taxonomy</x:v>
      </x:c>
      <x:c r="I750" s="26" t="str">
        <x:v>type:</x:v>
      </x:c>
      <x:c r="J750" s="26" t="str">
        <x:v>t:"Class"</x:v>
      </x:c>
      <x:c r="K750" s="26" t="str"/>
      <x:c r="L750" s="26" t="str">
        <x:v>class</x:v>
      </x:c>
      <x:c r="M750" s="26" t="str">
        <x:v>Translate directly</x:v>
      </x:c>
      <x:c r="N750" s="26" t="str">
        <x:v>Production-ready</x:v>
      </x:c>
      <x:c r="O750" s="43" t="n">
        <x:v>0.99</x:v>
      </x:c>
      <x:c r="P750" s="26" t="str">
        <x:v>Use for card type/supertype/subtype intent, not for art or rules-text mentions.</x:v>
      </x:c>
      <x:c r="Q750" s="26" t="str">
        <x:v>https://scryfall.com/docs/syntax</x:v>
      </x:c>
      <x:c r="R750" s="26" t="str">
        <x:v>2026-08-21</x:v>
      </x:c>
    </x:row>
    <x:row r="751">
      <x:c r="A751" s="26" t="str">
        <x:v>CardTypes!A53:B53</x:v>
      </x:c>
      <x:c r="B751" s="26" t="str">
        <x:v>Enchantment Type</x:v>
      </x:c>
      <x:c r="C751" s="26" t="str">
        <x:v>Curse</x:v>
      </x:c>
      <x:c r="D751" s="26" t="str">
        <x:v>Card-type taxonomy</x:v>
      </x:c>
      <x:c r="E751" s="26"/>
      <x:c r="F751" s="26" t="str">
        <x:v>t:"Curse"</x:v>
      </x:c>
      <x:c r="G751" s="26" t="str">
        <x:v>High</x:v>
      </x:c>
      <x:c r="H751" s="26" t="str">
        <x:v>Native taxonomy</x:v>
      </x:c>
      <x:c r="I751" s="26" t="str">
        <x:v>type:</x:v>
      </x:c>
      <x:c r="J751" s="26" t="str">
        <x:v>t:"Curse"</x:v>
      </x:c>
      <x:c r="K751" s="26" t="str"/>
      <x:c r="L751" s="26" t="str">
        <x:v>curse</x:v>
      </x:c>
      <x:c r="M751" s="26" t="str">
        <x:v>Translate directly</x:v>
      </x:c>
      <x:c r="N751" s="26" t="str">
        <x:v>Production-ready</x:v>
      </x:c>
      <x:c r="O751" s="43" t="n">
        <x:v>0.99</x:v>
      </x:c>
      <x:c r="P751" s="26" t="str">
        <x:v>Use for card type/supertype/subtype intent, not for art or rules-text mentions.</x:v>
      </x:c>
      <x:c r="Q751" s="26" t="str">
        <x:v>https://scryfall.com/docs/syntax</x:v>
      </x:c>
      <x:c r="R751" s="26" t="str">
        <x:v>2026-08-21</x:v>
      </x:c>
    </x:row>
    <x:row r="752">
      <x:c r="A752" s="26" t="str">
        <x:v>CardTypes!A54:B54</x:v>
      </x:c>
      <x:c r="B752" s="26" t="str">
        <x:v>Enchantment Type</x:v>
      </x:c>
      <x:c r="C752" s="26" t="str">
        <x:v>Plan</x:v>
      </x:c>
      <x:c r="D752" s="26" t="str">
        <x:v>Card-type taxonomy</x:v>
      </x:c>
      <x:c r="E752" s="26"/>
      <x:c r="F752" s="26" t="str">
        <x:v>t:"Plan"</x:v>
      </x:c>
      <x:c r="G752" s="26" t="str">
        <x:v>High</x:v>
      </x:c>
      <x:c r="H752" s="26" t="str">
        <x:v>Native taxonomy</x:v>
      </x:c>
      <x:c r="I752" s="26" t="str">
        <x:v>type:</x:v>
      </x:c>
      <x:c r="J752" s="26" t="str">
        <x:v>t:"Plan"</x:v>
      </x:c>
      <x:c r="K752" s="26" t="str"/>
      <x:c r="L752" s="26" t="str">
        <x:v>plan</x:v>
      </x:c>
      <x:c r="M752" s="26" t="str">
        <x:v>Translate directly</x:v>
      </x:c>
      <x:c r="N752" s="26" t="str">
        <x:v>Production-ready</x:v>
      </x:c>
      <x:c r="O752" s="43" t="n">
        <x:v>0.99</x:v>
      </x:c>
      <x:c r="P752" s="26" t="str">
        <x:v>Use for card type/supertype/subtype intent, not for art or rules-text mentions.</x:v>
      </x:c>
      <x:c r="Q752" s="26" t="str">
        <x:v>https://scryfall.com/docs/syntax</x:v>
      </x:c>
      <x:c r="R752" s="26" t="str">
        <x:v>2026-08-21</x:v>
      </x:c>
    </x:row>
    <x:row r="753">
      <x:c r="A753" s="26" t="str">
        <x:v>CardTypes!A55:B55</x:v>
      </x:c>
      <x:c r="B753" s="26" t="str">
        <x:v>Enchantment Type</x:v>
      </x:c>
      <x:c r="C753" s="26" t="str">
        <x:v>Role</x:v>
      </x:c>
      <x:c r="D753" s="26" t="str">
        <x:v>Card-type taxonomy</x:v>
      </x:c>
      <x:c r="E753" s="26"/>
      <x:c r="F753" s="26" t="str">
        <x:v>t:"Role"</x:v>
      </x:c>
      <x:c r="G753" s="26" t="str">
        <x:v>High</x:v>
      </x:c>
      <x:c r="H753" s="26" t="str">
        <x:v>Native taxonomy</x:v>
      </x:c>
      <x:c r="I753" s="26" t="str">
        <x:v>type:</x:v>
      </x:c>
      <x:c r="J753" s="26" t="str">
        <x:v>t:"Role"</x:v>
      </x:c>
      <x:c r="K753" s="26" t="str"/>
      <x:c r="L753" s="26" t="str">
        <x:v>role</x:v>
      </x:c>
      <x:c r="M753" s="26" t="str">
        <x:v>Translate directly</x:v>
      </x:c>
      <x:c r="N753" s="26" t="str">
        <x:v>Production-ready</x:v>
      </x:c>
      <x:c r="O753" s="43" t="n">
        <x:v>0.99</x:v>
      </x:c>
      <x:c r="P753" s="26" t="str">
        <x:v>Use for card type/supertype/subtype intent, not for art or rules-text mentions.</x:v>
      </x:c>
      <x:c r="Q753" s="26" t="str">
        <x:v>https://scryfall.com/docs/syntax</x:v>
      </x:c>
      <x:c r="R753" s="26" t="str">
        <x:v>2026-08-21</x:v>
      </x:c>
    </x:row>
    <x:row r="754">
      <x:c r="A754" s="26" t="str">
        <x:v>CardTypes!A56:B56</x:v>
      </x:c>
      <x:c r="B754" s="26" t="str">
        <x:v>Enchantment Type</x:v>
      </x:c>
      <x:c r="C754" s="26" t="str">
        <x:v>Room</x:v>
      </x:c>
      <x:c r="D754" s="26" t="str">
        <x:v>Card-type taxonomy</x:v>
      </x:c>
      <x:c r="E754" s="26"/>
      <x:c r="F754" s="26" t="str">
        <x:v>t:"Room"</x:v>
      </x:c>
      <x:c r="G754" s="26" t="str">
        <x:v>High</x:v>
      </x:c>
      <x:c r="H754" s="26" t="str">
        <x:v>Native taxonomy</x:v>
      </x:c>
      <x:c r="I754" s="26" t="str">
        <x:v>type:</x:v>
      </x:c>
      <x:c r="J754" s="26" t="str">
        <x:v>t:"Room"</x:v>
      </x:c>
      <x:c r="K754" s="26" t="str"/>
      <x:c r="L754" s="26" t="str">
        <x:v>room</x:v>
      </x:c>
      <x:c r="M754" s="26" t="str">
        <x:v>Translate directly</x:v>
      </x:c>
      <x:c r="N754" s="26" t="str">
        <x:v>Production-ready</x:v>
      </x:c>
      <x:c r="O754" s="43" t="n">
        <x:v>0.99</x:v>
      </x:c>
      <x:c r="P754" s="26" t="str">
        <x:v>Use for card type/supertype/subtype intent, not for art or rules-text mentions.</x:v>
      </x:c>
      <x:c r="Q754" s="26" t="str">
        <x:v>https://scryfall.com/docs/syntax</x:v>
      </x:c>
      <x:c r="R754" s="26" t="str">
        <x:v>2026-08-21</x:v>
      </x:c>
    </x:row>
    <x:row r="755">
      <x:c r="A755" s="26" t="str">
        <x:v>CardTypes!A57:B57</x:v>
      </x:c>
      <x:c r="B755" s="26" t="str">
        <x:v>Enchantment Type</x:v>
      </x:c>
      <x:c r="C755" s="26" t="str">
        <x:v>Rune</x:v>
      </x:c>
      <x:c r="D755" s="26" t="str">
        <x:v>Card-type taxonomy</x:v>
      </x:c>
      <x:c r="E755" s="26"/>
      <x:c r="F755" s="26" t="str">
        <x:v>t:"Rune"</x:v>
      </x:c>
      <x:c r="G755" s="26" t="str">
        <x:v>High</x:v>
      </x:c>
      <x:c r="H755" s="26" t="str">
        <x:v>Native taxonomy</x:v>
      </x:c>
      <x:c r="I755" s="26" t="str">
        <x:v>type:</x:v>
      </x:c>
      <x:c r="J755" s="26" t="str">
        <x:v>t:"Rune"</x:v>
      </x:c>
      <x:c r="K755" s="26" t="str"/>
      <x:c r="L755" s="26" t="str">
        <x:v>rune</x:v>
      </x:c>
      <x:c r="M755" s="26" t="str">
        <x:v>Translate directly</x:v>
      </x:c>
      <x:c r="N755" s="26" t="str">
        <x:v>Production-ready</x:v>
      </x:c>
      <x:c r="O755" s="43" t="n">
        <x:v>0.99</x:v>
      </x:c>
      <x:c r="P755" s="26" t="str">
        <x:v>Use for card type/supertype/subtype intent, not for art or rules-text mentions.</x:v>
      </x:c>
      <x:c r="Q755" s="26" t="str">
        <x:v>https://scryfall.com/docs/syntax</x:v>
      </x:c>
      <x:c r="R755" s="26" t="str">
        <x:v>2026-08-21</x:v>
      </x:c>
    </x:row>
    <x:row r="756">
      <x:c r="A756" s="26" t="str">
        <x:v>CardTypes!A58:B58</x:v>
      </x:c>
      <x:c r="B756" s="26" t="str">
        <x:v>Enchantment Type</x:v>
      </x:c>
      <x:c r="C756" s="26" t="str">
        <x:v>Saga</x:v>
      </x:c>
      <x:c r="D756" s="26" t="str">
        <x:v>Card-type taxonomy</x:v>
      </x:c>
      <x:c r="E756" s="26"/>
      <x:c r="F756" s="26" t="str">
        <x:v>t:"Saga"</x:v>
      </x:c>
      <x:c r="G756" s="26" t="str">
        <x:v>High</x:v>
      </x:c>
      <x:c r="H756" s="26" t="str">
        <x:v>Native taxonomy</x:v>
      </x:c>
      <x:c r="I756" s="26" t="str">
        <x:v>type:</x:v>
      </x:c>
      <x:c r="J756" s="26" t="str">
        <x:v>t:"Saga"</x:v>
      </x:c>
      <x:c r="K756" s="26" t="str"/>
      <x:c r="L756" s="26" t="str">
        <x:v>saga</x:v>
      </x:c>
      <x:c r="M756" s="26" t="str">
        <x:v>Translate directly</x:v>
      </x:c>
      <x:c r="N756" s="26" t="str">
        <x:v>Production-ready</x:v>
      </x:c>
      <x:c r="O756" s="43" t="n">
        <x:v>0.99</x:v>
      </x:c>
      <x:c r="P756" s="26" t="str">
        <x:v>Use for card type/supertype/subtype intent, not for art or rules-text mentions.</x:v>
      </x:c>
      <x:c r="Q756" s="26" t="str">
        <x:v>https://scryfall.com/docs/syntax</x:v>
      </x:c>
      <x:c r="R756" s="26" t="str">
        <x:v>2026-08-21</x:v>
      </x:c>
    </x:row>
    <x:row r="757">
      <x:c r="A757" s="26" t="str">
        <x:v>CardTypes!A59:B59</x:v>
      </x:c>
      <x:c r="B757" s="26" t="str">
        <x:v>Enchantment Type</x:v>
      </x:c>
      <x:c r="C757" s="26" t="str">
        <x:v>Shard</x:v>
      </x:c>
      <x:c r="D757" s="26" t="str">
        <x:v>Card-type taxonomy</x:v>
      </x:c>
      <x:c r="E757" s="26"/>
      <x:c r="F757" s="26" t="str">
        <x:v>t:"Shard"</x:v>
      </x:c>
      <x:c r="G757" s="26" t="str">
        <x:v>High</x:v>
      </x:c>
      <x:c r="H757" s="26" t="str">
        <x:v>Native taxonomy</x:v>
      </x:c>
      <x:c r="I757" s="26" t="str">
        <x:v>type:</x:v>
      </x:c>
      <x:c r="J757" s="26" t="str">
        <x:v>t:"Shard"</x:v>
      </x:c>
      <x:c r="K757" s="26" t="str"/>
      <x:c r="L757" s="26" t="str">
        <x:v>shard</x:v>
      </x:c>
      <x:c r="M757" s="26" t="str">
        <x:v>Translate directly</x:v>
      </x:c>
      <x:c r="N757" s="26" t="str">
        <x:v>Production-ready</x:v>
      </x:c>
      <x:c r="O757" s="43" t="n">
        <x:v>0.99</x:v>
      </x:c>
      <x:c r="P757" s="26" t="str">
        <x:v>Use for card type/supertype/subtype intent, not for art or rules-text mentions.</x:v>
      </x:c>
      <x:c r="Q757" s="26" t="str">
        <x:v>https://scryfall.com/docs/syntax</x:v>
      </x:c>
      <x:c r="R757" s="26" t="str">
        <x:v>2026-08-21</x:v>
      </x:c>
    </x:row>
    <x:row r="758">
      <x:c r="A758" s="26" t="str">
        <x:v>CardTypes!A60:B60</x:v>
      </x:c>
      <x:c r="B758" s="26" t="str">
        <x:v>Enchantment Type</x:v>
      </x:c>
      <x:c r="C758" s="26" t="str">
        <x:v>Shrine</x:v>
      </x:c>
      <x:c r="D758" s="26" t="str">
        <x:v>Card-type taxonomy</x:v>
      </x:c>
      <x:c r="E758" s="26"/>
      <x:c r="F758" s="26" t="str">
        <x:v>t:"Shrine"</x:v>
      </x:c>
      <x:c r="G758" s="26" t="str">
        <x:v>High</x:v>
      </x:c>
      <x:c r="H758" s="26" t="str">
        <x:v>Native taxonomy</x:v>
      </x:c>
      <x:c r="I758" s="26" t="str">
        <x:v>type:</x:v>
      </x:c>
      <x:c r="J758" s="26" t="str">
        <x:v>t:"Shrine"</x:v>
      </x:c>
      <x:c r="K758" s="26" t="str"/>
      <x:c r="L758" s="26" t="str">
        <x:v>shrine</x:v>
      </x:c>
      <x:c r="M758" s="26" t="str">
        <x:v>Translate directly</x:v>
      </x:c>
      <x:c r="N758" s="26" t="str">
        <x:v>Production-ready</x:v>
      </x:c>
      <x:c r="O758" s="43" t="n">
        <x:v>0.99</x:v>
      </x:c>
      <x:c r="P758" s="26" t="str">
        <x:v>Use for card type/supertype/subtype intent, not for art or rules-text mentions.</x:v>
      </x:c>
      <x:c r="Q758" s="26" t="str">
        <x:v>https://scryfall.com/docs/syntax</x:v>
      </x:c>
      <x:c r="R758" s="26" t="str">
        <x:v>2026-08-21</x:v>
      </x:c>
    </x:row>
    <x:row r="759">
      <x:c r="A759" s="26" t="str">
        <x:v>CardTypes!A61:B61</x:v>
      </x:c>
      <x:c r="B759" s="26" t="str">
        <x:v>Land Type</x:v>
      </x:c>
      <x:c r="C759" s="26" t="str">
        <x:v>Cave</x:v>
      </x:c>
      <x:c r="D759" s="26" t="str">
        <x:v>Card-type taxonomy</x:v>
      </x:c>
      <x:c r="E759" s="26"/>
      <x:c r="F759" s="26" t="str">
        <x:v>t:"Cave"</x:v>
      </x:c>
      <x:c r="G759" s="26" t="str">
        <x:v>High</x:v>
      </x:c>
      <x:c r="H759" s="26" t="str">
        <x:v>Native taxonomy</x:v>
      </x:c>
      <x:c r="I759" s="26" t="str">
        <x:v>type:</x:v>
      </x:c>
      <x:c r="J759" s="26" t="str">
        <x:v>t:"Cave"</x:v>
      </x:c>
      <x:c r="K759" s="26" t="str"/>
      <x:c r="L759" s="26" t="str">
        <x:v>cave</x:v>
      </x:c>
      <x:c r="M759" s="26" t="str">
        <x:v>Translate directly</x:v>
      </x:c>
      <x:c r="N759" s="26" t="str">
        <x:v>Production-ready</x:v>
      </x:c>
      <x:c r="O759" s="43" t="n">
        <x:v>0.99</x:v>
      </x:c>
      <x:c r="P759" s="26" t="str">
        <x:v>Use for card type/supertype/subtype intent, not for art or rules-text mentions.</x:v>
      </x:c>
      <x:c r="Q759" s="26" t="str">
        <x:v>https://scryfall.com/docs/syntax</x:v>
      </x:c>
      <x:c r="R759" s="26" t="str">
        <x:v>2026-08-21</x:v>
      </x:c>
    </x:row>
    <x:row r="760">
      <x:c r="A760" s="26" t="str">
        <x:v>CardTypes!A62:B62</x:v>
      </x:c>
      <x:c r="B760" s="26" t="str">
        <x:v>Land Type</x:v>
      </x:c>
      <x:c r="C760" s="26" t="str">
        <x:v>Cloud</x:v>
      </x:c>
      <x:c r="D760" s="26" t="str">
        <x:v>Card-type taxonomy</x:v>
      </x:c>
      <x:c r="E760" s="26"/>
      <x:c r="F760" s="26" t="str">
        <x:v>t:"Cloud"</x:v>
      </x:c>
      <x:c r="G760" s="26" t="str">
        <x:v>High</x:v>
      </x:c>
      <x:c r="H760" s="26" t="str">
        <x:v>Native taxonomy</x:v>
      </x:c>
      <x:c r="I760" s="26" t="str">
        <x:v>type:</x:v>
      </x:c>
      <x:c r="J760" s="26" t="str">
        <x:v>t:"Cloud"</x:v>
      </x:c>
      <x:c r="K760" s="26" t="str"/>
      <x:c r="L760" s="26" t="str">
        <x:v>cloud</x:v>
      </x:c>
      <x:c r="M760" s="26" t="str">
        <x:v>Translate directly</x:v>
      </x:c>
      <x:c r="N760" s="26" t="str">
        <x:v>Production-ready</x:v>
      </x:c>
      <x:c r="O760" s="43" t="n">
        <x:v>0.99</x:v>
      </x:c>
      <x:c r="P760" s="26" t="str">
        <x:v>Use for card type/supertype/subtype intent, not for art or rules-text mentions.</x:v>
      </x:c>
      <x:c r="Q760" s="26" t="str">
        <x:v>https://scryfall.com/docs/syntax</x:v>
      </x:c>
      <x:c r="R760" s="26" t="str">
        <x:v>2026-08-21</x:v>
      </x:c>
    </x:row>
    <x:row r="761">
      <x:c r="A761" s="26" t="str">
        <x:v>CardTypes!A63:B63</x:v>
      </x:c>
      <x:c r="B761" s="26" t="str">
        <x:v>Land Type</x:v>
      </x:c>
      <x:c r="C761" s="26" t="str">
        <x:v>Desert</x:v>
      </x:c>
      <x:c r="D761" s="26" t="str">
        <x:v>Card-type taxonomy</x:v>
      </x:c>
      <x:c r="E761" s="26"/>
      <x:c r="F761" s="26" t="str">
        <x:v>t:"Desert"</x:v>
      </x:c>
      <x:c r="G761" s="26" t="str">
        <x:v>High</x:v>
      </x:c>
      <x:c r="H761" s="26" t="str">
        <x:v>Native taxonomy</x:v>
      </x:c>
      <x:c r="I761" s="26" t="str">
        <x:v>type:</x:v>
      </x:c>
      <x:c r="J761" s="26" t="str">
        <x:v>t:"Desert"</x:v>
      </x:c>
      <x:c r="K761" s="26" t="str"/>
      <x:c r="L761" s="26" t="str">
        <x:v>desert</x:v>
      </x:c>
      <x:c r="M761" s="26" t="str">
        <x:v>Translate directly</x:v>
      </x:c>
      <x:c r="N761" s="26" t="str">
        <x:v>Production-ready</x:v>
      </x:c>
      <x:c r="O761" s="43" t="n">
        <x:v>0.99</x:v>
      </x:c>
      <x:c r="P761" s="26" t="str">
        <x:v>Use for card type/supertype/subtype intent, not for art or rules-text mentions.</x:v>
      </x:c>
      <x:c r="Q761" s="26" t="str">
        <x:v>https://scryfall.com/docs/syntax</x:v>
      </x:c>
      <x:c r="R761" s="26" t="str">
        <x:v>2026-08-21</x:v>
      </x:c>
    </x:row>
    <x:row r="762">
      <x:c r="A762" s="26" t="str">
        <x:v>CardTypes!A64:B64</x:v>
      </x:c>
      <x:c r="B762" s="26" t="str">
        <x:v>Land Type</x:v>
      </x:c>
      <x:c r="C762" s="26" t="str">
        <x:v>Forest</x:v>
      </x:c>
      <x:c r="D762" s="26" t="str">
        <x:v>Card-type taxonomy</x:v>
      </x:c>
      <x:c r="E762" s="26"/>
      <x:c r="F762" s="26" t="str">
        <x:v>t:"Forest"</x:v>
      </x:c>
      <x:c r="G762" s="26" t="str">
        <x:v>High</x:v>
      </x:c>
      <x:c r="H762" s="26" t="str">
        <x:v>Native taxonomy</x:v>
      </x:c>
      <x:c r="I762" s="26" t="str">
        <x:v>type:</x:v>
      </x:c>
      <x:c r="J762" s="26" t="str">
        <x:v>t:"Forest"</x:v>
      </x:c>
      <x:c r="K762" s="26" t="str"/>
      <x:c r="L762" s="26" t="str">
        <x:v>forest</x:v>
      </x:c>
      <x:c r="M762" s="26" t="str">
        <x:v>Translate directly</x:v>
      </x:c>
      <x:c r="N762" s="26" t="str">
        <x:v>Production-ready</x:v>
      </x:c>
      <x:c r="O762" s="43" t="n">
        <x:v>0.99</x:v>
      </x:c>
      <x:c r="P762" s="26" t="str">
        <x:v>Use for card type/supertype/subtype intent, not for art or rules-text mentions.</x:v>
      </x:c>
      <x:c r="Q762" s="26" t="str">
        <x:v>https://scryfall.com/docs/syntax</x:v>
      </x:c>
      <x:c r="R762" s="26" t="str">
        <x:v>2026-08-21</x:v>
      </x:c>
    </x:row>
    <x:row r="763">
      <x:c r="A763" s="26" t="str">
        <x:v>CardTypes!A65:B65</x:v>
      </x:c>
      <x:c r="B763" s="26" t="str">
        <x:v>Land Type</x:v>
      </x:c>
      <x:c r="C763" s="26" t="str">
        <x:v>Gate</x:v>
      </x:c>
      <x:c r="D763" s="26" t="str">
        <x:v>Card-type taxonomy</x:v>
      </x:c>
      <x:c r="E763" s="26"/>
      <x:c r="F763" s="26" t="str">
        <x:v>t:"Gate"</x:v>
      </x:c>
      <x:c r="G763" s="26" t="str">
        <x:v>High</x:v>
      </x:c>
      <x:c r="H763" s="26" t="str">
        <x:v>Native taxonomy</x:v>
      </x:c>
      <x:c r="I763" s="26" t="str">
        <x:v>type:</x:v>
      </x:c>
      <x:c r="J763" s="26" t="str">
        <x:v>t:"Gate"</x:v>
      </x:c>
      <x:c r="K763" s="26" t="str"/>
      <x:c r="L763" s="26" t="str">
        <x:v>gate</x:v>
      </x:c>
      <x:c r="M763" s="26" t="str">
        <x:v>Translate directly</x:v>
      </x:c>
      <x:c r="N763" s="26" t="str">
        <x:v>Production-ready</x:v>
      </x:c>
      <x:c r="O763" s="43" t="n">
        <x:v>0.99</x:v>
      </x:c>
      <x:c r="P763" s="26" t="str">
        <x:v>Use for card type/supertype/subtype intent, not for art or rules-text mentions.</x:v>
      </x:c>
      <x:c r="Q763" s="26" t="str">
        <x:v>https://scryfall.com/docs/syntax</x:v>
      </x:c>
      <x:c r="R763" s="26" t="str">
        <x:v>2026-08-21</x:v>
      </x:c>
    </x:row>
    <x:row r="764">
      <x:c r="A764" s="26" t="str">
        <x:v>CardTypes!A66:B66</x:v>
      </x:c>
      <x:c r="B764" s="26" t="str">
        <x:v>Land Type</x:v>
      </x:c>
      <x:c r="C764" s="26" t="str">
        <x:v>Island</x:v>
      </x:c>
      <x:c r="D764" s="26" t="str">
        <x:v>Card-type taxonomy</x:v>
      </x:c>
      <x:c r="E764" s="26"/>
      <x:c r="F764" s="26" t="str">
        <x:v>t:"Island"</x:v>
      </x:c>
      <x:c r="G764" s="26" t="str">
        <x:v>High</x:v>
      </x:c>
      <x:c r="H764" s="26" t="str">
        <x:v>Native taxonomy</x:v>
      </x:c>
      <x:c r="I764" s="26" t="str">
        <x:v>type:</x:v>
      </x:c>
      <x:c r="J764" s="26" t="str">
        <x:v>t:"Island"</x:v>
      </x:c>
      <x:c r="K764" s="26" t="str"/>
      <x:c r="L764" s="26" t="str">
        <x:v>island</x:v>
      </x:c>
      <x:c r="M764" s="26" t="str">
        <x:v>Translate directly</x:v>
      </x:c>
      <x:c r="N764" s="26" t="str">
        <x:v>Production-ready</x:v>
      </x:c>
      <x:c r="O764" s="43" t="n">
        <x:v>0.99</x:v>
      </x:c>
      <x:c r="P764" s="26" t="str">
        <x:v>Use for card type/supertype/subtype intent, not for art or rules-text mentions.</x:v>
      </x:c>
      <x:c r="Q764" s="26" t="str">
        <x:v>https://scryfall.com/docs/syntax</x:v>
      </x:c>
      <x:c r="R764" s="26" t="str">
        <x:v>2026-08-21</x:v>
      </x:c>
    </x:row>
    <x:row r="765">
      <x:c r="A765" s="26" t="str">
        <x:v>CardTypes!A67:B67</x:v>
      </x:c>
      <x:c r="B765" s="26" t="str">
        <x:v>Land Type</x:v>
      </x:c>
      <x:c r="C765" s="26" t="str">
        <x:v>Lair</x:v>
      </x:c>
      <x:c r="D765" s="26" t="str">
        <x:v>Card-type taxonomy</x:v>
      </x:c>
      <x:c r="E765" s="26"/>
      <x:c r="F765" s="26" t="str">
        <x:v>t:"Lair"</x:v>
      </x:c>
      <x:c r="G765" s="26" t="str">
        <x:v>High</x:v>
      </x:c>
      <x:c r="H765" s="26" t="str">
        <x:v>Native taxonomy</x:v>
      </x:c>
      <x:c r="I765" s="26" t="str">
        <x:v>type:</x:v>
      </x:c>
      <x:c r="J765" s="26" t="str">
        <x:v>t:"Lair"</x:v>
      </x:c>
      <x:c r="K765" s="26" t="str"/>
      <x:c r="L765" s="26" t="str">
        <x:v>lair</x:v>
      </x:c>
      <x:c r="M765" s="26" t="str">
        <x:v>Translate directly</x:v>
      </x:c>
      <x:c r="N765" s="26" t="str">
        <x:v>Production-ready</x:v>
      </x:c>
      <x:c r="O765" s="43" t="n">
        <x:v>0.99</x:v>
      </x:c>
      <x:c r="P765" s="26" t="str">
        <x:v>Use for card type/supertype/subtype intent, not for art or rules-text mentions.</x:v>
      </x:c>
      <x:c r="Q765" s="26" t="str">
        <x:v>https://scryfall.com/docs/syntax</x:v>
      </x:c>
      <x:c r="R765" s="26" t="str">
        <x:v>2026-08-21</x:v>
      </x:c>
    </x:row>
    <x:row r="766">
      <x:c r="A766" s="26" t="str">
        <x:v>CardTypes!A68:B68</x:v>
      </x:c>
      <x:c r="B766" s="26" t="str">
        <x:v>Land Type</x:v>
      </x:c>
      <x:c r="C766" s="26" t="str">
        <x:v>Locus</x:v>
      </x:c>
      <x:c r="D766" s="26" t="str">
        <x:v>Card-type taxonomy</x:v>
      </x:c>
      <x:c r="E766" s="26"/>
      <x:c r="F766" s="26" t="str">
        <x:v>t:"Locus"</x:v>
      </x:c>
      <x:c r="G766" s="26" t="str">
        <x:v>High</x:v>
      </x:c>
      <x:c r="H766" s="26" t="str">
        <x:v>Native taxonomy</x:v>
      </x:c>
      <x:c r="I766" s="26" t="str">
        <x:v>type:</x:v>
      </x:c>
      <x:c r="J766" s="26" t="str">
        <x:v>t:"Locus"</x:v>
      </x:c>
      <x:c r="K766" s="26" t="str"/>
      <x:c r="L766" s="26" t="str">
        <x:v>locus</x:v>
      </x:c>
      <x:c r="M766" s="26" t="str">
        <x:v>Translate directly</x:v>
      </x:c>
      <x:c r="N766" s="26" t="str">
        <x:v>Production-ready</x:v>
      </x:c>
      <x:c r="O766" s="43" t="n">
        <x:v>0.99</x:v>
      </x:c>
      <x:c r="P766" s="26" t="str">
        <x:v>Use for card type/supertype/subtype intent, not for art or rules-text mentions.</x:v>
      </x:c>
      <x:c r="Q766" s="26" t="str">
        <x:v>https://scryfall.com/docs/syntax</x:v>
      </x:c>
      <x:c r="R766" s="26" t="str">
        <x:v>2026-08-21</x:v>
      </x:c>
    </x:row>
    <x:row r="767">
      <x:c r="A767" s="26" t="str">
        <x:v>CardTypes!A69:B69</x:v>
      </x:c>
      <x:c r="B767" s="26" t="str">
        <x:v>Land Type</x:v>
      </x:c>
      <x:c r="C767" s="26" t="str">
        <x:v>Mine</x:v>
      </x:c>
      <x:c r="D767" s="26" t="str">
        <x:v>Card-type taxonomy</x:v>
      </x:c>
      <x:c r="E767" s="26"/>
      <x:c r="F767" s="26" t="str">
        <x:v>t:"Mine"</x:v>
      </x:c>
      <x:c r="G767" s="26" t="str">
        <x:v>High</x:v>
      </x:c>
      <x:c r="H767" s="26" t="str">
        <x:v>Native taxonomy</x:v>
      </x:c>
      <x:c r="I767" s="26" t="str">
        <x:v>type:</x:v>
      </x:c>
      <x:c r="J767" s="26" t="str">
        <x:v>t:"Mine"</x:v>
      </x:c>
      <x:c r="K767" s="26" t="str"/>
      <x:c r="L767" s="26" t="str">
        <x:v>mine</x:v>
      </x:c>
      <x:c r="M767" s="26" t="str">
        <x:v>Translate directly</x:v>
      </x:c>
      <x:c r="N767" s="26" t="str">
        <x:v>Production-ready</x:v>
      </x:c>
      <x:c r="O767" s="43" t="n">
        <x:v>0.99</x:v>
      </x:c>
      <x:c r="P767" s="26" t="str">
        <x:v>Use for card type/supertype/subtype intent, not for art or rules-text mentions.</x:v>
      </x:c>
      <x:c r="Q767" s="26" t="str">
        <x:v>https://scryfall.com/docs/syntax</x:v>
      </x:c>
      <x:c r="R767" s="26" t="str">
        <x:v>2026-08-21</x:v>
      </x:c>
    </x:row>
    <x:row r="768">
      <x:c r="A768" s="26" t="str">
        <x:v>CardTypes!A70:B70</x:v>
      </x:c>
      <x:c r="B768" s="26" t="str">
        <x:v>Land Type</x:v>
      </x:c>
      <x:c r="C768" s="26" t="str">
        <x:v>Mountain</x:v>
      </x:c>
      <x:c r="D768" s="26" t="str">
        <x:v>Card-type taxonomy</x:v>
      </x:c>
      <x:c r="E768" s="26"/>
      <x:c r="F768" s="26" t="str">
        <x:v>t:"Mountain"</x:v>
      </x:c>
      <x:c r="G768" s="26" t="str">
        <x:v>High</x:v>
      </x:c>
      <x:c r="H768" s="26" t="str">
        <x:v>Native taxonomy</x:v>
      </x:c>
      <x:c r="I768" s="26" t="str">
        <x:v>type:</x:v>
      </x:c>
      <x:c r="J768" s="26" t="str">
        <x:v>t:"Mountain"</x:v>
      </x:c>
      <x:c r="K768" s="26" t="str"/>
      <x:c r="L768" s="26" t="str">
        <x:v>mountain</x:v>
      </x:c>
      <x:c r="M768" s="26" t="str">
        <x:v>Translate directly</x:v>
      </x:c>
      <x:c r="N768" s="26" t="str">
        <x:v>Production-ready</x:v>
      </x:c>
      <x:c r="O768" s="43" t="n">
        <x:v>0.99</x:v>
      </x:c>
      <x:c r="P768" s="26" t="str">
        <x:v>Use for card type/supertype/subtype intent, not for art or rules-text mentions.</x:v>
      </x:c>
      <x:c r="Q768" s="26" t="str">
        <x:v>https://scryfall.com/docs/syntax</x:v>
      </x:c>
      <x:c r="R768" s="26" t="str">
        <x:v>2026-08-21</x:v>
      </x:c>
    </x:row>
    <x:row r="769">
      <x:c r="A769" s="26" t="str">
        <x:v>CardTypes!A71:B71</x:v>
      </x:c>
      <x:c r="B769" s="26" t="str">
        <x:v>Land Type</x:v>
      </x:c>
      <x:c r="C769" s="26" t="str">
        <x:v>Plains</x:v>
      </x:c>
      <x:c r="D769" s="26" t="str">
        <x:v>Card-type taxonomy</x:v>
      </x:c>
      <x:c r="E769" s="26"/>
      <x:c r="F769" s="26" t="str">
        <x:v>t:"Plains"</x:v>
      </x:c>
      <x:c r="G769" s="26" t="str">
        <x:v>High</x:v>
      </x:c>
      <x:c r="H769" s="26" t="str">
        <x:v>Native taxonomy</x:v>
      </x:c>
      <x:c r="I769" s="26" t="str">
        <x:v>type:</x:v>
      </x:c>
      <x:c r="J769" s="26" t="str">
        <x:v>t:"Plains"</x:v>
      </x:c>
      <x:c r="K769" s="26" t="str"/>
      <x:c r="L769" s="26" t="str">
        <x:v>plains</x:v>
      </x:c>
      <x:c r="M769" s="26" t="str">
        <x:v>Translate directly</x:v>
      </x:c>
      <x:c r="N769" s="26" t="str">
        <x:v>Production-ready</x:v>
      </x:c>
      <x:c r="O769" s="43" t="n">
        <x:v>0.99</x:v>
      </x:c>
      <x:c r="P769" s="26" t="str">
        <x:v>Use for card type/supertype/subtype intent, not for art or rules-text mentions.</x:v>
      </x:c>
      <x:c r="Q769" s="26" t="str">
        <x:v>https://scryfall.com/docs/syntax</x:v>
      </x:c>
      <x:c r="R769" s="26" t="str">
        <x:v>2026-08-21</x:v>
      </x:c>
    </x:row>
    <x:row r="770">
      <x:c r="A770" s="26" t="str">
        <x:v>CardTypes!A72:B72</x:v>
      </x:c>
      <x:c r="B770" s="26" t="str">
        <x:v>Land Type</x:v>
      </x:c>
      <x:c r="C770" s="26" t="str">
        <x:v>Planet</x:v>
      </x:c>
      <x:c r="D770" s="26" t="str">
        <x:v>Card-type taxonomy</x:v>
      </x:c>
      <x:c r="E770" s="26"/>
      <x:c r="F770" s="26" t="str">
        <x:v>t:"Planet"</x:v>
      </x:c>
      <x:c r="G770" s="26" t="str">
        <x:v>High</x:v>
      </x:c>
      <x:c r="H770" s="26" t="str">
        <x:v>Native taxonomy</x:v>
      </x:c>
      <x:c r="I770" s="26" t="str">
        <x:v>type:</x:v>
      </x:c>
      <x:c r="J770" s="26" t="str">
        <x:v>t:"Planet"</x:v>
      </x:c>
      <x:c r="K770" s="26" t="str"/>
      <x:c r="L770" s="26" t="str">
        <x:v>planet</x:v>
      </x:c>
      <x:c r="M770" s="26" t="str">
        <x:v>Translate directly</x:v>
      </x:c>
      <x:c r="N770" s="26" t="str">
        <x:v>Production-ready</x:v>
      </x:c>
      <x:c r="O770" s="43" t="n">
        <x:v>0.99</x:v>
      </x:c>
      <x:c r="P770" s="26" t="str">
        <x:v>Use for card type/supertype/subtype intent, not for art or rules-text mentions.</x:v>
      </x:c>
      <x:c r="Q770" s="26" t="str">
        <x:v>https://scryfall.com/docs/syntax</x:v>
      </x:c>
      <x:c r="R770" s="26" t="str">
        <x:v>2026-08-21</x:v>
      </x:c>
    </x:row>
    <x:row r="771">
      <x:c r="A771" s="26" t="str">
        <x:v>CardTypes!A73:B73</x:v>
      </x:c>
      <x:c r="B771" s="26" t="str">
        <x:v>Land Type</x:v>
      </x:c>
      <x:c r="C771" s="26" t="str">
        <x:v>Power-Plant</x:v>
      </x:c>
      <x:c r="D771" s="26" t="str">
        <x:v>Card-type taxonomy</x:v>
      </x:c>
      <x:c r="E771" s="26"/>
      <x:c r="F771" s="26" t="str">
        <x:v>t:"Power-Plant"</x:v>
      </x:c>
      <x:c r="G771" s="26" t="str">
        <x:v>High</x:v>
      </x:c>
      <x:c r="H771" s="26" t="str">
        <x:v>Native taxonomy</x:v>
      </x:c>
      <x:c r="I771" s="26" t="str">
        <x:v>type:</x:v>
      </x:c>
      <x:c r="J771" s="26" t="str">
        <x:v>t:"Power-Plant"</x:v>
      </x:c>
      <x:c r="K771" s="26" t="str"/>
      <x:c r="L771" s="26" t="str">
        <x:v>power-plant</x:v>
      </x:c>
      <x:c r="M771" s="26" t="str">
        <x:v>Translate directly</x:v>
      </x:c>
      <x:c r="N771" s="26" t="str">
        <x:v>Production-ready</x:v>
      </x:c>
      <x:c r="O771" s="43" t="n">
        <x:v>0.99</x:v>
      </x:c>
      <x:c r="P771" s="26" t="str">
        <x:v>Use for card type/supertype/subtype intent, not for art or rules-text mentions.</x:v>
      </x:c>
      <x:c r="Q771" s="26" t="str">
        <x:v>https://scryfall.com/docs/syntax</x:v>
      </x:c>
      <x:c r="R771" s="26" t="str">
        <x:v>2026-08-21</x:v>
      </x:c>
    </x:row>
    <x:row r="772">
      <x:c r="A772" s="26" t="str">
        <x:v>CardTypes!A74:B74</x:v>
      </x:c>
      <x:c r="B772" s="26" t="str">
        <x:v>Land Type</x:v>
      </x:c>
      <x:c r="C772" s="26" t="str">
        <x:v>Sphere</x:v>
      </x:c>
      <x:c r="D772" s="26" t="str">
        <x:v>Card-type taxonomy</x:v>
      </x:c>
      <x:c r="E772" s="26"/>
      <x:c r="F772" s="26" t="str">
        <x:v>t:"Sphere"</x:v>
      </x:c>
      <x:c r="G772" s="26" t="str">
        <x:v>High</x:v>
      </x:c>
      <x:c r="H772" s="26" t="str">
        <x:v>Native taxonomy</x:v>
      </x:c>
      <x:c r="I772" s="26" t="str">
        <x:v>type:</x:v>
      </x:c>
      <x:c r="J772" s="26" t="str">
        <x:v>t:"Sphere"</x:v>
      </x:c>
      <x:c r="K772" s="26" t="str"/>
      <x:c r="L772" s="26" t="str">
        <x:v>sphere</x:v>
      </x:c>
      <x:c r="M772" s="26" t="str">
        <x:v>Translate directly</x:v>
      </x:c>
      <x:c r="N772" s="26" t="str">
        <x:v>Production-ready</x:v>
      </x:c>
      <x:c r="O772" s="43" t="n">
        <x:v>0.99</x:v>
      </x:c>
      <x:c r="P772" s="26" t="str">
        <x:v>Use for card type/supertype/subtype intent, not for art or rules-text mentions.</x:v>
      </x:c>
      <x:c r="Q772" s="26" t="str">
        <x:v>https://scryfall.com/docs/syntax</x:v>
      </x:c>
      <x:c r="R772" s="26" t="str">
        <x:v>2026-08-21</x:v>
      </x:c>
    </x:row>
    <x:row r="773">
      <x:c r="A773" s="26" t="str">
        <x:v>CardTypes!A75:B75</x:v>
      </x:c>
      <x:c r="B773" s="26" t="str">
        <x:v>Land Type</x:v>
      </x:c>
      <x:c r="C773" s="26" t="str">
        <x:v>Swamp</x:v>
      </x:c>
      <x:c r="D773" s="26" t="str">
        <x:v>Card-type taxonomy</x:v>
      </x:c>
      <x:c r="E773" s="26"/>
      <x:c r="F773" s="26" t="str">
        <x:v>t:"Swamp"</x:v>
      </x:c>
      <x:c r="G773" s="26" t="str">
        <x:v>High</x:v>
      </x:c>
      <x:c r="H773" s="26" t="str">
        <x:v>Native taxonomy</x:v>
      </x:c>
      <x:c r="I773" s="26" t="str">
        <x:v>type:</x:v>
      </x:c>
      <x:c r="J773" s="26" t="str">
        <x:v>t:"Swamp"</x:v>
      </x:c>
      <x:c r="K773" s="26" t="str"/>
      <x:c r="L773" s="26" t="str">
        <x:v>swamp</x:v>
      </x:c>
      <x:c r="M773" s="26" t="str">
        <x:v>Translate directly</x:v>
      </x:c>
      <x:c r="N773" s="26" t="str">
        <x:v>Production-ready</x:v>
      </x:c>
      <x:c r="O773" s="43" t="n">
        <x:v>0.99</x:v>
      </x:c>
      <x:c r="P773" s="26" t="str">
        <x:v>Use for card type/supertype/subtype intent, not for art or rules-text mentions.</x:v>
      </x:c>
      <x:c r="Q773" s="26" t="str">
        <x:v>https://scryfall.com/docs/syntax</x:v>
      </x:c>
      <x:c r="R773" s="26" t="str">
        <x:v>2026-08-21</x:v>
      </x:c>
    </x:row>
    <x:row r="774">
      <x:c r="A774" s="26" t="str">
        <x:v>CardTypes!A76:B76</x:v>
      </x:c>
      <x:c r="B774" s="26" t="str">
        <x:v>Land Type</x:v>
      </x:c>
      <x:c r="C774" s="26" t="str">
        <x:v>Tower</x:v>
      </x:c>
      <x:c r="D774" s="26" t="str">
        <x:v>Card-type taxonomy</x:v>
      </x:c>
      <x:c r="E774" s="26"/>
      <x:c r="F774" s="26" t="str">
        <x:v>t:"Tower"</x:v>
      </x:c>
      <x:c r="G774" s="26" t="str">
        <x:v>High</x:v>
      </x:c>
      <x:c r="H774" s="26" t="str">
        <x:v>Native taxonomy</x:v>
      </x:c>
      <x:c r="I774" s="26" t="str">
        <x:v>type:</x:v>
      </x:c>
      <x:c r="J774" s="26" t="str">
        <x:v>t:"Tower"</x:v>
      </x:c>
      <x:c r="K774" s="26" t="str"/>
      <x:c r="L774" s="26" t="str">
        <x:v>tower</x:v>
      </x:c>
      <x:c r="M774" s="26" t="str">
        <x:v>Translate directly</x:v>
      </x:c>
      <x:c r="N774" s="26" t="str">
        <x:v>Production-ready</x:v>
      </x:c>
      <x:c r="O774" s="43" t="n">
        <x:v>0.99</x:v>
      </x:c>
      <x:c r="P774" s="26" t="str">
        <x:v>Use for card type/supertype/subtype intent, not for art or rules-text mentions.</x:v>
      </x:c>
      <x:c r="Q774" s="26" t="str">
        <x:v>https://scryfall.com/docs/syntax</x:v>
      </x:c>
      <x:c r="R774" s="26" t="str">
        <x:v>2026-08-21</x:v>
      </x:c>
    </x:row>
    <x:row r="775">
      <x:c r="A775" s="26" t="str">
        <x:v>CardTypes!A77:B77</x:v>
      </x:c>
      <x:c r="B775" s="26" t="str">
        <x:v>Land Type</x:v>
      </x:c>
      <x:c r="C775" s="26" t="str">
        <x:v>Town</x:v>
      </x:c>
      <x:c r="D775" s="26" t="str">
        <x:v>Card-type taxonomy</x:v>
      </x:c>
      <x:c r="E775" s="26"/>
      <x:c r="F775" s="26" t="str">
        <x:v>t:"Town"</x:v>
      </x:c>
      <x:c r="G775" s="26" t="str">
        <x:v>High</x:v>
      </x:c>
      <x:c r="H775" s="26" t="str">
        <x:v>Native taxonomy</x:v>
      </x:c>
      <x:c r="I775" s="26" t="str">
        <x:v>type:</x:v>
      </x:c>
      <x:c r="J775" s="26" t="str">
        <x:v>t:"Town"</x:v>
      </x:c>
      <x:c r="K775" s="26" t="str"/>
      <x:c r="L775" s="26" t="str">
        <x:v>town</x:v>
      </x:c>
      <x:c r="M775" s="26" t="str">
        <x:v>Translate directly</x:v>
      </x:c>
      <x:c r="N775" s="26" t="str">
        <x:v>Production-ready</x:v>
      </x:c>
      <x:c r="O775" s="43" t="n">
        <x:v>0.99</x:v>
      </x:c>
      <x:c r="P775" s="26" t="str">
        <x:v>Use for card type/supertype/subtype intent, not for art or rules-text mentions.</x:v>
      </x:c>
      <x:c r="Q775" s="26" t="str">
        <x:v>https://scryfall.com/docs/syntax</x:v>
      </x:c>
      <x:c r="R775" s="26" t="str">
        <x:v>2026-08-21</x:v>
      </x:c>
    </x:row>
    <x:row r="776">
      <x:c r="A776" s="26" t="str">
        <x:v>CardTypes!A78:B78</x:v>
      </x:c>
      <x:c r="B776" s="26" t="str">
        <x:v>Land Type</x:v>
      </x:c>
      <x:c r="C776" s="26" t="str">
        <x:v>Urza's</x:v>
      </x:c>
      <x:c r="D776" s="26" t="str">
        <x:v>Card-type taxonomy</x:v>
      </x:c>
      <x:c r="E776" s="26"/>
      <x:c r="F776" s="26" t="str">
        <x:v>t:"Urza's"</x:v>
      </x:c>
      <x:c r="G776" s="26" t="str">
        <x:v>High</x:v>
      </x:c>
      <x:c r="H776" s="26" t="str">
        <x:v>Native taxonomy</x:v>
      </x:c>
      <x:c r="I776" s="26" t="str">
        <x:v>type:</x:v>
      </x:c>
      <x:c r="J776" s="26" t="str">
        <x:v>t:"Urza's"</x:v>
      </x:c>
      <x:c r="K776" s="26" t="str"/>
      <x:c r="L776" s="26" t="str">
        <x:v>urza's</x:v>
      </x:c>
      <x:c r="M776" s="26" t="str">
        <x:v>Translate directly</x:v>
      </x:c>
      <x:c r="N776" s="26" t="str">
        <x:v>Production-ready</x:v>
      </x:c>
      <x:c r="O776" s="43" t="n">
        <x:v>0.99</x:v>
      </x:c>
      <x:c r="P776" s="26" t="str">
        <x:v>Use for card type/supertype/subtype intent, not for art or rules-text mentions.</x:v>
      </x:c>
      <x:c r="Q776" s="26" t="str">
        <x:v>https://scryfall.com/docs/syntax</x:v>
      </x:c>
      <x:c r="R776" s="26" t="str">
        <x:v>2026-08-21</x:v>
      </x:c>
    </x:row>
    <x:row r="777">
      <x:c r="A777" s="26" t="str">
        <x:v>CardTypes!A79:B79</x:v>
      </x:c>
      <x:c r="B777" s="26" t="str">
        <x:v>Spell Type</x:v>
      </x:c>
      <x:c r="C777" s="26" t="str">
        <x:v>Adventure</x:v>
      </x:c>
      <x:c r="D777" s="26" t="str">
        <x:v>Card-type taxonomy</x:v>
      </x:c>
      <x:c r="E777" s="26"/>
      <x:c r="F777" s="26" t="str">
        <x:v>t:"Adventure"</x:v>
      </x:c>
      <x:c r="G777" s="26" t="str">
        <x:v>High</x:v>
      </x:c>
      <x:c r="H777" s="26" t="str">
        <x:v>Native taxonomy</x:v>
      </x:c>
      <x:c r="I777" s="26" t="str">
        <x:v>type:</x:v>
      </x:c>
      <x:c r="J777" s="26" t="str">
        <x:v>t:"Adventure"</x:v>
      </x:c>
      <x:c r="K777" s="26" t="str"/>
      <x:c r="L777" s="26" t="str">
        <x:v>adventure</x:v>
      </x:c>
      <x:c r="M777" s="26" t="str">
        <x:v>Translate directly</x:v>
      </x:c>
      <x:c r="N777" s="26" t="str">
        <x:v>Production-ready</x:v>
      </x:c>
      <x:c r="O777" s="43" t="n">
        <x:v>0.99</x:v>
      </x:c>
      <x:c r="P777" s="26" t="str">
        <x:v>Use for card type/supertype/subtype intent, not for art or rules-text mentions.</x:v>
      </x:c>
      <x:c r="Q777" s="26" t="str">
        <x:v>https://scryfall.com/docs/syntax</x:v>
      </x:c>
      <x:c r="R777" s="26" t="str">
        <x:v>2026-08-21</x:v>
      </x:c>
    </x:row>
    <x:row r="778">
      <x:c r="A778" s="26" t="str">
        <x:v>CardTypes!A80:B80</x:v>
      </x:c>
      <x:c r="B778" s="26" t="str">
        <x:v>Spell Type</x:v>
      </x:c>
      <x:c r="C778" s="26" t="str">
        <x:v>Arcane</x:v>
      </x:c>
      <x:c r="D778" s="26" t="str">
        <x:v>Card-type taxonomy</x:v>
      </x:c>
      <x:c r="E778" s="26"/>
      <x:c r="F778" s="26" t="str">
        <x:v>t:"Arcane"</x:v>
      </x:c>
      <x:c r="G778" s="26" t="str">
        <x:v>High</x:v>
      </x:c>
      <x:c r="H778" s="26" t="str">
        <x:v>Native taxonomy</x:v>
      </x:c>
      <x:c r="I778" s="26" t="str">
        <x:v>type:</x:v>
      </x:c>
      <x:c r="J778" s="26" t="str">
        <x:v>t:"Arcane"</x:v>
      </x:c>
      <x:c r="K778" s="26" t="str"/>
      <x:c r="L778" s="26" t="str">
        <x:v>arcane</x:v>
      </x:c>
      <x:c r="M778" s="26" t="str">
        <x:v>Translate directly</x:v>
      </x:c>
      <x:c r="N778" s="26" t="str">
        <x:v>Production-ready</x:v>
      </x:c>
      <x:c r="O778" s="43" t="n">
        <x:v>0.99</x:v>
      </x:c>
      <x:c r="P778" s="26" t="str">
        <x:v>Use for card type/supertype/subtype intent, not for art or rules-text mentions.</x:v>
      </x:c>
      <x:c r="Q778" s="26" t="str">
        <x:v>https://scryfall.com/docs/syntax</x:v>
      </x:c>
      <x:c r="R778" s="26" t="str">
        <x:v>2026-08-21</x:v>
      </x:c>
    </x:row>
    <x:row r="779">
      <x:c r="A779" s="26" t="str">
        <x:v>CardTypes!A81:B81</x:v>
      </x:c>
      <x:c r="B779" s="26" t="str">
        <x:v>Spell Type</x:v>
      </x:c>
      <x:c r="C779" s="26" t="str">
        <x:v>Chorus</x:v>
      </x:c>
      <x:c r="D779" s="26" t="str">
        <x:v>Card-type taxonomy</x:v>
      </x:c>
      <x:c r="E779" s="26"/>
      <x:c r="F779" s="26" t="str">
        <x:v>t:"Chorus"</x:v>
      </x:c>
      <x:c r="G779" s="26" t="str">
        <x:v>High</x:v>
      </x:c>
      <x:c r="H779" s="26" t="str">
        <x:v>Native taxonomy</x:v>
      </x:c>
      <x:c r="I779" s="26" t="str">
        <x:v>type:</x:v>
      </x:c>
      <x:c r="J779" s="26" t="str">
        <x:v>t:"Chorus"</x:v>
      </x:c>
      <x:c r="K779" s="26" t="str"/>
      <x:c r="L779" s="26" t="str">
        <x:v>chorus</x:v>
      </x:c>
      <x:c r="M779" s="26" t="str">
        <x:v>Translate directly</x:v>
      </x:c>
      <x:c r="N779" s="26" t="str">
        <x:v>Production-ready</x:v>
      </x:c>
      <x:c r="O779" s="43" t="n">
        <x:v>0.99</x:v>
      </x:c>
      <x:c r="P779" s="26" t="str">
        <x:v>Use for card type/supertype/subtype intent, not for art or rules-text mentions.</x:v>
      </x:c>
      <x:c r="Q779" s="26" t="str">
        <x:v>https://scryfall.com/docs/syntax</x:v>
      </x:c>
      <x:c r="R779" s="26" t="str">
        <x:v>2026-08-21</x:v>
      </x:c>
    </x:row>
    <x:row r="780">
      <x:c r="A780" s="26" t="str">
        <x:v>CardTypes!A82:B82</x:v>
      </x:c>
      <x:c r="B780" s="26" t="str">
        <x:v>Spell Type</x:v>
      </x:c>
      <x:c r="C780" s="26" t="str">
        <x:v>Lesson</x:v>
      </x:c>
      <x:c r="D780" s="26" t="str">
        <x:v>Card-type taxonomy</x:v>
      </x:c>
      <x:c r="E780" s="26"/>
      <x:c r="F780" s="26" t="str">
        <x:v>t:"Lesson"</x:v>
      </x:c>
      <x:c r="G780" s="26" t="str">
        <x:v>High</x:v>
      </x:c>
      <x:c r="H780" s="26" t="str">
        <x:v>Native taxonomy</x:v>
      </x:c>
      <x:c r="I780" s="26" t="str">
        <x:v>type:</x:v>
      </x:c>
      <x:c r="J780" s="26" t="str">
        <x:v>t:"Lesson"</x:v>
      </x:c>
      <x:c r="K780" s="26" t="str"/>
      <x:c r="L780" s="26" t="str">
        <x:v>lesson</x:v>
      </x:c>
      <x:c r="M780" s="26" t="str">
        <x:v>Translate directly</x:v>
      </x:c>
      <x:c r="N780" s="26" t="str">
        <x:v>Production-ready</x:v>
      </x:c>
      <x:c r="O780" s="43" t="n">
        <x:v>0.99</x:v>
      </x:c>
      <x:c r="P780" s="26" t="str">
        <x:v>Use for card type/supertype/subtype intent, not for art or rules-text mentions.</x:v>
      </x:c>
      <x:c r="Q780" s="26" t="str">
        <x:v>https://scryfall.com/docs/syntax</x:v>
      </x:c>
      <x:c r="R780" s="26" t="str">
        <x:v>2026-08-21</x:v>
      </x:c>
    </x:row>
    <x:row r="781">
      <x:c r="A781" s="26" t="str">
        <x:v>CardTypes!A83:B83</x:v>
      </x:c>
      <x:c r="B781" s="26" t="str">
        <x:v>Spell Type</x:v>
      </x:c>
      <x:c r="C781" s="26" t="str">
        <x:v>Omen</x:v>
      </x:c>
      <x:c r="D781" s="26" t="str">
        <x:v>Card-type taxonomy</x:v>
      </x:c>
      <x:c r="E781" s="26"/>
      <x:c r="F781" s="26" t="str">
        <x:v>t:"Omen"</x:v>
      </x:c>
      <x:c r="G781" s="26" t="str">
        <x:v>High</x:v>
      </x:c>
      <x:c r="H781" s="26" t="str">
        <x:v>Native taxonomy</x:v>
      </x:c>
      <x:c r="I781" s="26" t="str">
        <x:v>type:</x:v>
      </x:c>
      <x:c r="J781" s="26" t="str">
        <x:v>t:"Omen"</x:v>
      </x:c>
      <x:c r="K781" s="26" t="str"/>
      <x:c r="L781" s="26" t="str">
        <x:v>omen</x:v>
      </x:c>
      <x:c r="M781" s="26" t="str">
        <x:v>Translate directly</x:v>
      </x:c>
      <x:c r="N781" s="26" t="str">
        <x:v>Production-ready</x:v>
      </x:c>
      <x:c r="O781" s="43" t="n">
        <x:v>0.99</x:v>
      </x:c>
      <x:c r="P781" s="26" t="str">
        <x:v>Use for card type/supertype/subtype intent, not for art or rules-text mentions.</x:v>
      </x:c>
      <x:c r="Q781" s="26" t="str">
        <x:v>https://scryfall.com/docs/syntax</x:v>
      </x:c>
      <x:c r="R781" s="26" t="str">
        <x:v>2026-08-21</x:v>
      </x:c>
    </x:row>
    <x:row r="782">
      <x:c r="A782" s="26" t="str">
        <x:v>CardTypes!A84:B84</x:v>
      </x:c>
      <x:c r="B782" s="26" t="str">
        <x:v>Spell Type</x:v>
      </x:c>
      <x:c r="C782" s="26" t="str">
        <x:v>Trap</x:v>
      </x:c>
      <x:c r="D782" s="26" t="str">
        <x:v>Card-type taxonomy</x:v>
      </x:c>
      <x:c r="E782" s="26"/>
      <x:c r="F782" s="26" t="str">
        <x:v>t:"Trap"</x:v>
      </x:c>
      <x:c r="G782" s="26" t="str">
        <x:v>High</x:v>
      </x:c>
      <x:c r="H782" s="26" t="str">
        <x:v>Native taxonomy</x:v>
      </x:c>
      <x:c r="I782" s="26" t="str">
        <x:v>type:</x:v>
      </x:c>
      <x:c r="J782" s="26" t="str">
        <x:v>t:"Trap"</x:v>
      </x:c>
      <x:c r="K782" s="26" t="str"/>
      <x:c r="L782" s="26" t="str">
        <x:v>trap</x:v>
      </x:c>
      <x:c r="M782" s="26" t="str">
        <x:v>Translate directly</x:v>
      </x:c>
      <x:c r="N782" s="26" t="str">
        <x:v>Production-ready</x:v>
      </x:c>
      <x:c r="O782" s="43" t="n">
        <x:v>0.99</x:v>
      </x:c>
      <x:c r="P782" s="26" t="str">
        <x:v>Use for card type/supertype/subtype intent, not for art or rules-text mentions.</x:v>
      </x:c>
      <x:c r="Q782" s="26" t="str">
        <x:v>https://scryfall.com/docs/syntax</x:v>
      </x:c>
      <x:c r="R782" s="26" t="str">
        <x:v>2026-08-21</x:v>
      </x:c>
    </x:row>
    <x:row r="783">
      <x:c r="A783" s="26" t="str">
        <x:v>PlaneswalkerTypes!A2</x:v>
      </x:c>
      <x:c r="B783" s="26" t="str">
        <x:v>Planeswalker Type</x:v>
      </x:c>
      <x:c r="C783" s="26" t="str">
        <x:v>Abian</x:v>
      </x:c>
      <x:c r="D783" s="26" t="str">
        <x:v>Planeswalker subtype</x:v>
      </x:c>
      <x:c r="E783" s="26"/>
      <x:c r="F783" s="26" t="str">
        <x:v>t:"Abian"</x:v>
      </x:c>
      <x:c r="G783" s="26" t="str">
        <x:v>High</x:v>
      </x:c>
      <x:c r="H783" s="26" t="str">
        <x:v>Native taxonomy</x:v>
      </x:c>
      <x:c r="I783" s="26" t="str">
        <x:v>type:</x:v>
      </x:c>
      <x:c r="J783" s="26" t="str">
        <x:v>t:"Abian"</x:v>
      </x:c>
      <x:c r="K783" s="26" t="str"/>
      <x:c r="L783" s="26" t="str">
        <x:v>abian</x:v>
      </x:c>
      <x:c r="M783" s="26" t="str">
        <x:v>Translate directly</x:v>
      </x:c>
      <x:c r="N783" s="26" t="str">
        <x:v>Production-ready</x:v>
      </x:c>
      <x:c r="O783" s="43" t="n">
        <x:v>0.99</x:v>
      </x:c>
      <x:c r="P783" s="26" t="str">
        <x:v>Use for card type/supertype/subtype intent, not for art or rules-text mentions.</x:v>
      </x:c>
      <x:c r="Q783" s="26" t="str">
        <x:v>https://scryfall.com/docs/syntax</x:v>
      </x:c>
      <x:c r="R783" s="26" t="str">
        <x:v>2026-08-21</x:v>
      </x:c>
    </x:row>
    <x:row r="784">
      <x:c r="A784" s="26" t="str">
        <x:v>PlaneswalkerTypes!A3</x:v>
      </x:c>
      <x:c r="B784" s="26" t="str">
        <x:v>Planeswalker Type</x:v>
      </x:c>
      <x:c r="C784" s="26" t="str">
        <x:v>Ajani</x:v>
      </x:c>
      <x:c r="D784" s="26" t="str">
        <x:v>Planeswalker subtype</x:v>
      </x:c>
      <x:c r="E784" s="26"/>
      <x:c r="F784" s="26" t="str">
        <x:v>t:"Ajani"</x:v>
      </x:c>
      <x:c r="G784" s="26" t="str">
        <x:v>High</x:v>
      </x:c>
      <x:c r="H784" s="26" t="str">
        <x:v>Native taxonomy</x:v>
      </x:c>
      <x:c r="I784" s="26" t="str">
        <x:v>type:</x:v>
      </x:c>
      <x:c r="J784" s="26" t="str">
        <x:v>t:"Ajani"</x:v>
      </x:c>
      <x:c r="K784" s="26" t="str"/>
      <x:c r="L784" s="26" t="str">
        <x:v>ajani</x:v>
      </x:c>
      <x:c r="M784" s="26" t="str">
        <x:v>Translate directly</x:v>
      </x:c>
      <x:c r="N784" s="26" t="str">
        <x:v>Production-ready</x:v>
      </x:c>
      <x:c r="O784" s="43" t="n">
        <x:v>0.99</x:v>
      </x:c>
      <x:c r="P784" s="26" t="str">
        <x:v>Use for card type/supertype/subtype intent, not for art or rules-text mentions.</x:v>
      </x:c>
      <x:c r="Q784" s="26" t="str">
        <x:v>https://scryfall.com/docs/syntax</x:v>
      </x:c>
      <x:c r="R784" s="26" t="str">
        <x:v>2026-08-21</x:v>
      </x:c>
    </x:row>
    <x:row r="785">
      <x:c r="A785" s="26" t="str">
        <x:v>PlaneswalkerTypes!A4</x:v>
      </x:c>
      <x:c r="B785" s="26" t="str">
        <x:v>Planeswalker Type</x:v>
      </x:c>
      <x:c r="C785" s="26" t="str">
        <x:v>Aminatou</x:v>
      </x:c>
      <x:c r="D785" s="26" t="str">
        <x:v>Planeswalker subtype</x:v>
      </x:c>
      <x:c r="E785" s="26"/>
      <x:c r="F785" s="26" t="str">
        <x:v>t:"Aminatou"</x:v>
      </x:c>
      <x:c r="G785" s="26" t="str">
        <x:v>High</x:v>
      </x:c>
      <x:c r="H785" s="26" t="str">
        <x:v>Native taxonomy</x:v>
      </x:c>
      <x:c r="I785" s="26" t="str">
        <x:v>type:</x:v>
      </x:c>
      <x:c r="J785" s="26" t="str">
        <x:v>t:"Aminatou"</x:v>
      </x:c>
      <x:c r="K785" s="26" t="str"/>
      <x:c r="L785" s="26" t="str">
        <x:v>aminatou</x:v>
      </x:c>
      <x:c r="M785" s="26" t="str">
        <x:v>Translate directly</x:v>
      </x:c>
      <x:c r="N785" s="26" t="str">
        <x:v>Production-ready</x:v>
      </x:c>
      <x:c r="O785" s="43" t="n">
        <x:v>0.99</x:v>
      </x:c>
      <x:c r="P785" s="26" t="str">
        <x:v>Use for card type/supertype/subtype intent, not for art or rules-text mentions.</x:v>
      </x:c>
      <x:c r="Q785" s="26" t="str">
        <x:v>https://scryfall.com/docs/syntax</x:v>
      </x:c>
      <x:c r="R785" s="26" t="str">
        <x:v>2026-08-21</x:v>
      </x:c>
    </x:row>
    <x:row r="786">
      <x:c r="A786" s="26" t="str">
        <x:v>PlaneswalkerTypes!A5</x:v>
      </x:c>
      <x:c r="B786" s="26" t="str">
        <x:v>Planeswalker Type</x:v>
      </x:c>
      <x:c r="C786" s="26" t="str">
        <x:v>Angrath</x:v>
      </x:c>
      <x:c r="D786" s="26" t="str">
        <x:v>Planeswalker subtype</x:v>
      </x:c>
      <x:c r="E786" s="26"/>
      <x:c r="F786" s="26" t="str">
        <x:v>t:"Angrath"</x:v>
      </x:c>
      <x:c r="G786" s="26" t="str">
        <x:v>High</x:v>
      </x:c>
      <x:c r="H786" s="26" t="str">
        <x:v>Native taxonomy</x:v>
      </x:c>
      <x:c r="I786" s="26" t="str">
        <x:v>type:</x:v>
      </x:c>
      <x:c r="J786" s="26" t="str">
        <x:v>t:"Angrath"</x:v>
      </x:c>
      <x:c r="K786" s="26" t="str"/>
      <x:c r="L786" s="26" t="str">
        <x:v>angrath</x:v>
      </x:c>
      <x:c r="M786" s="26" t="str">
        <x:v>Translate directly</x:v>
      </x:c>
      <x:c r="N786" s="26" t="str">
        <x:v>Production-ready</x:v>
      </x:c>
      <x:c r="O786" s="43" t="n">
        <x:v>0.99</x:v>
      </x:c>
      <x:c r="P786" s="26" t="str">
        <x:v>Use for card type/supertype/subtype intent, not for art or rules-text mentions.</x:v>
      </x:c>
      <x:c r="Q786" s="26" t="str">
        <x:v>https://scryfall.com/docs/syntax</x:v>
      </x:c>
      <x:c r="R786" s="26" t="str">
        <x:v>2026-08-21</x:v>
      </x:c>
    </x:row>
    <x:row r="787">
      <x:c r="A787" s="26" t="str">
        <x:v>PlaneswalkerTypes!A6</x:v>
      </x:c>
      <x:c r="B787" s="26" t="str">
        <x:v>Planeswalker Type</x:v>
      </x:c>
      <x:c r="C787" s="26" t="str">
        <x:v>Arlinn</x:v>
      </x:c>
      <x:c r="D787" s="26" t="str">
        <x:v>Planeswalker subtype</x:v>
      </x:c>
      <x:c r="E787" s="26"/>
      <x:c r="F787" s="26" t="str">
        <x:v>t:"Arlinn"</x:v>
      </x:c>
      <x:c r="G787" s="26" t="str">
        <x:v>High</x:v>
      </x:c>
      <x:c r="H787" s="26" t="str">
        <x:v>Native taxonomy</x:v>
      </x:c>
      <x:c r="I787" s="26" t="str">
        <x:v>type:</x:v>
      </x:c>
      <x:c r="J787" s="26" t="str">
        <x:v>t:"Arlinn"</x:v>
      </x:c>
      <x:c r="K787" s="26" t="str"/>
      <x:c r="L787" s="26" t="str">
        <x:v>arlinn</x:v>
      </x:c>
      <x:c r="M787" s="26" t="str">
        <x:v>Translate directly</x:v>
      </x:c>
      <x:c r="N787" s="26" t="str">
        <x:v>Production-ready</x:v>
      </x:c>
      <x:c r="O787" s="43" t="n">
        <x:v>0.99</x:v>
      </x:c>
      <x:c r="P787" s="26" t="str">
        <x:v>Use for card type/supertype/subtype intent, not for art or rules-text mentions.</x:v>
      </x:c>
      <x:c r="Q787" s="26" t="str">
        <x:v>https://scryfall.com/docs/syntax</x:v>
      </x:c>
      <x:c r="R787" s="26" t="str">
        <x:v>2026-08-21</x:v>
      </x:c>
    </x:row>
    <x:row r="788">
      <x:c r="A788" s="26" t="str">
        <x:v>PlaneswalkerTypes!A7</x:v>
      </x:c>
      <x:c r="B788" s="26" t="str">
        <x:v>Planeswalker Type</x:v>
      </x:c>
      <x:c r="C788" s="26" t="str">
        <x:v>Ashiok</x:v>
      </x:c>
      <x:c r="D788" s="26" t="str">
        <x:v>Planeswalker subtype</x:v>
      </x:c>
      <x:c r="E788" s="26"/>
      <x:c r="F788" s="26" t="str">
        <x:v>t:"Ashiok"</x:v>
      </x:c>
      <x:c r="G788" s="26" t="str">
        <x:v>High</x:v>
      </x:c>
      <x:c r="H788" s="26" t="str">
        <x:v>Native taxonomy</x:v>
      </x:c>
      <x:c r="I788" s="26" t="str">
        <x:v>type:</x:v>
      </x:c>
      <x:c r="J788" s="26" t="str">
        <x:v>t:"Ashiok"</x:v>
      </x:c>
      <x:c r="K788" s="26" t="str"/>
      <x:c r="L788" s="26" t="str">
        <x:v>ashiok</x:v>
      </x:c>
      <x:c r="M788" s="26" t="str">
        <x:v>Translate directly</x:v>
      </x:c>
      <x:c r="N788" s="26" t="str">
        <x:v>Production-ready</x:v>
      </x:c>
      <x:c r="O788" s="43" t="n">
        <x:v>0.99</x:v>
      </x:c>
      <x:c r="P788" s="26" t="str">
        <x:v>Use for card type/supertype/subtype intent, not for art or rules-text mentions.</x:v>
      </x:c>
      <x:c r="Q788" s="26" t="str">
        <x:v>https://scryfall.com/docs/syntax</x:v>
      </x:c>
      <x:c r="R788" s="26" t="str">
        <x:v>2026-08-21</x:v>
      </x:c>
    </x:row>
    <x:row r="789">
      <x:c r="A789" s="26" t="str">
        <x:v>PlaneswalkerTypes!A8</x:v>
      </x:c>
      <x:c r="B789" s="26" t="str">
        <x:v>Planeswalker Type</x:v>
      </x:c>
      <x:c r="C789" s="26" t="str">
        <x:v>B.O.B.</x:v>
      </x:c>
      <x:c r="D789" s="26" t="str">
        <x:v>Planeswalker subtype</x:v>
      </x:c>
      <x:c r="E789" s="26"/>
      <x:c r="F789" s="26" t="str">
        <x:v>t:"B.O.B."</x:v>
      </x:c>
      <x:c r="G789" s="26" t="str">
        <x:v>High</x:v>
      </x:c>
      <x:c r="H789" s="26" t="str">
        <x:v>Native taxonomy</x:v>
      </x:c>
      <x:c r="I789" s="26" t="str">
        <x:v>type:</x:v>
      </x:c>
      <x:c r="J789" s="26" t="str">
        <x:v>t:"B.O.B."</x:v>
      </x:c>
      <x:c r="K789" s="26" t="str"/>
      <x:c r="L789" s="26" t="str">
        <x:v>b.o.b.</x:v>
      </x:c>
      <x:c r="M789" s="26" t="str">
        <x:v>Translate directly</x:v>
      </x:c>
      <x:c r="N789" s="26" t="str">
        <x:v>Production-ready</x:v>
      </x:c>
      <x:c r="O789" s="43" t="n">
        <x:v>0.99</x:v>
      </x:c>
      <x:c r="P789" s="26" t="str">
        <x:v>Use for card type/supertype/subtype intent, not for art or rules-text mentions.</x:v>
      </x:c>
      <x:c r="Q789" s="26" t="str">
        <x:v>https://scryfall.com/docs/syntax</x:v>
      </x:c>
      <x:c r="R789" s="26" t="str">
        <x:v>2026-08-21</x:v>
      </x:c>
    </x:row>
    <x:row r="790">
      <x:c r="A790" s="26" t="str">
        <x:v>PlaneswalkerTypes!A9</x:v>
      </x:c>
      <x:c r="B790" s="26" t="str">
        <x:v>Planeswalker Type</x:v>
      </x:c>
      <x:c r="C790" s="26" t="str">
        <x:v>Bahamut</x:v>
      </x:c>
      <x:c r="D790" s="26" t="str">
        <x:v>Planeswalker subtype</x:v>
      </x:c>
      <x:c r="E790" s="26"/>
      <x:c r="F790" s="26" t="str">
        <x:v>t:"Bahamut"</x:v>
      </x:c>
      <x:c r="G790" s="26" t="str">
        <x:v>High</x:v>
      </x:c>
      <x:c r="H790" s="26" t="str">
        <x:v>Native taxonomy</x:v>
      </x:c>
      <x:c r="I790" s="26" t="str">
        <x:v>type:</x:v>
      </x:c>
      <x:c r="J790" s="26" t="str">
        <x:v>t:"Bahamut"</x:v>
      </x:c>
      <x:c r="K790" s="26" t="str"/>
      <x:c r="L790" s="26" t="str">
        <x:v>bahamut</x:v>
      </x:c>
      <x:c r="M790" s="26" t="str">
        <x:v>Translate directly</x:v>
      </x:c>
      <x:c r="N790" s="26" t="str">
        <x:v>Production-ready</x:v>
      </x:c>
      <x:c r="O790" s="43" t="n">
        <x:v>0.99</x:v>
      </x:c>
      <x:c r="P790" s="26" t="str">
        <x:v>Use for card type/supertype/subtype intent, not for art or rules-text mentions.</x:v>
      </x:c>
      <x:c r="Q790" s="26" t="str">
        <x:v>https://scryfall.com/docs/syntax</x:v>
      </x:c>
      <x:c r="R790" s="26" t="str">
        <x:v>2026-08-21</x:v>
      </x:c>
    </x:row>
    <x:row r="791">
      <x:c r="A791" s="26" t="str">
        <x:v>PlaneswalkerTypes!A10</x:v>
      </x:c>
      <x:c r="B791" s="26" t="str">
        <x:v>Planeswalker Type</x:v>
      </x:c>
      <x:c r="C791" s="26" t="str">
        <x:v>Basri</x:v>
      </x:c>
      <x:c r="D791" s="26" t="str">
        <x:v>Planeswalker subtype</x:v>
      </x:c>
      <x:c r="E791" s="26"/>
      <x:c r="F791" s="26" t="str">
        <x:v>t:"Basri"</x:v>
      </x:c>
      <x:c r="G791" s="26" t="str">
        <x:v>High</x:v>
      </x:c>
      <x:c r="H791" s="26" t="str">
        <x:v>Native taxonomy</x:v>
      </x:c>
      <x:c r="I791" s="26" t="str">
        <x:v>type:</x:v>
      </x:c>
      <x:c r="J791" s="26" t="str">
        <x:v>t:"Basri"</x:v>
      </x:c>
      <x:c r="K791" s="26" t="str"/>
      <x:c r="L791" s="26" t="str">
        <x:v>basri</x:v>
      </x:c>
      <x:c r="M791" s="26" t="str">
        <x:v>Translate directly</x:v>
      </x:c>
      <x:c r="N791" s="26" t="str">
        <x:v>Production-ready</x:v>
      </x:c>
      <x:c r="O791" s="43" t="n">
        <x:v>0.99</x:v>
      </x:c>
      <x:c r="P791" s="26" t="str">
        <x:v>Use for card type/supertype/subtype intent, not for art or rules-text mentions.</x:v>
      </x:c>
      <x:c r="Q791" s="26" t="str">
        <x:v>https://scryfall.com/docs/syntax</x:v>
      </x:c>
      <x:c r="R791" s="26" t="str">
        <x:v>2026-08-21</x:v>
      </x:c>
    </x:row>
    <x:row r="792">
      <x:c r="A792" s="26" t="str">
        <x:v>PlaneswalkerTypes!A11</x:v>
      </x:c>
      <x:c r="B792" s="26" t="str">
        <x:v>Planeswalker Type</x:v>
      </x:c>
      <x:c r="C792" s="26" t="str">
        <x:v>Bolas</x:v>
      </x:c>
      <x:c r="D792" s="26" t="str">
        <x:v>Planeswalker subtype</x:v>
      </x:c>
      <x:c r="E792" s="26"/>
      <x:c r="F792" s="26" t="str">
        <x:v>t:"Bolas"</x:v>
      </x:c>
      <x:c r="G792" s="26" t="str">
        <x:v>High</x:v>
      </x:c>
      <x:c r="H792" s="26" t="str">
        <x:v>Native taxonomy</x:v>
      </x:c>
      <x:c r="I792" s="26" t="str">
        <x:v>type:</x:v>
      </x:c>
      <x:c r="J792" s="26" t="str">
        <x:v>t:"Bolas"</x:v>
      </x:c>
      <x:c r="K792" s="26" t="str"/>
      <x:c r="L792" s="26" t="str">
        <x:v>bolas</x:v>
      </x:c>
      <x:c r="M792" s="26" t="str">
        <x:v>Translate directly</x:v>
      </x:c>
      <x:c r="N792" s="26" t="str">
        <x:v>Production-ready</x:v>
      </x:c>
      <x:c r="O792" s="43" t="n">
        <x:v>0.99</x:v>
      </x:c>
      <x:c r="P792" s="26" t="str">
        <x:v>Use for card type/supertype/subtype intent, not for art or rules-text mentions.</x:v>
      </x:c>
      <x:c r="Q792" s="26" t="str">
        <x:v>https://scryfall.com/docs/syntax</x:v>
      </x:c>
      <x:c r="R792" s="26" t="str">
        <x:v>2026-08-21</x:v>
      </x:c>
    </x:row>
    <x:row r="793">
      <x:c r="A793" s="26" t="str">
        <x:v>PlaneswalkerTypes!A12</x:v>
      </x:c>
      <x:c r="B793" s="26" t="str">
        <x:v>Planeswalker Type</x:v>
      </x:c>
      <x:c r="C793" s="26" t="str">
        <x:v>Calix</x:v>
      </x:c>
      <x:c r="D793" s="26" t="str">
        <x:v>Planeswalker subtype</x:v>
      </x:c>
      <x:c r="E793" s="26"/>
      <x:c r="F793" s="26" t="str">
        <x:v>t:"Calix"</x:v>
      </x:c>
      <x:c r="G793" s="26" t="str">
        <x:v>High</x:v>
      </x:c>
      <x:c r="H793" s="26" t="str">
        <x:v>Native taxonomy</x:v>
      </x:c>
      <x:c r="I793" s="26" t="str">
        <x:v>type:</x:v>
      </x:c>
      <x:c r="J793" s="26" t="str">
        <x:v>t:"Calix"</x:v>
      </x:c>
      <x:c r="K793" s="26" t="str"/>
      <x:c r="L793" s="26" t="str">
        <x:v>calix</x:v>
      </x:c>
      <x:c r="M793" s="26" t="str">
        <x:v>Translate directly</x:v>
      </x:c>
      <x:c r="N793" s="26" t="str">
        <x:v>Production-ready</x:v>
      </x:c>
      <x:c r="O793" s="43" t="n">
        <x:v>0.99</x:v>
      </x:c>
      <x:c r="P793" s="26" t="str">
        <x:v>Use for card type/supertype/subtype intent, not for art or rules-text mentions.</x:v>
      </x:c>
      <x:c r="Q793" s="26" t="str">
        <x:v>https://scryfall.com/docs/syntax</x:v>
      </x:c>
      <x:c r="R793" s="26" t="str">
        <x:v>2026-08-21</x:v>
      </x:c>
    </x:row>
    <x:row r="794">
      <x:c r="A794" s="26" t="str">
        <x:v>PlaneswalkerTypes!A13</x:v>
      </x:c>
      <x:c r="B794" s="26" t="str">
        <x:v>Planeswalker Type</x:v>
      </x:c>
      <x:c r="C794" s="26" t="str">
        <x:v>Chandra</x:v>
      </x:c>
      <x:c r="D794" s="26" t="str">
        <x:v>Planeswalker subtype</x:v>
      </x:c>
      <x:c r="E794" s="26"/>
      <x:c r="F794" s="26" t="str">
        <x:v>t:"Chandra"</x:v>
      </x:c>
      <x:c r="G794" s="26" t="str">
        <x:v>High</x:v>
      </x:c>
      <x:c r="H794" s="26" t="str">
        <x:v>Native taxonomy</x:v>
      </x:c>
      <x:c r="I794" s="26" t="str">
        <x:v>type:</x:v>
      </x:c>
      <x:c r="J794" s="26" t="str">
        <x:v>t:"Chandra"</x:v>
      </x:c>
      <x:c r="K794" s="26" t="str"/>
      <x:c r="L794" s="26" t="str">
        <x:v>chandra</x:v>
      </x:c>
      <x:c r="M794" s="26" t="str">
        <x:v>Translate directly</x:v>
      </x:c>
      <x:c r="N794" s="26" t="str">
        <x:v>Production-ready</x:v>
      </x:c>
      <x:c r="O794" s="43" t="n">
        <x:v>0.99</x:v>
      </x:c>
      <x:c r="P794" s="26" t="str">
        <x:v>Use for card type/supertype/subtype intent, not for art or rules-text mentions.</x:v>
      </x:c>
      <x:c r="Q794" s="26" t="str">
        <x:v>https://scryfall.com/docs/syntax</x:v>
      </x:c>
      <x:c r="R794" s="26" t="str">
        <x:v>2026-08-21</x:v>
      </x:c>
    </x:row>
    <x:row r="795">
      <x:c r="A795" s="26" t="str">
        <x:v>PlaneswalkerTypes!A14</x:v>
      </x:c>
      <x:c r="B795" s="26" t="str">
        <x:v>Planeswalker Type</x:v>
      </x:c>
      <x:c r="C795" s="26" t="str">
        <x:v>Comet</x:v>
      </x:c>
      <x:c r="D795" s="26" t="str">
        <x:v>Planeswalker subtype</x:v>
      </x:c>
      <x:c r="E795" s="26"/>
      <x:c r="F795" s="26" t="str">
        <x:v>t:"Comet"</x:v>
      </x:c>
      <x:c r="G795" s="26" t="str">
        <x:v>High</x:v>
      </x:c>
      <x:c r="H795" s="26" t="str">
        <x:v>Native taxonomy</x:v>
      </x:c>
      <x:c r="I795" s="26" t="str">
        <x:v>type:</x:v>
      </x:c>
      <x:c r="J795" s="26" t="str">
        <x:v>t:"Comet"</x:v>
      </x:c>
      <x:c r="K795" s="26" t="str"/>
      <x:c r="L795" s="26" t="str">
        <x:v>comet</x:v>
      </x:c>
      <x:c r="M795" s="26" t="str">
        <x:v>Translate directly</x:v>
      </x:c>
      <x:c r="N795" s="26" t="str">
        <x:v>Production-ready</x:v>
      </x:c>
      <x:c r="O795" s="43" t="n">
        <x:v>0.99</x:v>
      </x:c>
      <x:c r="P795" s="26" t="str">
        <x:v>Use for card type/supertype/subtype intent, not for art or rules-text mentions.</x:v>
      </x:c>
      <x:c r="Q795" s="26" t="str">
        <x:v>https://scryfall.com/docs/syntax</x:v>
      </x:c>
      <x:c r="R795" s="26" t="str">
        <x:v>2026-08-21</x:v>
      </x:c>
    </x:row>
    <x:row r="796">
      <x:c r="A796" s="26" t="str">
        <x:v>PlaneswalkerTypes!A15</x:v>
      </x:c>
      <x:c r="B796" s="26" t="str">
        <x:v>Planeswalker Type</x:v>
      </x:c>
      <x:c r="C796" s="26" t="str">
        <x:v>Dack</x:v>
      </x:c>
      <x:c r="D796" s="26" t="str">
        <x:v>Planeswalker subtype</x:v>
      </x:c>
      <x:c r="E796" s="26"/>
      <x:c r="F796" s="26" t="str">
        <x:v>t:"Dack"</x:v>
      </x:c>
      <x:c r="G796" s="26" t="str">
        <x:v>High</x:v>
      </x:c>
      <x:c r="H796" s="26" t="str">
        <x:v>Native taxonomy</x:v>
      </x:c>
      <x:c r="I796" s="26" t="str">
        <x:v>type:</x:v>
      </x:c>
      <x:c r="J796" s="26" t="str">
        <x:v>t:"Dack"</x:v>
      </x:c>
      <x:c r="K796" s="26" t="str"/>
      <x:c r="L796" s="26" t="str">
        <x:v>dack</x:v>
      </x:c>
      <x:c r="M796" s="26" t="str">
        <x:v>Translate directly</x:v>
      </x:c>
      <x:c r="N796" s="26" t="str">
        <x:v>Production-ready</x:v>
      </x:c>
      <x:c r="O796" s="43" t="n">
        <x:v>0.99</x:v>
      </x:c>
      <x:c r="P796" s="26" t="str">
        <x:v>Use for card type/supertype/subtype intent, not for art or rules-text mentions.</x:v>
      </x:c>
      <x:c r="Q796" s="26" t="str">
        <x:v>https://scryfall.com/docs/syntax</x:v>
      </x:c>
      <x:c r="R796" s="26" t="str">
        <x:v>2026-08-21</x:v>
      </x:c>
    </x:row>
    <x:row r="797">
      <x:c r="A797" s="26" t="str">
        <x:v>PlaneswalkerTypes!A16</x:v>
      </x:c>
      <x:c r="B797" s="26" t="str">
        <x:v>Planeswalker Type</x:v>
      </x:c>
      <x:c r="C797" s="26" t="str">
        <x:v>Dakkon</x:v>
      </x:c>
      <x:c r="D797" s="26" t="str">
        <x:v>Planeswalker subtype</x:v>
      </x:c>
      <x:c r="E797" s="26"/>
      <x:c r="F797" s="26" t="str">
        <x:v>t:"Dakkon"</x:v>
      </x:c>
      <x:c r="G797" s="26" t="str">
        <x:v>High</x:v>
      </x:c>
      <x:c r="H797" s="26" t="str">
        <x:v>Native taxonomy</x:v>
      </x:c>
      <x:c r="I797" s="26" t="str">
        <x:v>type:</x:v>
      </x:c>
      <x:c r="J797" s="26" t="str">
        <x:v>t:"Dakkon"</x:v>
      </x:c>
      <x:c r="K797" s="26" t="str"/>
      <x:c r="L797" s="26" t="str">
        <x:v>dakkon</x:v>
      </x:c>
      <x:c r="M797" s="26" t="str">
        <x:v>Translate directly</x:v>
      </x:c>
      <x:c r="N797" s="26" t="str">
        <x:v>Production-ready</x:v>
      </x:c>
      <x:c r="O797" s="43" t="n">
        <x:v>0.99</x:v>
      </x:c>
      <x:c r="P797" s="26" t="str">
        <x:v>Use for card type/supertype/subtype intent, not for art or rules-text mentions.</x:v>
      </x:c>
      <x:c r="Q797" s="26" t="str">
        <x:v>https://scryfall.com/docs/syntax</x:v>
      </x:c>
      <x:c r="R797" s="26" t="str">
        <x:v>2026-08-21</x:v>
      </x:c>
    </x:row>
    <x:row r="798">
      <x:c r="A798" s="26" t="str">
        <x:v>PlaneswalkerTypes!A17</x:v>
      </x:c>
      <x:c r="B798" s="26" t="str">
        <x:v>Planeswalker Type</x:v>
      </x:c>
      <x:c r="C798" s="26" t="str">
        <x:v>Daretti</x:v>
      </x:c>
      <x:c r="D798" s="26" t="str">
        <x:v>Planeswalker subtype</x:v>
      </x:c>
      <x:c r="E798" s="26"/>
      <x:c r="F798" s="26" t="str">
        <x:v>t:"Daretti"</x:v>
      </x:c>
      <x:c r="G798" s="26" t="str">
        <x:v>High</x:v>
      </x:c>
      <x:c r="H798" s="26" t="str">
        <x:v>Native taxonomy</x:v>
      </x:c>
      <x:c r="I798" s="26" t="str">
        <x:v>type:</x:v>
      </x:c>
      <x:c r="J798" s="26" t="str">
        <x:v>t:"Daretti"</x:v>
      </x:c>
      <x:c r="K798" s="26" t="str"/>
      <x:c r="L798" s="26" t="str">
        <x:v>daretti</x:v>
      </x:c>
      <x:c r="M798" s="26" t="str">
        <x:v>Translate directly</x:v>
      </x:c>
      <x:c r="N798" s="26" t="str">
        <x:v>Production-ready</x:v>
      </x:c>
      <x:c r="O798" s="43" t="n">
        <x:v>0.99</x:v>
      </x:c>
      <x:c r="P798" s="26" t="str">
        <x:v>Use for card type/supertype/subtype intent, not for art or rules-text mentions.</x:v>
      </x:c>
      <x:c r="Q798" s="26" t="str">
        <x:v>https://scryfall.com/docs/syntax</x:v>
      </x:c>
      <x:c r="R798" s="26" t="str">
        <x:v>2026-08-21</x:v>
      </x:c>
    </x:row>
    <x:row r="799">
      <x:c r="A799" s="26" t="str">
        <x:v>PlaneswalkerTypes!A18</x:v>
      </x:c>
      <x:c r="B799" s="26" t="str">
        <x:v>Planeswalker Type</x:v>
      </x:c>
      <x:c r="C799" s="26" t="str">
        <x:v>Davriel</x:v>
      </x:c>
      <x:c r="D799" s="26" t="str">
        <x:v>Planeswalker subtype</x:v>
      </x:c>
      <x:c r="E799" s="26"/>
      <x:c r="F799" s="26" t="str">
        <x:v>t:"Davriel"</x:v>
      </x:c>
      <x:c r="G799" s="26" t="str">
        <x:v>High</x:v>
      </x:c>
      <x:c r="H799" s="26" t="str">
        <x:v>Native taxonomy</x:v>
      </x:c>
      <x:c r="I799" s="26" t="str">
        <x:v>type:</x:v>
      </x:c>
      <x:c r="J799" s="26" t="str">
        <x:v>t:"Davriel"</x:v>
      </x:c>
      <x:c r="K799" s="26" t="str"/>
      <x:c r="L799" s="26" t="str">
        <x:v>davriel</x:v>
      </x:c>
      <x:c r="M799" s="26" t="str">
        <x:v>Translate directly</x:v>
      </x:c>
      <x:c r="N799" s="26" t="str">
        <x:v>Production-ready</x:v>
      </x:c>
      <x:c r="O799" s="43" t="n">
        <x:v>0.99</x:v>
      </x:c>
      <x:c r="P799" s="26" t="str">
        <x:v>Use for card type/supertype/subtype intent, not for art or rules-text mentions.</x:v>
      </x:c>
      <x:c r="Q799" s="26" t="str">
        <x:v>https://scryfall.com/docs/syntax</x:v>
      </x:c>
      <x:c r="R799" s="26" t="str">
        <x:v>2026-08-21</x:v>
      </x:c>
    </x:row>
    <x:row r="800">
      <x:c r="A800" s="26" t="str">
        <x:v>PlaneswalkerTypes!A19</x:v>
      </x:c>
      <x:c r="B800" s="26" t="str">
        <x:v>Planeswalker Type</x:v>
      </x:c>
      <x:c r="C800" s="26" t="str">
        <x:v>Deb</x:v>
      </x:c>
      <x:c r="D800" s="26" t="str">
        <x:v>Planeswalker subtype</x:v>
      </x:c>
      <x:c r="E800" s="26"/>
      <x:c r="F800" s="26" t="str">
        <x:v>t:"Deb"</x:v>
      </x:c>
      <x:c r="G800" s="26" t="str">
        <x:v>High</x:v>
      </x:c>
      <x:c r="H800" s="26" t="str">
        <x:v>Native taxonomy</x:v>
      </x:c>
      <x:c r="I800" s="26" t="str">
        <x:v>type:</x:v>
      </x:c>
      <x:c r="J800" s="26" t="str">
        <x:v>t:"Deb"</x:v>
      </x:c>
      <x:c r="K800" s="26" t="str"/>
      <x:c r="L800" s="26" t="str">
        <x:v>deb</x:v>
      </x:c>
      <x:c r="M800" s="26" t="str">
        <x:v>Translate directly</x:v>
      </x:c>
      <x:c r="N800" s="26" t="str">
        <x:v>Production-ready</x:v>
      </x:c>
      <x:c r="O800" s="43" t="n">
        <x:v>0.99</x:v>
      </x:c>
      <x:c r="P800" s="26" t="str">
        <x:v>Use for card type/supertype/subtype intent, not for art or rules-text mentions.</x:v>
      </x:c>
      <x:c r="Q800" s="26" t="str">
        <x:v>https://scryfall.com/docs/syntax</x:v>
      </x:c>
      <x:c r="R800" s="26" t="str">
        <x:v>2026-08-21</x:v>
      </x:c>
    </x:row>
    <x:row r="801">
      <x:c r="A801" s="26" t="str">
        <x:v>PlaneswalkerTypes!A20</x:v>
      </x:c>
      <x:c r="B801" s="26" t="str">
        <x:v>Planeswalker Type</x:v>
      </x:c>
      <x:c r="C801" s="26" t="str">
        <x:v>Dellian</x:v>
      </x:c>
      <x:c r="D801" s="26" t="str">
        <x:v>Planeswalker subtype</x:v>
      </x:c>
      <x:c r="E801" s="26"/>
      <x:c r="F801" s="26" t="str">
        <x:v>t:"Dellian"</x:v>
      </x:c>
      <x:c r="G801" s="26" t="str">
        <x:v>High</x:v>
      </x:c>
      <x:c r="H801" s="26" t="str">
        <x:v>Native taxonomy</x:v>
      </x:c>
      <x:c r="I801" s="26" t="str">
        <x:v>type:</x:v>
      </x:c>
      <x:c r="J801" s="26" t="str">
        <x:v>t:"Dellian"</x:v>
      </x:c>
      <x:c r="K801" s="26" t="str"/>
      <x:c r="L801" s="26" t="str">
        <x:v>dellian</x:v>
      </x:c>
      <x:c r="M801" s="26" t="str">
        <x:v>Translate directly</x:v>
      </x:c>
      <x:c r="N801" s="26" t="str">
        <x:v>Production-ready</x:v>
      </x:c>
      <x:c r="O801" s="43" t="n">
        <x:v>0.99</x:v>
      </x:c>
      <x:c r="P801" s="26" t="str">
        <x:v>Use for card type/supertype/subtype intent, not for art or rules-text mentions.</x:v>
      </x:c>
      <x:c r="Q801" s="26" t="str">
        <x:v>https://scryfall.com/docs/syntax</x:v>
      </x:c>
      <x:c r="R801" s="26" t="str">
        <x:v>2026-08-21</x:v>
      </x:c>
    </x:row>
    <x:row r="802">
      <x:c r="A802" s="26" t="str">
        <x:v>PlaneswalkerTypes!A21</x:v>
      </x:c>
      <x:c r="B802" s="26" t="str">
        <x:v>Planeswalker Type</x:v>
      </x:c>
      <x:c r="C802" s="26" t="str">
        <x:v>Dihada</x:v>
      </x:c>
      <x:c r="D802" s="26" t="str">
        <x:v>Planeswalker subtype</x:v>
      </x:c>
      <x:c r="E802" s="26"/>
      <x:c r="F802" s="26" t="str">
        <x:v>t:"Dihada"</x:v>
      </x:c>
      <x:c r="G802" s="26" t="str">
        <x:v>High</x:v>
      </x:c>
      <x:c r="H802" s="26" t="str">
        <x:v>Native taxonomy</x:v>
      </x:c>
      <x:c r="I802" s="26" t="str">
        <x:v>type:</x:v>
      </x:c>
      <x:c r="J802" s="26" t="str">
        <x:v>t:"Dihada"</x:v>
      </x:c>
      <x:c r="K802" s="26" t="str"/>
      <x:c r="L802" s="26" t="str">
        <x:v>dihada</x:v>
      </x:c>
      <x:c r="M802" s="26" t="str">
        <x:v>Translate directly</x:v>
      </x:c>
      <x:c r="N802" s="26" t="str">
        <x:v>Production-ready</x:v>
      </x:c>
      <x:c r="O802" s="43" t="n">
        <x:v>0.99</x:v>
      </x:c>
      <x:c r="P802" s="26" t="str">
        <x:v>Use for card type/supertype/subtype intent, not for art or rules-text mentions.</x:v>
      </x:c>
      <x:c r="Q802" s="26" t="str">
        <x:v>https://scryfall.com/docs/syntax</x:v>
      </x:c>
      <x:c r="R802" s="26" t="str">
        <x:v>2026-08-21</x:v>
      </x:c>
    </x:row>
    <x:row r="803">
      <x:c r="A803" s="26" t="str">
        <x:v>PlaneswalkerTypes!A22</x:v>
      </x:c>
      <x:c r="B803" s="26" t="str">
        <x:v>Planeswalker Type</x:v>
      </x:c>
      <x:c r="C803" s="26" t="str">
        <x:v>Domri</x:v>
      </x:c>
      <x:c r="D803" s="26" t="str">
        <x:v>Planeswalker subtype</x:v>
      </x:c>
      <x:c r="E803" s="26"/>
      <x:c r="F803" s="26" t="str">
        <x:v>t:"Domri"</x:v>
      </x:c>
      <x:c r="G803" s="26" t="str">
        <x:v>High</x:v>
      </x:c>
      <x:c r="H803" s="26" t="str">
        <x:v>Native taxonomy</x:v>
      </x:c>
      <x:c r="I803" s="26" t="str">
        <x:v>type:</x:v>
      </x:c>
      <x:c r="J803" s="26" t="str">
        <x:v>t:"Domri"</x:v>
      </x:c>
      <x:c r="K803" s="26" t="str"/>
      <x:c r="L803" s="26" t="str">
        <x:v>domri</x:v>
      </x:c>
      <x:c r="M803" s="26" t="str">
        <x:v>Translate directly</x:v>
      </x:c>
      <x:c r="N803" s="26" t="str">
        <x:v>Production-ready</x:v>
      </x:c>
      <x:c r="O803" s="43" t="n">
        <x:v>0.99</x:v>
      </x:c>
      <x:c r="P803" s="26" t="str">
        <x:v>Use for card type/supertype/subtype intent, not for art or rules-text mentions.</x:v>
      </x:c>
      <x:c r="Q803" s="26" t="str">
        <x:v>https://scryfall.com/docs/syntax</x:v>
      </x:c>
      <x:c r="R803" s="26" t="str">
        <x:v>2026-08-21</x:v>
      </x:c>
    </x:row>
    <x:row r="804">
      <x:c r="A804" s="26" t="str">
        <x:v>PlaneswalkerTypes!A23</x:v>
      </x:c>
      <x:c r="B804" s="26" t="str">
        <x:v>Planeswalker Type</x:v>
      </x:c>
      <x:c r="C804" s="26" t="str">
        <x:v>Dovin</x:v>
      </x:c>
      <x:c r="D804" s="26" t="str">
        <x:v>Planeswalker subtype</x:v>
      </x:c>
      <x:c r="E804" s="26"/>
      <x:c r="F804" s="26" t="str">
        <x:v>t:"Dovin"</x:v>
      </x:c>
      <x:c r="G804" s="26" t="str">
        <x:v>High</x:v>
      </x:c>
      <x:c r="H804" s="26" t="str">
        <x:v>Native taxonomy</x:v>
      </x:c>
      <x:c r="I804" s="26" t="str">
        <x:v>type:</x:v>
      </x:c>
      <x:c r="J804" s="26" t="str">
        <x:v>t:"Dovin"</x:v>
      </x:c>
      <x:c r="K804" s="26" t="str"/>
      <x:c r="L804" s="26" t="str">
        <x:v>dovin</x:v>
      </x:c>
      <x:c r="M804" s="26" t="str">
        <x:v>Translate directly</x:v>
      </x:c>
      <x:c r="N804" s="26" t="str">
        <x:v>Production-ready</x:v>
      </x:c>
      <x:c r="O804" s="43" t="n">
        <x:v>0.99</x:v>
      </x:c>
      <x:c r="P804" s="26" t="str">
        <x:v>Use for card type/supertype/subtype intent, not for art or rules-text mentions.</x:v>
      </x:c>
      <x:c r="Q804" s="26" t="str">
        <x:v>https://scryfall.com/docs/syntax</x:v>
      </x:c>
      <x:c r="R804" s="26" t="str">
        <x:v>2026-08-21</x:v>
      </x:c>
    </x:row>
    <x:row r="805">
      <x:c r="A805" s="26" t="str">
        <x:v>PlaneswalkerTypes!A24</x:v>
      </x:c>
      <x:c r="B805" s="26" t="str">
        <x:v>Planeswalker Type</x:v>
      </x:c>
      <x:c r="C805" s="26" t="str">
        <x:v>Duck</x:v>
      </x:c>
      <x:c r="D805" s="26" t="str">
        <x:v>Planeswalker subtype</x:v>
      </x:c>
      <x:c r="E805" s="26"/>
      <x:c r="F805" s="26" t="str">
        <x:v>t:"Duck"</x:v>
      </x:c>
      <x:c r="G805" s="26" t="str">
        <x:v>High</x:v>
      </x:c>
      <x:c r="H805" s="26" t="str">
        <x:v>Native taxonomy</x:v>
      </x:c>
      <x:c r="I805" s="26" t="str">
        <x:v>type:</x:v>
      </x:c>
      <x:c r="J805" s="26" t="str">
        <x:v>t:"Duck"</x:v>
      </x:c>
      <x:c r="K805" s="26" t="str"/>
      <x:c r="L805" s="26" t="str">
        <x:v>duck</x:v>
      </x:c>
      <x:c r="M805" s="26" t="str">
        <x:v>Translate directly</x:v>
      </x:c>
      <x:c r="N805" s="26" t="str">
        <x:v>Production-ready</x:v>
      </x:c>
      <x:c r="O805" s="43" t="n">
        <x:v>0.99</x:v>
      </x:c>
      <x:c r="P805" s="26" t="str">
        <x:v>Use for card type/supertype/subtype intent, not for art or rules-text mentions.</x:v>
      </x:c>
      <x:c r="Q805" s="26" t="str">
        <x:v>https://scryfall.com/docs/syntax</x:v>
      </x:c>
      <x:c r="R805" s="26" t="str">
        <x:v>2026-08-21</x:v>
      </x:c>
    </x:row>
    <x:row r="806">
      <x:c r="A806" s="26" t="str">
        <x:v>PlaneswalkerTypes!A25</x:v>
      </x:c>
      <x:c r="B806" s="26" t="str">
        <x:v>Planeswalker Type</x:v>
      </x:c>
      <x:c r="C806" s="26" t="str">
        <x:v>Dungeon</x:v>
      </x:c>
      <x:c r="D806" s="26" t="str">
        <x:v>Planeswalker subtype</x:v>
      </x:c>
      <x:c r="E806" s="26"/>
      <x:c r="F806" s="26" t="str">
        <x:v>t:"Dungeon"</x:v>
      </x:c>
      <x:c r="G806" s="26" t="str">
        <x:v>High</x:v>
      </x:c>
      <x:c r="H806" s="26" t="str">
        <x:v>Native taxonomy</x:v>
      </x:c>
      <x:c r="I806" s="26" t="str">
        <x:v>type:</x:v>
      </x:c>
      <x:c r="J806" s="26" t="str">
        <x:v>t:"Dungeon"</x:v>
      </x:c>
      <x:c r="K806" s="26" t="str"/>
      <x:c r="L806" s="26" t="str">
        <x:v>dungeon</x:v>
      </x:c>
      <x:c r="M806" s="26" t="str">
        <x:v>Translate directly</x:v>
      </x:c>
      <x:c r="N806" s="26" t="str">
        <x:v>Production-ready</x:v>
      </x:c>
      <x:c r="O806" s="43" t="n">
        <x:v>0.99</x:v>
      </x:c>
      <x:c r="P806" s="26" t="str">
        <x:v>Use for card type/supertype/subtype intent, not for art or rules-text mentions.</x:v>
      </x:c>
      <x:c r="Q806" s="26" t="str">
        <x:v>https://scryfall.com/docs/syntax</x:v>
      </x:c>
      <x:c r="R806" s="26" t="str">
        <x:v>2026-08-21</x:v>
      </x:c>
    </x:row>
    <x:row r="807">
      <x:c r="A807" s="26" t="str">
        <x:v>PlaneswalkerTypes!A26</x:v>
      </x:c>
      <x:c r="B807" s="26" t="str">
        <x:v>Planeswalker Type</x:v>
      </x:c>
      <x:c r="C807" s="26" t="str">
        <x:v>Ellywick</x:v>
      </x:c>
      <x:c r="D807" s="26" t="str">
        <x:v>Planeswalker subtype</x:v>
      </x:c>
      <x:c r="E807" s="26"/>
      <x:c r="F807" s="26" t="str">
        <x:v>t:"Ellywick"</x:v>
      </x:c>
      <x:c r="G807" s="26" t="str">
        <x:v>High</x:v>
      </x:c>
      <x:c r="H807" s="26" t="str">
        <x:v>Native taxonomy</x:v>
      </x:c>
      <x:c r="I807" s="26" t="str">
        <x:v>type:</x:v>
      </x:c>
      <x:c r="J807" s="26" t="str">
        <x:v>t:"Ellywick"</x:v>
      </x:c>
      <x:c r="K807" s="26" t="str"/>
      <x:c r="L807" s="26" t="str">
        <x:v>ellywick</x:v>
      </x:c>
      <x:c r="M807" s="26" t="str">
        <x:v>Translate directly</x:v>
      </x:c>
      <x:c r="N807" s="26" t="str">
        <x:v>Production-ready</x:v>
      </x:c>
      <x:c r="O807" s="43" t="n">
        <x:v>0.99</x:v>
      </x:c>
      <x:c r="P807" s="26" t="str">
        <x:v>Use for card type/supertype/subtype intent, not for art or rules-text mentions.</x:v>
      </x:c>
      <x:c r="Q807" s="26" t="str">
        <x:v>https://scryfall.com/docs/syntax</x:v>
      </x:c>
      <x:c r="R807" s="26" t="str">
        <x:v>2026-08-21</x:v>
      </x:c>
    </x:row>
    <x:row r="808">
      <x:c r="A808" s="26" t="str">
        <x:v>PlaneswalkerTypes!A27</x:v>
      </x:c>
      <x:c r="B808" s="26" t="str">
        <x:v>Planeswalker Type</x:v>
      </x:c>
      <x:c r="C808" s="26" t="str">
        <x:v>Elminster</x:v>
      </x:c>
      <x:c r="D808" s="26" t="str">
        <x:v>Planeswalker subtype</x:v>
      </x:c>
      <x:c r="E808" s="26"/>
      <x:c r="F808" s="26" t="str">
        <x:v>t:"Elminster"</x:v>
      </x:c>
      <x:c r="G808" s="26" t="str">
        <x:v>High</x:v>
      </x:c>
      <x:c r="H808" s="26" t="str">
        <x:v>Native taxonomy</x:v>
      </x:c>
      <x:c r="I808" s="26" t="str">
        <x:v>type:</x:v>
      </x:c>
      <x:c r="J808" s="26" t="str">
        <x:v>t:"Elminster"</x:v>
      </x:c>
      <x:c r="K808" s="26" t="str"/>
      <x:c r="L808" s="26" t="str">
        <x:v>elminster</x:v>
      </x:c>
      <x:c r="M808" s="26" t="str">
        <x:v>Translate directly</x:v>
      </x:c>
      <x:c r="N808" s="26" t="str">
        <x:v>Production-ready</x:v>
      </x:c>
      <x:c r="O808" s="43" t="n">
        <x:v>0.99</x:v>
      </x:c>
      <x:c r="P808" s="26" t="str">
        <x:v>Use for card type/supertype/subtype intent, not for art or rules-text mentions.</x:v>
      </x:c>
      <x:c r="Q808" s="26" t="str">
        <x:v>https://scryfall.com/docs/syntax</x:v>
      </x:c>
      <x:c r="R808" s="26" t="str">
        <x:v>2026-08-21</x:v>
      </x:c>
    </x:row>
    <x:row r="809">
      <x:c r="A809" s="26" t="str">
        <x:v>PlaneswalkerTypes!A28</x:v>
      </x:c>
      <x:c r="B809" s="26" t="str">
        <x:v>Planeswalker Type</x:v>
      </x:c>
      <x:c r="C809" s="26" t="str">
        <x:v>Elspeth</x:v>
      </x:c>
      <x:c r="D809" s="26" t="str">
        <x:v>Planeswalker subtype</x:v>
      </x:c>
      <x:c r="E809" s="26"/>
      <x:c r="F809" s="26" t="str">
        <x:v>t:"Elspeth"</x:v>
      </x:c>
      <x:c r="G809" s="26" t="str">
        <x:v>High</x:v>
      </x:c>
      <x:c r="H809" s="26" t="str">
        <x:v>Native taxonomy</x:v>
      </x:c>
      <x:c r="I809" s="26" t="str">
        <x:v>type:</x:v>
      </x:c>
      <x:c r="J809" s="26" t="str">
        <x:v>t:"Elspeth"</x:v>
      </x:c>
      <x:c r="K809" s="26" t="str"/>
      <x:c r="L809" s="26" t="str">
        <x:v>elspeth</x:v>
      </x:c>
      <x:c r="M809" s="26" t="str">
        <x:v>Translate directly</x:v>
      </x:c>
      <x:c r="N809" s="26" t="str">
        <x:v>Production-ready</x:v>
      </x:c>
      <x:c r="O809" s="43" t="n">
        <x:v>0.99</x:v>
      </x:c>
      <x:c r="P809" s="26" t="str">
        <x:v>Use for card type/supertype/subtype intent, not for art or rules-text mentions.</x:v>
      </x:c>
      <x:c r="Q809" s="26" t="str">
        <x:v>https://scryfall.com/docs/syntax</x:v>
      </x:c>
      <x:c r="R809" s="26" t="str">
        <x:v>2026-08-21</x:v>
      </x:c>
    </x:row>
    <x:row r="810">
      <x:c r="A810" s="26" t="str">
        <x:v>PlaneswalkerTypes!A29</x:v>
      </x:c>
      <x:c r="B810" s="26" t="str">
        <x:v>Planeswalker Type</x:v>
      </x:c>
      <x:c r="C810" s="26" t="str">
        <x:v>Ersta</x:v>
      </x:c>
      <x:c r="D810" s="26" t="str">
        <x:v>Planeswalker subtype</x:v>
      </x:c>
      <x:c r="E810" s="26"/>
      <x:c r="F810" s="26" t="str">
        <x:v>t:"Ersta"</x:v>
      </x:c>
      <x:c r="G810" s="26" t="str">
        <x:v>High</x:v>
      </x:c>
      <x:c r="H810" s="26" t="str">
        <x:v>Native taxonomy</x:v>
      </x:c>
      <x:c r="I810" s="26" t="str">
        <x:v>type:</x:v>
      </x:c>
      <x:c r="J810" s="26" t="str">
        <x:v>t:"Ersta"</x:v>
      </x:c>
      <x:c r="K810" s="26" t="str"/>
      <x:c r="L810" s="26" t="str">
        <x:v>ersta</x:v>
      </x:c>
      <x:c r="M810" s="26" t="str">
        <x:v>Translate directly</x:v>
      </x:c>
      <x:c r="N810" s="26" t="str">
        <x:v>Production-ready</x:v>
      </x:c>
      <x:c r="O810" s="43" t="n">
        <x:v>0.99</x:v>
      </x:c>
      <x:c r="P810" s="26" t="str">
        <x:v>Use for card type/supertype/subtype intent, not for art or rules-text mentions.</x:v>
      </x:c>
      <x:c r="Q810" s="26" t="str">
        <x:v>https://scryfall.com/docs/syntax</x:v>
      </x:c>
      <x:c r="R810" s="26" t="str">
        <x:v>2026-08-21</x:v>
      </x:c>
    </x:row>
    <x:row r="811">
      <x:c r="A811" s="26" t="str">
        <x:v>PlaneswalkerTypes!A30</x:v>
      </x:c>
      <x:c r="B811" s="26" t="str">
        <x:v>Planeswalker Type</x:v>
      </x:c>
      <x:c r="C811" s="26" t="str">
        <x:v>Estrid</x:v>
      </x:c>
      <x:c r="D811" s="26" t="str">
        <x:v>Planeswalker subtype</x:v>
      </x:c>
      <x:c r="E811" s="26"/>
      <x:c r="F811" s="26" t="str">
        <x:v>t:"Estrid"</x:v>
      </x:c>
      <x:c r="G811" s="26" t="str">
        <x:v>High</x:v>
      </x:c>
      <x:c r="H811" s="26" t="str">
        <x:v>Native taxonomy</x:v>
      </x:c>
      <x:c r="I811" s="26" t="str">
        <x:v>type:</x:v>
      </x:c>
      <x:c r="J811" s="26" t="str">
        <x:v>t:"Estrid"</x:v>
      </x:c>
      <x:c r="K811" s="26" t="str"/>
      <x:c r="L811" s="26" t="str">
        <x:v>estrid</x:v>
      </x:c>
      <x:c r="M811" s="26" t="str">
        <x:v>Translate directly</x:v>
      </x:c>
      <x:c r="N811" s="26" t="str">
        <x:v>Production-ready</x:v>
      </x:c>
      <x:c r="O811" s="43" t="n">
        <x:v>0.99</x:v>
      </x:c>
      <x:c r="P811" s="26" t="str">
        <x:v>Use for card type/supertype/subtype intent, not for art or rules-text mentions.</x:v>
      </x:c>
      <x:c r="Q811" s="26" t="str">
        <x:v>https://scryfall.com/docs/syntax</x:v>
      </x:c>
      <x:c r="R811" s="26" t="str">
        <x:v>2026-08-21</x:v>
      </x:c>
    </x:row>
    <x:row r="812">
      <x:c r="A812" s="26" t="str">
        <x:v>PlaneswalkerTypes!A31</x:v>
      </x:c>
      <x:c r="B812" s="26" t="str">
        <x:v>Planeswalker Type</x:v>
      </x:c>
      <x:c r="C812" s="26" t="str">
        <x:v>Freyalise</x:v>
      </x:c>
      <x:c r="D812" s="26" t="str">
        <x:v>Planeswalker subtype</x:v>
      </x:c>
      <x:c r="E812" s="26"/>
      <x:c r="F812" s="26" t="str">
        <x:v>t:"Freyalise"</x:v>
      </x:c>
      <x:c r="G812" s="26" t="str">
        <x:v>High</x:v>
      </x:c>
      <x:c r="H812" s="26" t="str">
        <x:v>Native taxonomy</x:v>
      </x:c>
      <x:c r="I812" s="26" t="str">
        <x:v>type:</x:v>
      </x:c>
      <x:c r="J812" s="26" t="str">
        <x:v>t:"Freyalise"</x:v>
      </x:c>
      <x:c r="K812" s="26" t="str"/>
      <x:c r="L812" s="26" t="str">
        <x:v>freyalise</x:v>
      </x:c>
      <x:c r="M812" s="26" t="str">
        <x:v>Translate directly</x:v>
      </x:c>
      <x:c r="N812" s="26" t="str">
        <x:v>Production-ready</x:v>
      </x:c>
      <x:c r="O812" s="43" t="n">
        <x:v>0.99</x:v>
      </x:c>
      <x:c r="P812" s="26" t="str">
        <x:v>Use for card type/supertype/subtype intent, not for art or rules-text mentions.</x:v>
      </x:c>
      <x:c r="Q812" s="26" t="str">
        <x:v>https://scryfall.com/docs/syntax</x:v>
      </x:c>
      <x:c r="R812" s="26" t="str">
        <x:v>2026-08-21</x:v>
      </x:c>
    </x:row>
    <x:row r="813">
      <x:c r="A813" s="26" t="str">
        <x:v>PlaneswalkerTypes!A32</x:v>
      </x:c>
      <x:c r="B813" s="26" t="str">
        <x:v>Planeswalker Type</x:v>
      </x:c>
      <x:c r="C813" s="26" t="str">
        <x:v>Garruk</x:v>
      </x:c>
      <x:c r="D813" s="26" t="str">
        <x:v>Planeswalker subtype</x:v>
      </x:c>
      <x:c r="E813" s="26"/>
      <x:c r="F813" s="26" t="str">
        <x:v>t:"Garruk"</x:v>
      </x:c>
      <x:c r="G813" s="26" t="str">
        <x:v>High</x:v>
      </x:c>
      <x:c r="H813" s="26" t="str">
        <x:v>Native taxonomy</x:v>
      </x:c>
      <x:c r="I813" s="26" t="str">
        <x:v>type:</x:v>
      </x:c>
      <x:c r="J813" s="26" t="str">
        <x:v>t:"Garruk"</x:v>
      </x:c>
      <x:c r="K813" s="26" t="str"/>
      <x:c r="L813" s="26" t="str">
        <x:v>garruk</x:v>
      </x:c>
      <x:c r="M813" s="26" t="str">
        <x:v>Translate directly</x:v>
      </x:c>
      <x:c r="N813" s="26" t="str">
        <x:v>Production-ready</x:v>
      </x:c>
      <x:c r="O813" s="43" t="n">
        <x:v>0.99</x:v>
      </x:c>
      <x:c r="P813" s="26" t="str">
        <x:v>Use for card type/supertype/subtype intent, not for art or rules-text mentions.</x:v>
      </x:c>
      <x:c r="Q813" s="26" t="str">
        <x:v>https://scryfall.com/docs/syntax</x:v>
      </x:c>
      <x:c r="R813" s="26" t="str">
        <x:v>2026-08-21</x:v>
      </x:c>
    </x:row>
    <x:row r="814">
      <x:c r="A814" s="26" t="str">
        <x:v>PlaneswalkerTypes!A33</x:v>
      </x:c>
      <x:c r="B814" s="26" t="str">
        <x:v>Planeswalker Type</x:v>
      </x:c>
      <x:c r="C814" s="26" t="str">
        <x:v>Gideon</x:v>
      </x:c>
      <x:c r="D814" s="26" t="str">
        <x:v>Planeswalker subtype</x:v>
      </x:c>
      <x:c r="E814" s="26"/>
      <x:c r="F814" s="26" t="str">
        <x:v>t:"Gideon"</x:v>
      </x:c>
      <x:c r="G814" s="26" t="str">
        <x:v>High</x:v>
      </x:c>
      <x:c r="H814" s="26" t="str">
        <x:v>Native taxonomy</x:v>
      </x:c>
      <x:c r="I814" s="26" t="str">
        <x:v>type:</x:v>
      </x:c>
      <x:c r="J814" s="26" t="str">
        <x:v>t:"Gideon"</x:v>
      </x:c>
      <x:c r="K814" s="26" t="str"/>
      <x:c r="L814" s="26" t="str">
        <x:v>gideon</x:v>
      </x:c>
      <x:c r="M814" s="26" t="str">
        <x:v>Translate directly</x:v>
      </x:c>
      <x:c r="N814" s="26" t="str">
        <x:v>Production-ready</x:v>
      </x:c>
      <x:c r="O814" s="43" t="n">
        <x:v>0.99</x:v>
      </x:c>
      <x:c r="P814" s="26" t="str">
        <x:v>Use for card type/supertype/subtype intent, not for art or rules-text mentions.</x:v>
      </x:c>
      <x:c r="Q814" s="26" t="str">
        <x:v>https://scryfall.com/docs/syntax</x:v>
      </x:c>
      <x:c r="R814" s="26" t="str">
        <x:v>2026-08-21</x:v>
      </x:c>
    </x:row>
    <x:row r="815">
      <x:c r="A815" s="26" t="str">
        <x:v>PlaneswalkerTypes!A34</x:v>
      </x:c>
      <x:c r="B815" s="26" t="str">
        <x:v>Planeswalker Type</x:v>
      </x:c>
      <x:c r="C815" s="26" t="str">
        <x:v>Grist</x:v>
      </x:c>
      <x:c r="D815" s="26" t="str">
        <x:v>Planeswalker subtype</x:v>
      </x:c>
      <x:c r="E815" s="26"/>
      <x:c r="F815" s="26" t="str">
        <x:v>t:"Grist"</x:v>
      </x:c>
      <x:c r="G815" s="26" t="str">
        <x:v>High</x:v>
      </x:c>
      <x:c r="H815" s="26" t="str">
        <x:v>Native taxonomy</x:v>
      </x:c>
      <x:c r="I815" s="26" t="str">
        <x:v>type:</x:v>
      </x:c>
      <x:c r="J815" s="26" t="str">
        <x:v>t:"Grist"</x:v>
      </x:c>
      <x:c r="K815" s="26" t="str"/>
      <x:c r="L815" s="26" t="str">
        <x:v>grist</x:v>
      </x:c>
      <x:c r="M815" s="26" t="str">
        <x:v>Translate directly</x:v>
      </x:c>
      <x:c r="N815" s="26" t="str">
        <x:v>Production-ready</x:v>
      </x:c>
      <x:c r="O815" s="43" t="n">
        <x:v>0.99</x:v>
      </x:c>
      <x:c r="P815" s="26" t="str">
        <x:v>Use for card type/supertype/subtype intent, not for art or rules-text mentions.</x:v>
      </x:c>
      <x:c r="Q815" s="26" t="str">
        <x:v>https://scryfall.com/docs/syntax</x:v>
      </x:c>
      <x:c r="R815" s="26" t="str">
        <x:v>2026-08-21</x:v>
      </x:c>
    </x:row>
    <x:row r="816">
      <x:c r="A816" s="26" t="str">
        <x:v>PlaneswalkerTypes!A35</x:v>
      </x:c>
      <x:c r="B816" s="26" t="str">
        <x:v>Planeswalker Type</x:v>
      </x:c>
      <x:c r="C816" s="26" t="str">
        <x:v>Guff</x:v>
      </x:c>
      <x:c r="D816" s="26" t="str">
        <x:v>Planeswalker subtype</x:v>
      </x:c>
      <x:c r="E816" s="26"/>
      <x:c r="F816" s="26" t="str">
        <x:v>t:"Guff"</x:v>
      </x:c>
      <x:c r="G816" s="26" t="str">
        <x:v>High</x:v>
      </x:c>
      <x:c r="H816" s="26" t="str">
        <x:v>Native taxonomy</x:v>
      </x:c>
      <x:c r="I816" s="26" t="str">
        <x:v>type:</x:v>
      </x:c>
      <x:c r="J816" s="26" t="str">
        <x:v>t:"Guff"</x:v>
      </x:c>
      <x:c r="K816" s="26" t="str"/>
      <x:c r="L816" s="26" t="str">
        <x:v>guff</x:v>
      </x:c>
      <x:c r="M816" s="26" t="str">
        <x:v>Translate directly</x:v>
      </x:c>
      <x:c r="N816" s="26" t="str">
        <x:v>Production-ready</x:v>
      </x:c>
      <x:c r="O816" s="43" t="n">
        <x:v>0.99</x:v>
      </x:c>
      <x:c r="P816" s="26" t="str">
        <x:v>Use for card type/supertype/subtype intent, not for art or rules-text mentions.</x:v>
      </x:c>
      <x:c r="Q816" s="26" t="str">
        <x:v>https://scryfall.com/docs/syntax</x:v>
      </x:c>
      <x:c r="R816" s="26" t="str">
        <x:v>2026-08-21</x:v>
      </x:c>
    </x:row>
    <x:row r="817">
      <x:c r="A817" s="26" t="str">
        <x:v>PlaneswalkerTypes!A36</x:v>
      </x:c>
      <x:c r="B817" s="26" t="str">
        <x:v>Planeswalker Type</x:v>
      </x:c>
      <x:c r="C817" s="26" t="str">
        <x:v>Huatli</x:v>
      </x:c>
      <x:c r="D817" s="26" t="str">
        <x:v>Planeswalker subtype</x:v>
      </x:c>
      <x:c r="E817" s="26"/>
      <x:c r="F817" s="26" t="str">
        <x:v>t:"Huatli"</x:v>
      </x:c>
      <x:c r="G817" s="26" t="str">
        <x:v>High</x:v>
      </x:c>
      <x:c r="H817" s="26" t="str">
        <x:v>Native taxonomy</x:v>
      </x:c>
      <x:c r="I817" s="26" t="str">
        <x:v>type:</x:v>
      </x:c>
      <x:c r="J817" s="26" t="str">
        <x:v>t:"Huatli"</x:v>
      </x:c>
      <x:c r="K817" s="26" t="str"/>
      <x:c r="L817" s="26" t="str">
        <x:v>huatli</x:v>
      </x:c>
      <x:c r="M817" s="26" t="str">
        <x:v>Translate directly</x:v>
      </x:c>
      <x:c r="N817" s="26" t="str">
        <x:v>Production-ready</x:v>
      </x:c>
      <x:c r="O817" s="43" t="n">
        <x:v>0.99</x:v>
      </x:c>
      <x:c r="P817" s="26" t="str">
        <x:v>Use for card type/supertype/subtype intent, not for art or rules-text mentions.</x:v>
      </x:c>
      <x:c r="Q817" s="26" t="str">
        <x:v>https://scryfall.com/docs/syntax</x:v>
      </x:c>
      <x:c r="R817" s="26" t="str">
        <x:v>2026-08-21</x:v>
      </x:c>
    </x:row>
    <x:row r="818">
      <x:c r="A818" s="26" t="str">
        <x:v>PlaneswalkerTypes!A37</x:v>
      </x:c>
      <x:c r="B818" s="26" t="str">
        <x:v>Planeswalker Type</x:v>
      </x:c>
      <x:c r="C818" s="26" t="str">
        <x:v>Inzerva</x:v>
      </x:c>
      <x:c r="D818" s="26" t="str">
        <x:v>Planeswalker subtype</x:v>
      </x:c>
      <x:c r="E818" s="26"/>
      <x:c r="F818" s="26" t="str">
        <x:v>t:"Inzerva"</x:v>
      </x:c>
      <x:c r="G818" s="26" t="str">
        <x:v>High</x:v>
      </x:c>
      <x:c r="H818" s="26" t="str">
        <x:v>Native taxonomy</x:v>
      </x:c>
      <x:c r="I818" s="26" t="str">
        <x:v>type:</x:v>
      </x:c>
      <x:c r="J818" s="26" t="str">
        <x:v>t:"Inzerva"</x:v>
      </x:c>
      <x:c r="K818" s="26" t="str"/>
      <x:c r="L818" s="26" t="str">
        <x:v>inzerva</x:v>
      </x:c>
      <x:c r="M818" s="26" t="str">
        <x:v>Translate directly</x:v>
      </x:c>
      <x:c r="N818" s="26" t="str">
        <x:v>Production-ready</x:v>
      </x:c>
      <x:c r="O818" s="43" t="n">
        <x:v>0.99</x:v>
      </x:c>
      <x:c r="P818" s="26" t="str">
        <x:v>Use for card type/supertype/subtype intent, not for art or rules-text mentions.</x:v>
      </x:c>
      <x:c r="Q818" s="26" t="str">
        <x:v>https://scryfall.com/docs/syntax</x:v>
      </x:c>
      <x:c r="R818" s="26" t="str">
        <x:v>2026-08-21</x:v>
      </x:c>
    </x:row>
    <x:row r="819">
      <x:c r="A819" s="26" t="str">
        <x:v>PlaneswalkerTypes!A38</x:v>
      </x:c>
      <x:c r="B819" s="26" t="str">
        <x:v>Planeswalker Type</x:v>
      </x:c>
      <x:c r="C819" s="26" t="str">
        <x:v>Jace</x:v>
      </x:c>
      <x:c r="D819" s="26" t="str">
        <x:v>Planeswalker subtype</x:v>
      </x:c>
      <x:c r="E819" s="26"/>
      <x:c r="F819" s="26" t="str">
        <x:v>t:"Jace"</x:v>
      </x:c>
      <x:c r="G819" s="26" t="str">
        <x:v>High</x:v>
      </x:c>
      <x:c r="H819" s="26" t="str">
        <x:v>Native taxonomy</x:v>
      </x:c>
      <x:c r="I819" s="26" t="str">
        <x:v>type:</x:v>
      </x:c>
      <x:c r="J819" s="26" t="str">
        <x:v>t:"Jace"</x:v>
      </x:c>
      <x:c r="K819" s="26" t="str"/>
      <x:c r="L819" s="26" t="str">
        <x:v>jace</x:v>
      </x:c>
      <x:c r="M819" s="26" t="str">
        <x:v>Translate directly</x:v>
      </x:c>
      <x:c r="N819" s="26" t="str">
        <x:v>Production-ready</x:v>
      </x:c>
      <x:c r="O819" s="43" t="n">
        <x:v>0.99</x:v>
      </x:c>
      <x:c r="P819" s="26" t="str">
        <x:v>Use for card type/supertype/subtype intent, not for art or rules-text mentions.</x:v>
      </x:c>
      <x:c r="Q819" s="26" t="str">
        <x:v>https://scryfall.com/docs/syntax</x:v>
      </x:c>
      <x:c r="R819" s="26" t="str">
        <x:v>2026-08-21</x:v>
      </x:c>
    </x:row>
    <x:row r="820">
      <x:c r="A820" s="26" t="str">
        <x:v>PlaneswalkerTypes!A39</x:v>
      </x:c>
      <x:c r="B820" s="26" t="str">
        <x:v>Planeswalker Type</x:v>
      </x:c>
      <x:c r="C820" s="26" t="str">
        <x:v>Jared</x:v>
      </x:c>
      <x:c r="D820" s="26" t="str">
        <x:v>Planeswalker subtype</x:v>
      </x:c>
      <x:c r="E820" s="26"/>
      <x:c r="F820" s="26" t="str">
        <x:v>t:"Jared"</x:v>
      </x:c>
      <x:c r="G820" s="26" t="str">
        <x:v>High</x:v>
      </x:c>
      <x:c r="H820" s="26" t="str">
        <x:v>Native taxonomy</x:v>
      </x:c>
      <x:c r="I820" s="26" t="str">
        <x:v>type:</x:v>
      </x:c>
      <x:c r="J820" s="26" t="str">
        <x:v>t:"Jared"</x:v>
      </x:c>
      <x:c r="K820" s="26" t="str"/>
      <x:c r="L820" s="26" t="str">
        <x:v>jared</x:v>
      </x:c>
      <x:c r="M820" s="26" t="str">
        <x:v>Translate directly</x:v>
      </x:c>
      <x:c r="N820" s="26" t="str">
        <x:v>Production-ready</x:v>
      </x:c>
      <x:c r="O820" s="43" t="n">
        <x:v>0.99</x:v>
      </x:c>
      <x:c r="P820" s="26" t="str">
        <x:v>Use for card type/supertype/subtype intent, not for art or rules-text mentions.</x:v>
      </x:c>
      <x:c r="Q820" s="26" t="str">
        <x:v>https://scryfall.com/docs/syntax</x:v>
      </x:c>
      <x:c r="R820" s="26" t="str">
        <x:v>2026-08-21</x:v>
      </x:c>
    </x:row>
    <x:row r="821">
      <x:c r="A821" s="26" t="str">
        <x:v>PlaneswalkerTypes!A40</x:v>
      </x:c>
      <x:c r="B821" s="26" t="str">
        <x:v>Planeswalker Type</x:v>
      </x:c>
      <x:c r="C821" s="26" t="str">
        <x:v>Jaya</x:v>
      </x:c>
      <x:c r="D821" s="26" t="str">
        <x:v>Planeswalker subtype</x:v>
      </x:c>
      <x:c r="E821" s="26"/>
      <x:c r="F821" s="26" t="str">
        <x:v>t:"Jaya"</x:v>
      </x:c>
      <x:c r="G821" s="26" t="str">
        <x:v>High</x:v>
      </x:c>
      <x:c r="H821" s="26" t="str">
        <x:v>Native taxonomy</x:v>
      </x:c>
      <x:c r="I821" s="26" t="str">
        <x:v>type:</x:v>
      </x:c>
      <x:c r="J821" s="26" t="str">
        <x:v>t:"Jaya"</x:v>
      </x:c>
      <x:c r="K821" s="26" t="str"/>
      <x:c r="L821" s="26" t="str">
        <x:v>jaya</x:v>
      </x:c>
      <x:c r="M821" s="26" t="str">
        <x:v>Translate directly</x:v>
      </x:c>
      <x:c r="N821" s="26" t="str">
        <x:v>Production-ready</x:v>
      </x:c>
      <x:c r="O821" s="43" t="n">
        <x:v>0.99</x:v>
      </x:c>
      <x:c r="P821" s="26" t="str">
        <x:v>Use for card type/supertype/subtype intent, not for art or rules-text mentions.</x:v>
      </x:c>
      <x:c r="Q821" s="26" t="str">
        <x:v>https://scryfall.com/docs/syntax</x:v>
      </x:c>
      <x:c r="R821" s="26" t="str">
        <x:v>2026-08-21</x:v>
      </x:c>
    </x:row>
    <x:row r="822">
      <x:c r="A822" s="26" t="str">
        <x:v>PlaneswalkerTypes!A41</x:v>
      </x:c>
      <x:c r="B822" s="26" t="str">
        <x:v>Planeswalker Type</x:v>
      </x:c>
      <x:c r="C822" s="26" t="str">
        <x:v>Jeska</x:v>
      </x:c>
      <x:c r="D822" s="26" t="str">
        <x:v>Planeswalker subtype</x:v>
      </x:c>
      <x:c r="E822" s="26"/>
      <x:c r="F822" s="26" t="str">
        <x:v>t:"Jeska"</x:v>
      </x:c>
      <x:c r="G822" s="26" t="str">
        <x:v>High</x:v>
      </x:c>
      <x:c r="H822" s="26" t="str">
        <x:v>Native taxonomy</x:v>
      </x:c>
      <x:c r="I822" s="26" t="str">
        <x:v>type:</x:v>
      </x:c>
      <x:c r="J822" s="26" t="str">
        <x:v>t:"Jeska"</x:v>
      </x:c>
      <x:c r="K822" s="26" t="str"/>
      <x:c r="L822" s="26" t="str">
        <x:v>jeska</x:v>
      </x:c>
      <x:c r="M822" s="26" t="str">
        <x:v>Translate directly</x:v>
      </x:c>
      <x:c r="N822" s="26" t="str">
        <x:v>Production-ready</x:v>
      </x:c>
      <x:c r="O822" s="43" t="n">
        <x:v>0.99</x:v>
      </x:c>
      <x:c r="P822" s="26" t="str">
        <x:v>Use for card type/supertype/subtype intent, not for art or rules-text mentions.</x:v>
      </x:c>
      <x:c r="Q822" s="26" t="str">
        <x:v>https://scryfall.com/docs/syntax</x:v>
      </x:c>
      <x:c r="R822" s="26" t="str">
        <x:v>2026-08-21</x:v>
      </x:c>
    </x:row>
    <x:row r="823">
      <x:c r="A823" s="26" t="str">
        <x:v>PlaneswalkerTypes!A42</x:v>
      </x:c>
      <x:c r="B823" s="26" t="str">
        <x:v>Planeswalker Type</x:v>
      </x:c>
      <x:c r="C823" s="26" t="str">
        <x:v>Kaito</x:v>
      </x:c>
      <x:c r="D823" s="26" t="str">
        <x:v>Planeswalker subtype</x:v>
      </x:c>
      <x:c r="E823" s="26"/>
      <x:c r="F823" s="26" t="str">
        <x:v>t:"Kaito"</x:v>
      </x:c>
      <x:c r="G823" s="26" t="str">
        <x:v>High</x:v>
      </x:c>
      <x:c r="H823" s="26" t="str">
        <x:v>Native taxonomy</x:v>
      </x:c>
      <x:c r="I823" s="26" t="str">
        <x:v>type:</x:v>
      </x:c>
      <x:c r="J823" s="26" t="str">
        <x:v>t:"Kaito"</x:v>
      </x:c>
      <x:c r="K823" s="26" t="str"/>
      <x:c r="L823" s="26" t="str">
        <x:v>kaito</x:v>
      </x:c>
      <x:c r="M823" s="26" t="str">
        <x:v>Translate directly</x:v>
      </x:c>
      <x:c r="N823" s="26" t="str">
        <x:v>Production-ready</x:v>
      </x:c>
      <x:c r="O823" s="43" t="n">
        <x:v>0.99</x:v>
      </x:c>
      <x:c r="P823" s="26" t="str">
        <x:v>Use for card type/supertype/subtype intent, not for art or rules-text mentions.</x:v>
      </x:c>
      <x:c r="Q823" s="26" t="str">
        <x:v>https://scryfall.com/docs/syntax</x:v>
      </x:c>
      <x:c r="R823" s="26" t="str">
        <x:v>2026-08-21</x:v>
      </x:c>
    </x:row>
    <x:row r="824">
      <x:c r="A824" s="26" t="str">
        <x:v>PlaneswalkerTypes!A43</x:v>
      </x:c>
      <x:c r="B824" s="26" t="str">
        <x:v>Planeswalker Type</x:v>
      </x:c>
      <x:c r="C824" s="26" t="str">
        <x:v>Karn</x:v>
      </x:c>
      <x:c r="D824" s="26" t="str">
        <x:v>Planeswalker subtype</x:v>
      </x:c>
      <x:c r="E824" s="26"/>
      <x:c r="F824" s="26" t="str">
        <x:v>t:"Karn"</x:v>
      </x:c>
      <x:c r="G824" s="26" t="str">
        <x:v>High</x:v>
      </x:c>
      <x:c r="H824" s="26" t="str">
        <x:v>Native taxonomy</x:v>
      </x:c>
      <x:c r="I824" s="26" t="str">
        <x:v>type:</x:v>
      </x:c>
      <x:c r="J824" s="26" t="str">
        <x:v>t:"Karn"</x:v>
      </x:c>
      <x:c r="K824" s="26" t="str"/>
      <x:c r="L824" s="26" t="str">
        <x:v>karn</x:v>
      </x:c>
      <x:c r="M824" s="26" t="str">
        <x:v>Translate directly</x:v>
      </x:c>
      <x:c r="N824" s="26" t="str">
        <x:v>Production-ready</x:v>
      </x:c>
      <x:c r="O824" s="43" t="n">
        <x:v>0.99</x:v>
      </x:c>
      <x:c r="P824" s="26" t="str">
        <x:v>Use for card type/supertype/subtype intent, not for art or rules-text mentions.</x:v>
      </x:c>
      <x:c r="Q824" s="26" t="str">
        <x:v>https://scryfall.com/docs/syntax</x:v>
      </x:c>
      <x:c r="R824" s="26" t="str">
        <x:v>2026-08-21</x:v>
      </x:c>
    </x:row>
    <x:row r="825">
      <x:c r="A825" s="26" t="str">
        <x:v>PlaneswalkerTypes!A44</x:v>
      </x:c>
      <x:c r="B825" s="26" t="str">
        <x:v>Planeswalker Type</x:v>
      </x:c>
      <x:c r="C825" s="26" t="str">
        <x:v>Kasmina</x:v>
      </x:c>
      <x:c r="D825" s="26" t="str">
        <x:v>Planeswalker subtype</x:v>
      </x:c>
      <x:c r="E825" s="26"/>
      <x:c r="F825" s="26" t="str">
        <x:v>t:"Kasmina"</x:v>
      </x:c>
      <x:c r="G825" s="26" t="str">
        <x:v>High</x:v>
      </x:c>
      <x:c r="H825" s="26" t="str">
        <x:v>Native taxonomy</x:v>
      </x:c>
      <x:c r="I825" s="26" t="str">
        <x:v>type:</x:v>
      </x:c>
      <x:c r="J825" s="26" t="str">
        <x:v>t:"Kasmina"</x:v>
      </x:c>
      <x:c r="K825" s="26" t="str"/>
      <x:c r="L825" s="26" t="str">
        <x:v>kasmina</x:v>
      </x:c>
      <x:c r="M825" s="26" t="str">
        <x:v>Translate directly</x:v>
      </x:c>
      <x:c r="N825" s="26" t="str">
        <x:v>Production-ready</x:v>
      </x:c>
      <x:c r="O825" s="43" t="n">
        <x:v>0.99</x:v>
      </x:c>
      <x:c r="P825" s="26" t="str">
        <x:v>Use for card type/supertype/subtype intent, not for art or rules-text mentions.</x:v>
      </x:c>
      <x:c r="Q825" s="26" t="str">
        <x:v>https://scryfall.com/docs/syntax</x:v>
      </x:c>
      <x:c r="R825" s="26" t="str">
        <x:v>2026-08-21</x:v>
      </x:c>
    </x:row>
    <x:row r="826">
      <x:c r="A826" s="26" t="str">
        <x:v>PlaneswalkerTypes!A45</x:v>
      </x:c>
      <x:c r="B826" s="26" t="str">
        <x:v>Planeswalker Type</x:v>
      </x:c>
      <x:c r="C826" s="26" t="str">
        <x:v>Kaya</x:v>
      </x:c>
      <x:c r="D826" s="26" t="str">
        <x:v>Planeswalker subtype</x:v>
      </x:c>
      <x:c r="E826" s="26"/>
      <x:c r="F826" s="26" t="str">
        <x:v>t:"Kaya"</x:v>
      </x:c>
      <x:c r="G826" s="26" t="str">
        <x:v>High</x:v>
      </x:c>
      <x:c r="H826" s="26" t="str">
        <x:v>Native taxonomy</x:v>
      </x:c>
      <x:c r="I826" s="26" t="str">
        <x:v>type:</x:v>
      </x:c>
      <x:c r="J826" s="26" t="str">
        <x:v>t:"Kaya"</x:v>
      </x:c>
      <x:c r="K826" s="26" t="str"/>
      <x:c r="L826" s="26" t="str">
        <x:v>kaya</x:v>
      </x:c>
      <x:c r="M826" s="26" t="str">
        <x:v>Translate directly</x:v>
      </x:c>
      <x:c r="N826" s="26" t="str">
        <x:v>Production-ready</x:v>
      </x:c>
      <x:c r="O826" s="43" t="n">
        <x:v>0.99</x:v>
      </x:c>
      <x:c r="P826" s="26" t="str">
        <x:v>Use for card type/supertype/subtype intent, not for art or rules-text mentions.</x:v>
      </x:c>
      <x:c r="Q826" s="26" t="str">
        <x:v>https://scryfall.com/docs/syntax</x:v>
      </x:c>
      <x:c r="R826" s="26" t="str">
        <x:v>2026-08-21</x:v>
      </x:c>
    </x:row>
    <x:row r="827">
      <x:c r="A827" s="26" t="str">
        <x:v>PlaneswalkerTypes!A46</x:v>
      </x:c>
      <x:c r="B827" s="26" t="str">
        <x:v>Planeswalker Type</x:v>
      </x:c>
      <x:c r="C827" s="26" t="str">
        <x:v>Kiora</x:v>
      </x:c>
      <x:c r="D827" s="26" t="str">
        <x:v>Planeswalker subtype</x:v>
      </x:c>
      <x:c r="E827" s="26"/>
      <x:c r="F827" s="26" t="str">
        <x:v>t:"Kiora"</x:v>
      </x:c>
      <x:c r="G827" s="26" t="str">
        <x:v>High</x:v>
      </x:c>
      <x:c r="H827" s="26" t="str">
        <x:v>Native taxonomy</x:v>
      </x:c>
      <x:c r="I827" s="26" t="str">
        <x:v>type:</x:v>
      </x:c>
      <x:c r="J827" s="26" t="str">
        <x:v>t:"Kiora"</x:v>
      </x:c>
      <x:c r="K827" s="26" t="str"/>
      <x:c r="L827" s="26" t="str">
        <x:v>kiora</x:v>
      </x:c>
      <x:c r="M827" s="26" t="str">
        <x:v>Translate directly</x:v>
      </x:c>
      <x:c r="N827" s="26" t="str">
        <x:v>Production-ready</x:v>
      </x:c>
      <x:c r="O827" s="43" t="n">
        <x:v>0.99</x:v>
      </x:c>
      <x:c r="P827" s="26" t="str">
        <x:v>Use for card type/supertype/subtype intent, not for art or rules-text mentions.</x:v>
      </x:c>
      <x:c r="Q827" s="26" t="str">
        <x:v>https://scryfall.com/docs/syntax</x:v>
      </x:c>
      <x:c r="R827" s="26" t="str">
        <x:v>2026-08-21</x:v>
      </x:c>
    </x:row>
    <x:row r="828">
      <x:c r="A828" s="26" t="str">
        <x:v>PlaneswalkerTypes!A47</x:v>
      </x:c>
      <x:c r="B828" s="26" t="str">
        <x:v>Planeswalker Type</x:v>
      </x:c>
      <x:c r="C828" s="26" t="str">
        <x:v>Koth</x:v>
      </x:c>
      <x:c r="D828" s="26" t="str">
        <x:v>Planeswalker subtype</x:v>
      </x:c>
      <x:c r="E828" s="26"/>
      <x:c r="F828" s="26" t="str">
        <x:v>t:"Koth"</x:v>
      </x:c>
      <x:c r="G828" s="26" t="str">
        <x:v>High</x:v>
      </x:c>
      <x:c r="H828" s="26" t="str">
        <x:v>Native taxonomy</x:v>
      </x:c>
      <x:c r="I828" s="26" t="str">
        <x:v>type:</x:v>
      </x:c>
      <x:c r="J828" s="26" t="str">
        <x:v>t:"Koth"</x:v>
      </x:c>
      <x:c r="K828" s="26" t="str"/>
      <x:c r="L828" s="26" t="str">
        <x:v>koth</x:v>
      </x:c>
      <x:c r="M828" s="26" t="str">
        <x:v>Translate directly</x:v>
      </x:c>
      <x:c r="N828" s="26" t="str">
        <x:v>Production-ready</x:v>
      </x:c>
      <x:c r="O828" s="43" t="n">
        <x:v>0.99</x:v>
      </x:c>
      <x:c r="P828" s="26" t="str">
        <x:v>Use for card type/supertype/subtype intent, not for art or rules-text mentions.</x:v>
      </x:c>
      <x:c r="Q828" s="26" t="str">
        <x:v>https://scryfall.com/docs/syntax</x:v>
      </x:c>
      <x:c r="R828" s="26" t="str">
        <x:v>2026-08-21</x:v>
      </x:c>
    </x:row>
    <x:row r="829">
      <x:c r="A829" s="26" t="str">
        <x:v>PlaneswalkerTypes!A48</x:v>
      </x:c>
      <x:c r="B829" s="26" t="str">
        <x:v>Planeswalker Type</x:v>
      </x:c>
      <x:c r="C829" s="26" t="str">
        <x:v>Liliana</x:v>
      </x:c>
      <x:c r="D829" s="26" t="str">
        <x:v>Planeswalker subtype</x:v>
      </x:c>
      <x:c r="E829" s="26"/>
      <x:c r="F829" s="26" t="str">
        <x:v>t:"Liliana"</x:v>
      </x:c>
      <x:c r="G829" s="26" t="str">
        <x:v>High</x:v>
      </x:c>
      <x:c r="H829" s="26" t="str">
        <x:v>Native taxonomy</x:v>
      </x:c>
      <x:c r="I829" s="26" t="str">
        <x:v>type:</x:v>
      </x:c>
      <x:c r="J829" s="26" t="str">
        <x:v>t:"Liliana"</x:v>
      </x:c>
      <x:c r="K829" s="26" t="str"/>
      <x:c r="L829" s="26" t="str">
        <x:v>liliana</x:v>
      </x:c>
      <x:c r="M829" s="26" t="str">
        <x:v>Translate directly</x:v>
      </x:c>
      <x:c r="N829" s="26" t="str">
        <x:v>Production-ready</x:v>
      </x:c>
      <x:c r="O829" s="43" t="n">
        <x:v>0.99</x:v>
      </x:c>
      <x:c r="P829" s="26" t="str">
        <x:v>Use for card type/supertype/subtype intent, not for art or rules-text mentions.</x:v>
      </x:c>
      <x:c r="Q829" s="26" t="str">
        <x:v>https://scryfall.com/docs/syntax</x:v>
      </x:c>
      <x:c r="R829" s="26" t="str">
        <x:v>2026-08-21</x:v>
      </x:c>
    </x:row>
    <x:row r="830">
      <x:c r="A830" s="26" t="str">
        <x:v>PlaneswalkerTypes!A49</x:v>
      </x:c>
      <x:c r="B830" s="26" t="str">
        <x:v>Planeswalker Type</x:v>
      </x:c>
      <x:c r="C830" s="26" t="str">
        <x:v>Lolth</x:v>
      </x:c>
      <x:c r="D830" s="26" t="str">
        <x:v>Planeswalker subtype</x:v>
      </x:c>
      <x:c r="E830" s="26"/>
      <x:c r="F830" s="26" t="str">
        <x:v>t:"Lolth"</x:v>
      </x:c>
      <x:c r="G830" s="26" t="str">
        <x:v>High</x:v>
      </x:c>
      <x:c r="H830" s="26" t="str">
        <x:v>Native taxonomy</x:v>
      </x:c>
      <x:c r="I830" s="26" t="str">
        <x:v>type:</x:v>
      </x:c>
      <x:c r="J830" s="26" t="str">
        <x:v>t:"Lolth"</x:v>
      </x:c>
      <x:c r="K830" s="26" t="str"/>
      <x:c r="L830" s="26" t="str">
        <x:v>lolth</x:v>
      </x:c>
      <x:c r="M830" s="26" t="str">
        <x:v>Translate directly</x:v>
      </x:c>
      <x:c r="N830" s="26" t="str">
        <x:v>Production-ready</x:v>
      </x:c>
      <x:c r="O830" s="43" t="n">
        <x:v>0.99</x:v>
      </x:c>
      <x:c r="P830" s="26" t="str">
        <x:v>Use for card type/supertype/subtype intent, not for art or rules-text mentions.</x:v>
      </x:c>
      <x:c r="Q830" s="26" t="str">
        <x:v>https://scryfall.com/docs/syntax</x:v>
      </x:c>
      <x:c r="R830" s="26" t="str">
        <x:v>2026-08-21</x:v>
      </x:c>
    </x:row>
    <x:row r="831">
      <x:c r="A831" s="26" t="str">
        <x:v>PlaneswalkerTypes!A50</x:v>
      </x:c>
      <x:c r="B831" s="26" t="str">
        <x:v>Planeswalker Type</x:v>
      </x:c>
      <x:c r="C831" s="26" t="str">
        <x:v>Lukka</x:v>
      </x:c>
      <x:c r="D831" s="26" t="str">
        <x:v>Planeswalker subtype</x:v>
      </x:c>
      <x:c r="E831" s="26"/>
      <x:c r="F831" s="26" t="str">
        <x:v>t:"Lukka"</x:v>
      </x:c>
      <x:c r="G831" s="26" t="str">
        <x:v>High</x:v>
      </x:c>
      <x:c r="H831" s="26" t="str">
        <x:v>Native taxonomy</x:v>
      </x:c>
      <x:c r="I831" s="26" t="str">
        <x:v>type:</x:v>
      </x:c>
      <x:c r="J831" s="26" t="str">
        <x:v>t:"Lukka"</x:v>
      </x:c>
      <x:c r="K831" s="26" t="str"/>
      <x:c r="L831" s="26" t="str">
        <x:v>lukka</x:v>
      </x:c>
      <x:c r="M831" s="26" t="str">
        <x:v>Translate directly</x:v>
      </x:c>
      <x:c r="N831" s="26" t="str">
        <x:v>Production-ready</x:v>
      </x:c>
      <x:c r="O831" s="43" t="n">
        <x:v>0.99</x:v>
      </x:c>
      <x:c r="P831" s="26" t="str">
        <x:v>Use for card type/supertype/subtype intent, not for art or rules-text mentions.</x:v>
      </x:c>
      <x:c r="Q831" s="26" t="str">
        <x:v>https://scryfall.com/docs/syntax</x:v>
      </x:c>
      <x:c r="R831" s="26" t="str">
        <x:v>2026-08-21</x:v>
      </x:c>
    </x:row>
    <x:row r="832">
      <x:c r="A832" s="26" t="str">
        <x:v>PlaneswalkerTypes!A51</x:v>
      </x:c>
      <x:c r="B832" s="26" t="str">
        <x:v>Planeswalker Type</x:v>
      </x:c>
      <x:c r="C832" s="26" t="str">
        <x:v>Luxior</x:v>
      </x:c>
      <x:c r="D832" s="26" t="str">
        <x:v>Planeswalker subtype</x:v>
      </x:c>
      <x:c r="E832" s="26"/>
      <x:c r="F832" s="26" t="str">
        <x:v>t:"Luxior"</x:v>
      </x:c>
      <x:c r="G832" s="26" t="str">
        <x:v>High</x:v>
      </x:c>
      <x:c r="H832" s="26" t="str">
        <x:v>Native taxonomy</x:v>
      </x:c>
      <x:c r="I832" s="26" t="str">
        <x:v>type:</x:v>
      </x:c>
      <x:c r="J832" s="26" t="str">
        <x:v>t:"Luxior"</x:v>
      </x:c>
      <x:c r="K832" s="26" t="str"/>
      <x:c r="L832" s="26" t="str">
        <x:v>luxior</x:v>
      </x:c>
      <x:c r="M832" s="26" t="str">
        <x:v>Translate directly</x:v>
      </x:c>
      <x:c r="N832" s="26" t="str">
        <x:v>Production-ready</x:v>
      </x:c>
      <x:c r="O832" s="43" t="n">
        <x:v>0.99</x:v>
      </x:c>
      <x:c r="P832" s="26" t="str">
        <x:v>Use for card type/supertype/subtype intent, not for art or rules-text mentions.</x:v>
      </x:c>
      <x:c r="Q832" s="26" t="str">
        <x:v>https://scryfall.com/docs/syntax</x:v>
      </x:c>
      <x:c r="R832" s="26" t="str">
        <x:v>2026-08-21</x:v>
      </x:c>
    </x:row>
    <x:row r="833">
      <x:c r="A833" s="26" t="str">
        <x:v>PlaneswalkerTypes!A52</x:v>
      </x:c>
      <x:c r="B833" s="26" t="str">
        <x:v>Planeswalker Type</x:v>
      </x:c>
      <x:c r="C833" s="26" t="str">
        <x:v>Master</x:v>
      </x:c>
      <x:c r="D833" s="26" t="str">
        <x:v>Planeswalker subtype</x:v>
      </x:c>
      <x:c r="E833" s="26"/>
      <x:c r="F833" s="26" t="str">
        <x:v>t:"Master"</x:v>
      </x:c>
      <x:c r="G833" s="26" t="str">
        <x:v>High</x:v>
      </x:c>
      <x:c r="H833" s="26" t="str">
        <x:v>Native taxonomy</x:v>
      </x:c>
      <x:c r="I833" s="26" t="str">
        <x:v>type:</x:v>
      </x:c>
      <x:c r="J833" s="26" t="str">
        <x:v>t:"Master"</x:v>
      </x:c>
      <x:c r="K833" s="26" t="str"/>
      <x:c r="L833" s="26" t="str">
        <x:v>master</x:v>
      </x:c>
      <x:c r="M833" s="26" t="str">
        <x:v>Translate directly</x:v>
      </x:c>
      <x:c r="N833" s="26" t="str">
        <x:v>Production-ready</x:v>
      </x:c>
      <x:c r="O833" s="43" t="n">
        <x:v>0.99</x:v>
      </x:c>
      <x:c r="P833" s="26" t="str">
        <x:v>Use for card type/supertype/subtype intent, not for art or rules-text mentions.</x:v>
      </x:c>
      <x:c r="Q833" s="26" t="str">
        <x:v>https://scryfall.com/docs/syntax</x:v>
      </x:c>
      <x:c r="R833" s="26" t="str">
        <x:v>2026-08-21</x:v>
      </x:c>
    </x:row>
    <x:row r="834">
      <x:c r="A834" s="26" t="str">
        <x:v>PlaneswalkerTypes!A53</x:v>
      </x:c>
      <x:c r="B834" s="26" t="str">
        <x:v>Planeswalker Type</x:v>
      </x:c>
      <x:c r="C834" s="26" t="str">
        <x:v>Minsc</x:v>
      </x:c>
      <x:c r="D834" s="26" t="str">
        <x:v>Planeswalker subtype</x:v>
      </x:c>
      <x:c r="E834" s="26"/>
      <x:c r="F834" s="26" t="str">
        <x:v>t:"Minsc"</x:v>
      </x:c>
      <x:c r="G834" s="26" t="str">
        <x:v>High</x:v>
      </x:c>
      <x:c r="H834" s="26" t="str">
        <x:v>Native taxonomy</x:v>
      </x:c>
      <x:c r="I834" s="26" t="str">
        <x:v>type:</x:v>
      </x:c>
      <x:c r="J834" s="26" t="str">
        <x:v>t:"Minsc"</x:v>
      </x:c>
      <x:c r="K834" s="26" t="str"/>
      <x:c r="L834" s="26" t="str">
        <x:v>minsc</x:v>
      </x:c>
      <x:c r="M834" s="26" t="str">
        <x:v>Translate directly</x:v>
      </x:c>
      <x:c r="N834" s="26" t="str">
        <x:v>Production-ready</x:v>
      </x:c>
      <x:c r="O834" s="43" t="n">
        <x:v>0.99</x:v>
      </x:c>
      <x:c r="P834" s="26" t="str">
        <x:v>Use for card type/supertype/subtype intent, not for art or rules-text mentions.</x:v>
      </x:c>
      <x:c r="Q834" s="26" t="str">
        <x:v>https://scryfall.com/docs/syntax</x:v>
      </x:c>
      <x:c r="R834" s="26" t="str">
        <x:v>2026-08-21</x:v>
      </x:c>
    </x:row>
    <x:row r="835">
      <x:c r="A835" s="26" t="str">
        <x:v>PlaneswalkerTypes!A54</x:v>
      </x:c>
      <x:c r="B835" s="26" t="str">
        <x:v>Planeswalker Type</x:v>
      </x:c>
      <x:c r="C835" s="26" t="str">
        <x:v>Monopoly</x:v>
      </x:c>
      <x:c r="D835" s="26" t="str">
        <x:v>Planeswalker subtype</x:v>
      </x:c>
      <x:c r="E835" s="26"/>
      <x:c r="F835" s="26" t="str">
        <x:v>t:"Monopoly"</x:v>
      </x:c>
      <x:c r="G835" s="26" t="str">
        <x:v>High</x:v>
      </x:c>
      <x:c r="H835" s="26" t="str">
        <x:v>Native taxonomy</x:v>
      </x:c>
      <x:c r="I835" s="26" t="str">
        <x:v>type:</x:v>
      </x:c>
      <x:c r="J835" s="26" t="str">
        <x:v>t:"Monopoly"</x:v>
      </x:c>
      <x:c r="K835" s="26" t="str"/>
      <x:c r="L835" s="26" t="str">
        <x:v>monopoly</x:v>
      </x:c>
      <x:c r="M835" s="26" t="str">
        <x:v>Translate directly</x:v>
      </x:c>
      <x:c r="N835" s="26" t="str">
        <x:v>Production-ready</x:v>
      </x:c>
      <x:c r="O835" s="43" t="n">
        <x:v>0.99</x:v>
      </x:c>
      <x:c r="P835" s="26" t="str">
        <x:v>Use for card type/supertype/subtype intent, not for art or rules-text mentions.</x:v>
      </x:c>
      <x:c r="Q835" s="26" t="str">
        <x:v>https://scryfall.com/docs/syntax</x:v>
      </x:c>
      <x:c r="R835" s="26" t="str">
        <x:v>2026-08-21</x:v>
      </x:c>
    </x:row>
    <x:row r="836">
      <x:c r="A836" s="26" t="str">
        <x:v>PlaneswalkerTypes!A55</x:v>
      </x:c>
      <x:c r="B836" s="26" t="str">
        <x:v>Planeswalker Type</x:v>
      </x:c>
      <x:c r="C836" s="26" t="str">
        <x:v>Mordenkainen</x:v>
      </x:c>
      <x:c r="D836" s="26" t="str">
        <x:v>Planeswalker subtype</x:v>
      </x:c>
      <x:c r="E836" s="26"/>
      <x:c r="F836" s="26" t="str">
        <x:v>t:"Mordenkainen"</x:v>
      </x:c>
      <x:c r="G836" s="26" t="str">
        <x:v>High</x:v>
      </x:c>
      <x:c r="H836" s="26" t="str">
        <x:v>Native taxonomy</x:v>
      </x:c>
      <x:c r="I836" s="26" t="str">
        <x:v>type:</x:v>
      </x:c>
      <x:c r="J836" s="26" t="str">
        <x:v>t:"Mordenkainen"</x:v>
      </x:c>
      <x:c r="K836" s="26" t="str"/>
      <x:c r="L836" s="26" t="str">
        <x:v>mordenkainen</x:v>
      </x:c>
      <x:c r="M836" s="26" t="str">
        <x:v>Translate directly</x:v>
      </x:c>
      <x:c r="N836" s="26" t="str">
        <x:v>Production-ready</x:v>
      </x:c>
      <x:c r="O836" s="43" t="n">
        <x:v>0.99</x:v>
      </x:c>
      <x:c r="P836" s="26" t="str">
        <x:v>Use for card type/supertype/subtype intent, not for art or rules-text mentions.</x:v>
      </x:c>
      <x:c r="Q836" s="26" t="str">
        <x:v>https://scryfall.com/docs/syntax</x:v>
      </x:c>
      <x:c r="R836" s="26" t="str">
        <x:v>2026-08-21</x:v>
      </x:c>
    </x:row>
    <x:row r="837">
      <x:c r="A837" s="26" t="str">
        <x:v>PlaneswalkerTypes!A56</x:v>
      </x:c>
      <x:c r="B837" s="26" t="str">
        <x:v>Planeswalker Type</x:v>
      </x:c>
      <x:c r="C837" s="26" t="str">
        <x:v>Nahiri</x:v>
      </x:c>
      <x:c r="D837" s="26" t="str">
        <x:v>Planeswalker subtype</x:v>
      </x:c>
      <x:c r="E837" s="26"/>
      <x:c r="F837" s="26" t="str">
        <x:v>t:"Nahiri"</x:v>
      </x:c>
      <x:c r="G837" s="26" t="str">
        <x:v>High</x:v>
      </x:c>
      <x:c r="H837" s="26" t="str">
        <x:v>Native taxonomy</x:v>
      </x:c>
      <x:c r="I837" s="26" t="str">
        <x:v>type:</x:v>
      </x:c>
      <x:c r="J837" s="26" t="str">
        <x:v>t:"Nahiri"</x:v>
      </x:c>
      <x:c r="K837" s="26" t="str"/>
      <x:c r="L837" s="26" t="str">
        <x:v>nahiri</x:v>
      </x:c>
      <x:c r="M837" s="26" t="str">
        <x:v>Translate directly</x:v>
      </x:c>
      <x:c r="N837" s="26" t="str">
        <x:v>Production-ready</x:v>
      </x:c>
      <x:c r="O837" s="43" t="n">
        <x:v>0.99</x:v>
      </x:c>
      <x:c r="P837" s="26" t="str">
        <x:v>Use for card type/supertype/subtype intent, not for art or rules-text mentions.</x:v>
      </x:c>
      <x:c r="Q837" s="26" t="str">
        <x:v>https://scryfall.com/docs/syntax</x:v>
      </x:c>
      <x:c r="R837" s="26" t="str">
        <x:v>2026-08-21</x:v>
      </x:c>
    </x:row>
    <x:row r="838">
      <x:c r="A838" s="26" t="str">
        <x:v>PlaneswalkerTypes!A57</x:v>
      </x:c>
      <x:c r="B838" s="26" t="str">
        <x:v>Planeswalker Type</x:v>
      </x:c>
      <x:c r="C838" s="26" t="str">
        <x:v>Narset</x:v>
      </x:c>
      <x:c r="D838" s="26" t="str">
        <x:v>Planeswalker subtype</x:v>
      </x:c>
      <x:c r="E838" s="26"/>
      <x:c r="F838" s="26" t="str">
        <x:v>t:"Narset"</x:v>
      </x:c>
      <x:c r="G838" s="26" t="str">
        <x:v>High</x:v>
      </x:c>
      <x:c r="H838" s="26" t="str">
        <x:v>Native taxonomy</x:v>
      </x:c>
      <x:c r="I838" s="26" t="str">
        <x:v>type:</x:v>
      </x:c>
      <x:c r="J838" s="26" t="str">
        <x:v>t:"Narset"</x:v>
      </x:c>
      <x:c r="K838" s="26" t="str"/>
      <x:c r="L838" s="26" t="str">
        <x:v>narset</x:v>
      </x:c>
      <x:c r="M838" s="26" t="str">
        <x:v>Translate directly</x:v>
      </x:c>
      <x:c r="N838" s="26" t="str">
        <x:v>Production-ready</x:v>
      </x:c>
      <x:c r="O838" s="43" t="n">
        <x:v>0.99</x:v>
      </x:c>
      <x:c r="P838" s="26" t="str">
        <x:v>Use for card type/supertype/subtype intent, not for art or rules-text mentions.</x:v>
      </x:c>
      <x:c r="Q838" s="26" t="str">
        <x:v>https://scryfall.com/docs/syntax</x:v>
      </x:c>
      <x:c r="R838" s="26" t="str">
        <x:v>2026-08-21</x:v>
      </x:c>
    </x:row>
    <x:row r="839">
      <x:c r="A839" s="26" t="str">
        <x:v>PlaneswalkerTypes!A58</x:v>
      </x:c>
      <x:c r="B839" s="26" t="str">
        <x:v>Planeswalker Type</x:v>
      </x:c>
      <x:c r="C839" s="26" t="str">
        <x:v>Niko</x:v>
      </x:c>
      <x:c r="D839" s="26" t="str">
        <x:v>Planeswalker subtype</x:v>
      </x:c>
      <x:c r="E839" s="26"/>
      <x:c r="F839" s="26" t="str">
        <x:v>t:"Niko"</x:v>
      </x:c>
      <x:c r="G839" s="26" t="str">
        <x:v>High</x:v>
      </x:c>
      <x:c r="H839" s="26" t="str">
        <x:v>Native taxonomy</x:v>
      </x:c>
      <x:c r="I839" s="26" t="str">
        <x:v>type:</x:v>
      </x:c>
      <x:c r="J839" s="26" t="str">
        <x:v>t:"Niko"</x:v>
      </x:c>
      <x:c r="K839" s="26" t="str"/>
      <x:c r="L839" s="26" t="str">
        <x:v>niko</x:v>
      </x:c>
      <x:c r="M839" s="26" t="str">
        <x:v>Translate directly</x:v>
      </x:c>
      <x:c r="N839" s="26" t="str">
        <x:v>Production-ready</x:v>
      </x:c>
      <x:c r="O839" s="43" t="n">
        <x:v>0.99</x:v>
      </x:c>
      <x:c r="P839" s="26" t="str">
        <x:v>Use for card type/supertype/subtype intent, not for art or rules-text mentions.</x:v>
      </x:c>
      <x:c r="Q839" s="26" t="str">
        <x:v>https://scryfall.com/docs/syntax</x:v>
      </x:c>
      <x:c r="R839" s="26" t="str">
        <x:v>2026-08-21</x:v>
      </x:c>
    </x:row>
    <x:row r="840">
      <x:c r="A840" s="26" t="str">
        <x:v>PlaneswalkerTypes!A59</x:v>
      </x:c>
      <x:c r="B840" s="26" t="str">
        <x:v>Planeswalker Type</x:v>
      </x:c>
      <x:c r="C840" s="26" t="str">
        <x:v>Nissa</x:v>
      </x:c>
      <x:c r="D840" s="26" t="str">
        <x:v>Planeswalker subtype</x:v>
      </x:c>
      <x:c r="E840" s="26"/>
      <x:c r="F840" s="26" t="str">
        <x:v>t:"Nissa"</x:v>
      </x:c>
      <x:c r="G840" s="26" t="str">
        <x:v>High</x:v>
      </x:c>
      <x:c r="H840" s="26" t="str">
        <x:v>Native taxonomy</x:v>
      </x:c>
      <x:c r="I840" s="26" t="str">
        <x:v>type:</x:v>
      </x:c>
      <x:c r="J840" s="26" t="str">
        <x:v>t:"Nissa"</x:v>
      </x:c>
      <x:c r="K840" s="26" t="str"/>
      <x:c r="L840" s="26" t="str">
        <x:v>nissa</x:v>
      </x:c>
      <x:c r="M840" s="26" t="str">
        <x:v>Translate directly</x:v>
      </x:c>
      <x:c r="N840" s="26" t="str">
        <x:v>Production-ready</x:v>
      </x:c>
      <x:c r="O840" s="43" t="n">
        <x:v>0.99</x:v>
      </x:c>
      <x:c r="P840" s="26" t="str">
        <x:v>Use for card type/supertype/subtype intent, not for art or rules-text mentions.</x:v>
      </x:c>
      <x:c r="Q840" s="26" t="str">
        <x:v>https://scryfall.com/docs/syntax</x:v>
      </x:c>
      <x:c r="R840" s="26" t="str">
        <x:v>2026-08-21</x:v>
      </x:c>
    </x:row>
    <x:row r="841">
      <x:c r="A841" s="26" t="str">
        <x:v>PlaneswalkerTypes!A60</x:v>
      </x:c>
      <x:c r="B841" s="26" t="str">
        <x:v>Planeswalker Type</x:v>
      </x:c>
      <x:c r="C841" s="26" t="str">
        <x:v>Nixilis</x:v>
      </x:c>
      <x:c r="D841" s="26" t="str">
        <x:v>Planeswalker subtype</x:v>
      </x:c>
      <x:c r="E841" s="26"/>
      <x:c r="F841" s="26" t="str">
        <x:v>t:"Nixilis"</x:v>
      </x:c>
      <x:c r="G841" s="26" t="str">
        <x:v>High</x:v>
      </x:c>
      <x:c r="H841" s="26" t="str">
        <x:v>Native taxonomy</x:v>
      </x:c>
      <x:c r="I841" s="26" t="str">
        <x:v>type:</x:v>
      </x:c>
      <x:c r="J841" s="26" t="str">
        <x:v>t:"Nixilis"</x:v>
      </x:c>
      <x:c r="K841" s="26" t="str"/>
      <x:c r="L841" s="26" t="str">
        <x:v>nixilis</x:v>
      </x:c>
      <x:c r="M841" s="26" t="str">
        <x:v>Translate directly</x:v>
      </x:c>
      <x:c r="N841" s="26" t="str">
        <x:v>Production-ready</x:v>
      </x:c>
      <x:c r="O841" s="43" t="n">
        <x:v>0.99</x:v>
      </x:c>
      <x:c r="P841" s="26" t="str">
        <x:v>Use for card type/supertype/subtype intent, not for art or rules-text mentions.</x:v>
      </x:c>
      <x:c r="Q841" s="26" t="str">
        <x:v>https://scryfall.com/docs/syntax</x:v>
      </x:c>
      <x:c r="R841" s="26" t="str">
        <x:v>2026-08-21</x:v>
      </x:c>
    </x:row>
    <x:row r="842">
      <x:c r="A842" s="26" t="str">
        <x:v>PlaneswalkerTypes!A61</x:v>
      </x:c>
      <x:c r="B842" s="26" t="str">
        <x:v>Planeswalker Type</x:v>
      </x:c>
      <x:c r="C842" s="26" t="str">
        <x:v>Oko</x:v>
      </x:c>
      <x:c r="D842" s="26" t="str">
        <x:v>Planeswalker subtype</x:v>
      </x:c>
      <x:c r="E842" s="26"/>
      <x:c r="F842" s="26" t="str">
        <x:v>t:"Oko"</x:v>
      </x:c>
      <x:c r="G842" s="26" t="str">
        <x:v>High</x:v>
      </x:c>
      <x:c r="H842" s="26" t="str">
        <x:v>Native taxonomy</x:v>
      </x:c>
      <x:c r="I842" s="26" t="str">
        <x:v>type:</x:v>
      </x:c>
      <x:c r="J842" s="26" t="str">
        <x:v>t:"Oko"</x:v>
      </x:c>
      <x:c r="K842" s="26" t="str"/>
      <x:c r="L842" s="26" t="str">
        <x:v>oko</x:v>
      </x:c>
      <x:c r="M842" s="26" t="str">
        <x:v>Translate directly</x:v>
      </x:c>
      <x:c r="N842" s="26" t="str">
        <x:v>Production-ready</x:v>
      </x:c>
      <x:c r="O842" s="43" t="n">
        <x:v>0.99</x:v>
      </x:c>
      <x:c r="P842" s="26" t="str">
        <x:v>Use for card type/supertype/subtype intent, not for art or rules-text mentions.</x:v>
      </x:c>
      <x:c r="Q842" s="26" t="str">
        <x:v>https://scryfall.com/docs/syntax</x:v>
      </x:c>
      <x:c r="R842" s="26" t="str">
        <x:v>2026-08-21</x:v>
      </x:c>
    </x:row>
    <x:row r="843">
      <x:c r="A843" s="26" t="str">
        <x:v>PlaneswalkerTypes!A62</x:v>
      </x:c>
      <x:c r="B843" s="26" t="str">
        <x:v>Planeswalker Type</x:v>
      </x:c>
      <x:c r="C843" s="26" t="str">
        <x:v>Quintorius</x:v>
      </x:c>
      <x:c r="D843" s="26" t="str">
        <x:v>Planeswalker subtype</x:v>
      </x:c>
      <x:c r="E843" s="26"/>
      <x:c r="F843" s="26" t="str">
        <x:v>t:"Quintorius"</x:v>
      </x:c>
      <x:c r="G843" s="26" t="str">
        <x:v>High</x:v>
      </x:c>
      <x:c r="H843" s="26" t="str">
        <x:v>Native taxonomy</x:v>
      </x:c>
      <x:c r="I843" s="26" t="str">
        <x:v>type:</x:v>
      </x:c>
      <x:c r="J843" s="26" t="str">
        <x:v>t:"Quintorius"</x:v>
      </x:c>
      <x:c r="K843" s="26" t="str"/>
      <x:c r="L843" s="26" t="str">
        <x:v>quintorius</x:v>
      </x:c>
      <x:c r="M843" s="26" t="str">
        <x:v>Translate directly</x:v>
      </x:c>
      <x:c r="N843" s="26" t="str">
        <x:v>Production-ready</x:v>
      </x:c>
      <x:c r="O843" s="43" t="n">
        <x:v>0.99</x:v>
      </x:c>
      <x:c r="P843" s="26" t="str">
        <x:v>Use for card type/supertype/subtype intent, not for art or rules-text mentions.</x:v>
      </x:c>
      <x:c r="Q843" s="26" t="str">
        <x:v>https://scryfall.com/docs/syntax</x:v>
      </x:c>
      <x:c r="R843" s="26" t="str">
        <x:v>2026-08-21</x:v>
      </x:c>
    </x:row>
    <x:row r="844">
      <x:c r="A844" s="26" t="str">
        <x:v>PlaneswalkerTypes!A63</x:v>
      </x:c>
      <x:c r="B844" s="26" t="str">
        <x:v>Planeswalker Type</x:v>
      </x:c>
      <x:c r="C844" s="26" t="str">
        <x:v>Ral</x:v>
      </x:c>
      <x:c r="D844" s="26" t="str">
        <x:v>Planeswalker subtype</x:v>
      </x:c>
      <x:c r="E844" s="26"/>
      <x:c r="F844" s="26" t="str">
        <x:v>t:"Ral"</x:v>
      </x:c>
      <x:c r="G844" s="26" t="str">
        <x:v>High</x:v>
      </x:c>
      <x:c r="H844" s="26" t="str">
        <x:v>Native taxonomy</x:v>
      </x:c>
      <x:c r="I844" s="26" t="str">
        <x:v>type:</x:v>
      </x:c>
      <x:c r="J844" s="26" t="str">
        <x:v>t:"Ral"</x:v>
      </x:c>
      <x:c r="K844" s="26" t="str"/>
      <x:c r="L844" s="26" t="str">
        <x:v>ral</x:v>
      </x:c>
      <x:c r="M844" s="26" t="str">
        <x:v>Translate directly</x:v>
      </x:c>
      <x:c r="N844" s="26" t="str">
        <x:v>Production-ready</x:v>
      </x:c>
      <x:c r="O844" s="43" t="n">
        <x:v>0.99</x:v>
      </x:c>
      <x:c r="P844" s="26" t="str">
        <x:v>Use for card type/supertype/subtype intent, not for art or rules-text mentions.</x:v>
      </x:c>
      <x:c r="Q844" s="26" t="str">
        <x:v>https://scryfall.com/docs/syntax</x:v>
      </x:c>
      <x:c r="R844" s="26" t="str">
        <x:v>2026-08-21</x:v>
      </x:c>
    </x:row>
    <x:row r="845">
      <x:c r="A845" s="26" t="str">
        <x:v>PlaneswalkerTypes!A64</x:v>
      </x:c>
      <x:c r="B845" s="26" t="str">
        <x:v>Planeswalker Type</x:v>
      </x:c>
      <x:c r="C845" s="26" t="str">
        <x:v>Rowan</x:v>
      </x:c>
      <x:c r="D845" s="26" t="str">
        <x:v>Planeswalker subtype</x:v>
      </x:c>
      <x:c r="E845" s="26"/>
      <x:c r="F845" s="26" t="str">
        <x:v>t:"Rowan"</x:v>
      </x:c>
      <x:c r="G845" s="26" t="str">
        <x:v>High</x:v>
      </x:c>
      <x:c r="H845" s="26" t="str">
        <x:v>Native taxonomy</x:v>
      </x:c>
      <x:c r="I845" s="26" t="str">
        <x:v>type:</x:v>
      </x:c>
      <x:c r="J845" s="26" t="str">
        <x:v>t:"Rowan"</x:v>
      </x:c>
      <x:c r="K845" s="26" t="str"/>
      <x:c r="L845" s="26" t="str">
        <x:v>rowan</x:v>
      </x:c>
      <x:c r="M845" s="26" t="str">
        <x:v>Translate directly</x:v>
      </x:c>
      <x:c r="N845" s="26" t="str">
        <x:v>Production-ready</x:v>
      </x:c>
      <x:c r="O845" s="43" t="n">
        <x:v>0.99</x:v>
      </x:c>
      <x:c r="P845" s="26" t="str">
        <x:v>Use for card type/supertype/subtype intent, not for art or rules-text mentions.</x:v>
      </x:c>
      <x:c r="Q845" s="26" t="str">
        <x:v>https://scryfall.com/docs/syntax</x:v>
      </x:c>
      <x:c r="R845" s="26" t="str">
        <x:v>2026-08-21</x:v>
      </x:c>
    </x:row>
    <x:row r="846">
      <x:c r="A846" s="26" t="str">
        <x:v>PlaneswalkerTypes!A65</x:v>
      </x:c>
      <x:c r="B846" s="26" t="str">
        <x:v>Planeswalker Type</x:v>
      </x:c>
      <x:c r="C846" s="26" t="str">
        <x:v>Saheeli</x:v>
      </x:c>
      <x:c r="D846" s="26" t="str">
        <x:v>Planeswalker subtype</x:v>
      </x:c>
      <x:c r="E846" s="26"/>
      <x:c r="F846" s="26" t="str">
        <x:v>t:"Saheeli"</x:v>
      </x:c>
      <x:c r="G846" s="26" t="str">
        <x:v>High</x:v>
      </x:c>
      <x:c r="H846" s="26" t="str">
        <x:v>Native taxonomy</x:v>
      </x:c>
      <x:c r="I846" s="26" t="str">
        <x:v>type:</x:v>
      </x:c>
      <x:c r="J846" s="26" t="str">
        <x:v>t:"Saheeli"</x:v>
      </x:c>
      <x:c r="K846" s="26" t="str"/>
      <x:c r="L846" s="26" t="str">
        <x:v>saheeli</x:v>
      </x:c>
      <x:c r="M846" s="26" t="str">
        <x:v>Translate directly</x:v>
      </x:c>
      <x:c r="N846" s="26" t="str">
        <x:v>Production-ready</x:v>
      </x:c>
      <x:c r="O846" s="43" t="n">
        <x:v>0.99</x:v>
      </x:c>
      <x:c r="P846" s="26" t="str">
        <x:v>Use for card type/supertype/subtype intent, not for art or rules-text mentions.</x:v>
      </x:c>
      <x:c r="Q846" s="26" t="str">
        <x:v>https://scryfall.com/docs/syntax</x:v>
      </x:c>
      <x:c r="R846" s="26" t="str">
        <x:v>2026-08-21</x:v>
      </x:c>
    </x:row>
    <x:row r="847">
      <x:c r="A847" s="26" t="str">
        <x:v>PlaneswalkerTypes!A66</x:v>
      </x:c>
      <x:c r="B847" s="26" t="str">
        <x:v>Planeswalker Type</x:v>
      </x:c>
      <x:c r="C847" s="26" t="str">
        <x:v>Samut</x:v>
      </x:c>
      <x:c r="D847" s="26" t="str">
        <x:v>Planeswalker subtype</x:v>
      </x:c>
      <x:c r="E847" s="26"/>
      <x:c r="F847" s="26" t="str">
        <x:v>t:"Samut"</x:v>
      </x:c>
      <x:c r="G847" s="26" t="str">
        <x:v>High</x:v>
      </x:c>
      <x:c r="H847" s="26" t="str">
        <x:v>Native taxonomy</x:v>
      </x:c>
      <x:c r="I847" s="26" t="str">
        <x:v>type:</x:v>
      </x:c>
      <x:c r="J847" s="26" t="str">
        <x:v>t:"Samut"</x:v>
      </x:c>
      <x:c r="K847" s="26" t="str"/>
      <x:c r="L847" s="26" t="str">
        <x:v>samut</x:v>
      </x:c>
      <x:c r="M847" s="26" t="str">
        <x:v>Translate directly</x:v>
      </x:c>
      <x:c r="N847" s="26" t="str">
        <x:v>Production-ready</x:v>
      </x:c>
      <x:c r="O847" s="43" t="n">
        <x:v>0.99</x:v>
      </x:c>
      <x:c r="P847" s="26" t="str">
        <x:v>Use for card type/supertype/subtype intent, not for art or rules-text mentions.</x:v>
      </x:c>
      <x:c r="Q847" s="26" t="str">
        <x:v>https://scryfall.com/docs/syntax</x:v>
      </x:c>
      <x:c r="R847" s="26" t="str">
        <x:v>2026-08-21</x:v>
      </x:c>
    </x:row>
    <x:row r="848">
      <x:c r="A848" s="26" t="str">
        <x:v>PlaneswalkerTypes!A67</x:v>
      </x:c>
      <x:c r="B848" s="26" t="str">
        <x:v>Planeswalker Type</x:v>
      </x:c>
      <x:c r="C848" s="26" t="str">
        <x:v>Sarkhan</x:v>
      </x:c>
      <x:c r="D848" s="26" t="str">
        <x:v>Planeswalker subtype</x:v>
      </x:c>
      <x:c r="E848" s="26"/>
      <x:c r="F848" s="26" t="str">
        <x:v>t:"Sarkhan"</x:v>
      </x:c>
      <x:c r="G848" s="26" t="str">
        <x:v>High</x:v>
      </x:c>
      <x:c r="H848" s="26" t="str">
        <x:v>Native taxonomy</x:v>
      </x:c>
      <x:c r="I848" s="26" t="str">
        <x:v>type:</x:v>
      </x:c>
      <x:c r="J848" s="26" t="str">
        <x:v>t:"Sarkhan"</x:v>
      </x:c>
      <x:c r="K848" s="26" t="str"/>
      <x:c r="L848" s="26" t="str">
        <x:v>sarkhan</x:v>
      </x:c>
      <x:c r="M848" s="26" t="str">
        <x:v>Translate directly</x:v>
      </x:c>
      <x:c r="N848" s="26" t="str">
        <x:v>Production-ready</x:v>
      </x:c>
      <x:c r="O848" s="43" t="n">
        <x:v>0.99</x:v>
      </x:c>
      <x:c r="P848" s="26" t="str">
        <x:v>Use for card type/supertype/subtype intent, not for art or rules-text mentions.</x:v>
      </x:c>
      <x:c r="Q848" s="26" t="str">
        <x:v>https://scryfall.com/docs/syntax</x:v>
      </x:c>
      <x:c r="R848" s="26" t="str">
        <x:v>2026-08-21</x:v>
      </x:c>
    </x:row>
    <x:row r="849">
      <x:c r="A849" s="26" t="str">
        <x:v>PlaneswalkerTypes!A68</x:v>
      </x:c>
      <x:c r="B849" s="26" t="str">
        <x:v>Planeswalker Type</x:v>
      </x:c>
      <x:c r="C849" s="26" t="str">
        <x:v>Serra</x:v>
      </x:c>
      <x:c r="D849" s="26" t="str">
        <x:v>Planeswalker subtype</x:v>
      </x:c>
      <x:c r="E849" s="26"/>
      <x:c r="F849" s="26" t="str">
        <x:v>t:"Serra"</x:v>
      </x:c>
      <x:c r="G849" s="26" t="str">
        <x:v>High</x:v>
      </x:c>
      <x:c r="H849" s="26" t="str">
        <x:v>Native taxonomy</x:v>
      </x:c>
      <x:c r="I849" s="26" t="str">
        <x:v>type:</x:v>
      </x:c>
      <x:c r="J849" s="26" t="str">
        <x:v>t:"Serra"</x:v>
      </x:c>
      <x:c r="K849" s="26" t="str"/>
      <x:c r="L849" s="26" t="str">
        <x:v>serra</x:v>
      </x:c>
      <x:c r="M849" s="26" t="str">
        <x:v>Translate directly</x:v>
      </x:c>
      <x:c r="N849" s="26" t="str">
        <x:v>Production-ready</x:v>
      </x:c>
      <x:c r="O849" s="43" t="n">
        <x:v>0.99</x:v>
      </x:c>
      <x:c r="P849" s="26" t="str">
        <x:v>Use for card type/supertype/subtype intent, not for art or rules-text mentions.</x:v>
      </x:c>
      <x:c r="Q849" s="26" t="str">
        <x:v>https://scryfall.com/docs/syntax</x:v>
      </x:c>
      <x:c r="R849" s="26" t="str">
        <x:v>2026-08-21</x:v>
      </x:c>
    </x:row>
    <x:row r="850">
      <x:c r="A850" s="26" t="str">
        <x:v>PlaneswalkerTypes!A69</x:v>
      </x:c>
      <x:c r="B850" s="26" t="str">
        <x:v>Planeswalker Type</x:v>
      </x:c>
      <x:c r="C850" s="26" t="str">
        <x:v>Sivitri</x:v>
      </x:c>
      <x:c r="D850" s="26" t="str">
        <x:v>Planeswalker subtype</x:v>
      </x:c>
      <x:c r="E850" s="26"/>
      <x:c r="F850" s="26" t="str">
        <x:v>t:"Sivitri"</x:v>
      </x:c>
      <x:c r="G850" s="26" t="str">
        <x:v>High</x:v>
      </x:c>
      <x:c r="H850" s="26" t="str">
        <x:v>Native taxonomy</x:v>
      </x:c>
      <x:c r="I850" s="26" t="str">
        <x:v>type:</x:v>
      </x:c>
      <x:c r="J850" s="26" t="str">
        <x:v>t:"Sivitri"</x:v>
      </x:c>
      <x:c r="K850" s="26" t="str"/>
      <x:c r="L850" s="26" t="str">
        <x:v>sivitri</x:v>
      </x:c>
      <x:c r="M850" s="26" t="str">
        <x:v>Translate directly</x:v>
      </x:c>
      <x:c r="N850" s="26" t="str">
        <x:v>Production-ready</x:v>
      </x:c>
      <x:c r="O850" s="43" t="n">
        <x:v>0.99</x:v>
      </x:c>
      <x:c r="P850" s="26" t="str">
        <x:v>Use for card type/supertype/subtype intent, not for art or rules-text mentions.</x:v>
      </x:c>
      <x:c r="Q850" s="26" t="str">
        <x:v>https://scryfall.com/docs/syntax</x:v>
      </x:c>
      <x:c r="R850" s="26" t="str">
        <x:v>2026-08-21</x:v>
      </x:c>
    </x:row>
    <x:row r="851">
      <x:c r="A851" s="26" t="str">
        <x:v>PlaneswalkerTypes!A70</x:v>
      </x:c>
      <x:c r="B851" s="26" t="str">
        <x:v>Planeswalker Type</x:v>
      </x:c>
      <x:c r="C851" s="26" t="str">
        <x:v>Sorin</x:v>
      </x:c>
      <x:c r="D851" s="26" t="str">
        <x:v>Planeswalker subtype</x:v>
      </x:c>
      <x:c r="E851" s="26"/>
      <x:c r="F851" s="26" t="str">
        <x:v>t:"Sorin"</x:v>
      </x:c>
      <x:c r="G851" s="26" t="str">
        <x:v>High</x:v>
      </x:c>
      <x:c r="H851" s="26" t="str">
        <x:v>Native taxonomy</x:v>
      </x:c>
      <x:c r="I851" s="26" t="str">
        <x:v>type:</x:v>
      </x:c>
      <x:c r="J851" s="26" t="str">
        <x:v>t:"Sorin"</x:v>
      </x:c>
      <x:c r="K851" s="26" t="str"/>
      <x:c r="L851" s="26" t="str">
        <x:v>sorin</x:v>
      </x:c>
      <x:c r="M851" s="26" t="str">
        <x:v>Translate directly</x:v>
      </x:c>
      <x:c r="N851" s="26" t="str">
        <x:v>Production-ready</x:v>
      </x:c>
      <x:c r="O851" s="43" t="n">
        <x:v>0.99</x:v>
      </x:c>
      <x:c r="P851" s="26" t="str">
        <x:v>Use for card type/supertype/subtype intent, not for art or rules-text mentions.</x:v>
      </x:c>
      <x:c r="Q851" s="26" t="str">
        <x:v>https://scryfall.com/docs/syntax</x:v>
      </x:c>
      <x:c r="R851" s="26" t="str">
        <x:v>2026-08-21</x:v>
      </x:c>
    </x:row>
    <x:row r="852">
      <x:c r="A852" s="26" t="str">
        <x:v>PlaneswalkerTypes!A71</x:v>
      </x:c>
      <x:c r="B852" s="26" t="str">
        <x:v>Planeswalker Type</x:v>
      </x:c>
      <x:c r="C852" s="26" t="str">
        <x:v>Svega</x:v>
      </x:c>
      <x:c r="D852" s="26" t="str">
        <x:v>Planeswalker subtype</x:v>
      </x:c>
      <x:c r="E852" s="26"/>
      <x:c r="F852" s="26" t="str">
        <x:v>t:"Svega"</x:v>
      </x:c>
      <x:c r="G852" s="26" t="str">
        <x:v>High</x:v>
      </x:c>
      <x:c r="H852" s="26" t="str">
        <x:v>Native taxonomy</x:v>
      </x:c>
      <x:c r="I852" s="26" t="str">
        <x:v>type:</x:v>
      </x:c>
      <x:c r="J852" s="26" t="str">
        <x:v>t:"Svega"</x:v>
      </x:c>
      <x:c r="K852" s="26" t="str"/>
      <x:c r="L852" s="26" t="str">
        <x:v>svega</x:v>
      </x:c>
      <x:c r="M852" s="26" t="str">
        <x:v>Translate directly</x:v>
      </x:c>
      <x:c r="N852" s="26" t="str">
        <x:v>Production-ready</x:v>
      </x:c>
      <x:c r="O852" s="43" t="n">
        <x:v>0.99</x:v>
      </x:c>
      <x:c r="P852" s="26" t="str">
        <x:v>Use for card type/supertype/subtype intent, not for art or rules-text mentions.</x:v>
      </x:c>
      <x:c r="Q852" s="26" t="str">
        <x:v>https://scryfall.com/docs/syntax</x:v>
      </x:c>
      <x:c r="R852" s="26" t="str">
        <x:v>2026-08-21</x:v>
      </x:c>
    </x:row>
    <x:row r="853">
      <x:c r="A853" s="26" t="str">
        <x:v>PlaneswalkerTypes!A72</x:v>
      </x:c>
      <x:c r="B853" s="26" t="str">
        <x:v>Planeswalker Type</x:v>
      </x:c>
      <x:c r="C853" s="26" t="str">
        <x:v>Szat</x:v>
      </x:c>
      <x:c r="D853" s="26" t="str">
        <x:v>Planeswalker subtype</x:v>
      </x:c>
      <x:c r="E853" s="26"/>
      <x:c r="F853" s="26" t="str">
        <x:v>t:"Szat"</x:v>
      </x:c>
      <x:c r="G853" s="26" t="str">
        <x:v>High</x:v>
      </x:c>
      <x:c r="H853" s="26" t="str">
        <x:v>Native taxonomy</x:v>
      </x:c>
      <x:c r="I853" s="26" t="str">
        <x:v>type:</x:v>
      </x:c>
      <x:c r="J853" s="26" t="str">
        <x:v>t:"Szat"</x:v>
      </x:c>
      <x:c r="K853" s="26" t="str"/>
      <x:c r="L853" s="26" t="str">
        <x:v>szat</x:v>
      </x:c>
      <x:c r="M853" s="26" t="str">
        <x:v>Translate directly</x:v>
      </x:c>
      <x:c r="N853" s="26" t="str">
        <x:v>Production-ready</x:v>
      </x:c>
      <x:c r="O853" s="43" t="n">
        <x:v>0.99</x:v>
      </x:c>
      <x:c r="P853" s="26" t="str">
        <x:v>Use for card type/supertype/subtype intent, not for art or rules-text mentions.</x:v>
      </x:c>
      <x:c r="Q853" s="26" t="str">
        <x:v>https://scryfall.com/docs/syntax</x:v>
      </x:c>
      <x:c r="R853" s="26" t="str">
        <x:v>2026-08-21</x:v>
      </x:c>
    </x:row>
    <x:row r="854">
      <x:c r="A854" s="26" t="str">
        <x:v>PlaneswalkerTypes!A73</x:v>
      </x:c>
      <x:c r="B854" s="26" t="str">
        <x:v>Planeswalker Type</x:v>
      </x:c>
      <x:c r="C854" s="26" t="str">
        <x:v>Tamiyo</x:v>
      </x:c>
      <x:c r="D854" s="26" t="str">
        <x:v>Planeswalker subtype</x:v>
      </x:c>
      <x:c r="E854" s="26"/>
      <x:c r="F854" s="26" t="str">
        <x:v>t:"Tamiyo"</x:v>
      </x:c>
      <x:c r="G854" s="26" t="str">
        <x:v>High</x:v>
      </x:c>
      <x:c r="H854" s="26" t="str">
        <x:v>Native taxonomy</x:v>
      </x:c>
      <x:c r="I854" s="26" t="str">
        <x:v>type:</x:v>
      </x:c>
      <x:c r="J854" s="26" t="str">
        <x:v>t:"Tamiyo"</x:v>
      </x:c>
      <x:c r="K854" s="26" t="str"/>
      <x:c r="L854" s="26" t="str">
        <x:v>tamiyo</x:v>
      </x:c>
      <x:c r="M854" s="26" t="str">
        <x:v>Translate directly</x:v>
      </x:c>
      <x:c r="N854" s="26" t="str">
        <x:v>Production-ready</x:v>
      </x:c>
      <x:c r="O854" s="43" t="n">
        <x:v>0.99</x:v>
      </x:c>
      <x:c r="P854" s="26" t="str">
        <x:v>Use for card type/supertype/subtype intent, not for art or rules-text mentions.</x:v>
      </x:c>
      <x:c r="Q854" s="26" t="str">
        <x:v>https://scryfall.com/docs/syntax</x:v>
      </x:c>
      <x:c r="R854" s="26" t="str">
        <x:v>2026-08-21</x:v>
      </x:c>
    </x:row>
    <x:row r="855">
      <x:c r="A855" s="26" t="str">
        <x:v>PlaneswalkerTypes!A74</x:v>
      </x:c>
      <x:c r="B855" s="26" t="str">
        <x:v>Planeswalker Type</x:v>
      </x:c>
      <x:c r="C855" s="26" t="str">
        <x:v>Tasha</x:v>
      </x:c>
      <x:c r="D855" s="26" t="str">
        <x:v>Planeswalker subtype</x:v>
      </x:c>
      <x:c r="E855" s="26"/>
      <x:c r="F855" s="26" t="str">
        <x:v>t:"Tasha"</x:v>
      </x:c>
      <x:c r="G855" s="26" t="str">
        <x:v>High</x:v>
      </x:c>
      <x:c r="H855" s="26" t="str">
        <x:v>Native taxonomy</x:v>
      </x:c>
      <x:c r="I855" s="26" t="str">
        <x:v>type:</x:v>
      </x:c>
      <x:c r="J855" s="26" t="str">
        <x:v>t:"Tasha"</x:v>
      </x:c>
      <x:c r="K855" s="26" t="str"/>
      <x:c r="L855" s="26" t="str">
        <x:v>tasha</x:v>
      </x:c>
      <x:c r="M855" s="26" t="str">
        <x:v>Translate directly</x:v>
      </x:c>
      <x:c r="N855" s="26" t="str">
        <x:v>Production-ready</x:v>
      </x:c>
      <x:c r="O855" s="43" t="n">
        <x:v>0.99</x:v>
      </x:c>
      <x:c r="P855" s="26" t="str">
        <x:v>Use for card type/supertype/subtype intent, not for art or rules-text mentions.</x:v>
      </x:c>
      <x:c r="Q855" s="26" t="str">
        <x:v>https://scryfall.com/docs/syntax</x:v>
      </x:c>
      <x:c r="R855" s="26" t="str">
        <x:v>2026-08-21</x:v>
      </x:c>
    </x:row>
    <x:row r="856">
      <x:c r="A856" s="26" t="str">
        <x:v>PlaneswalkerTypes!A75</x:v>
      </x:c>
      <x:c r="B856" s="26" t="str">
        <x:v>Planeswalker Type</x:v>
      </x:c>
      <x:c r="C856" s="26" t="str">
        <x:v>Teferi</x:v>
      </x:c>
      <x:c r="D856" s="26" t="str">
        <x:v>Planeswalker subtype</x:v>
      </x:c>
      <x:c r="E856" s="26"/>
      <x:c r="F856" s="26" t="str">
        <x:v>t:"Teferi"</x:v>
      </x:c>
      <x:c r="G856" s="26" t="str">
        <x:v>High</x:v>
      </x:c>
      <x:c r="H856" s="26" t="str">
        <x:v>Native taxonomy</x:v>
      </x:c>
      <x:c r="I856" s="26" t="str">
        <x:v>type:</x:v>
      </x:c>
      <x:c r="J856" s="26" t="str">
        <x:v>t:"Teferi"</x:v>
      </x:c>
      <x:c r="K856" s="26" t="str"/>
      <x:c r="L856" s="26" t="str">
        <x:v>teferi</x:v>
      </x:c>
      <x:c r="M856" s="26" t="str">
        <x:v>Translate directly</x:v>
      </x:c>
      <x:c r="N856" s="26" t="str">
        <x:v>Production-ready</x:v>
      </x:c>
      <x:c r="O856" s="43" t="n">
        <x:v>0.99</x:v>
      </x:c>
      <x:c r="P856" s="26" t="str">
        <x:v>Use for card type/supertype/subtype intent, not for art or rules-text mentions.</x:v>
      </x:c>
      <x:c r="Q856" s="26" t="str">
        <x:v>https://scryfall.com/docs/syntax</x:v>
      </x:c>
      <x:c r="R856" s="26" t="str">
        <x:v>2026-08-21</x:v>
      </x:c>
    </x:row>
    <x:row r="857">
      <x:c r="A857" s="26" t="str">
        <x:v>PlaneswalkerTypes!A76</x:v>
      </x:c>
      <x:c r="B857" s="26" t="str">
        <x:v>Planeswalker Type</x:v>
      </x:c>
      <x:c r="C857" s="26" t="str">
        <x:v>Teyo</x:v>
      </x:c>
      <x:c r="D857" s="26" t="str">
        <x:v>Planeswalker subtype</x:v>
      </x:c>
      <x:c r="E857" s="26"/>
      <x:c r="F857" s="26" t="str">
        <x:v>t:"Teyo"</x:v>
      </x:c>
      <x:c r="G857" s="26" t="str">
        <x:v>High</x:v>
      </x:c>
      <x:c r="H857" s="26" t="str">
        <x:v>Native taxonomy</x:v>
      </x:c>
      <x:c r="I857" s="26" t="str">
        <x:v>type:</x:v>
      </x:c>
      <x:c r="J857" s="26" t="str">
        <x:v>t:"Teyo"</x:v>
      </x:c>
      <x:c r="K857" s="26" t="str"/>
      <x:c r="L857" s="26" t="str">
        <x:v>teyo</x:v>
      </x:c>
      <x:c r="M857" s="26" t="str">
        <x:v>Translate directly</x:v>
      </x:c>
      <x:c r="N857" s="26" t="str">
        <x:v>Production-ready</x:v>
      </x:c>
      <x:c r="O857" s="43" t="n">
        <x:v>0.99</x:v>
      </x:c>
      <x:c r="P857" s="26" t="str">
        <x:v>Use for card type/supertype/subtype intent, not for art or rules-text mentions.</x:v>
      </x:c>
      <x:c r="Q857" s="26" t="str">
        <x:v>https://scryfall.com/docs/syntax</x:v>
      </x:c>
      <x:c r="R857" s="26" t="str">
        <x:v>2026-08-21</x:v>
      </x:c>
    </x:row>
    <x:row r="858">
      <x:c r="A858" s="26" t="str">
        <x:v>PlaneswalkerTypes!A77</x:v>
      </x:c>
      <x:c r="B858" s="26" t="str">
        <x:v>Planeswalker Type</x:v>
      </x:c>
      <x:c r="C858" s="26" t="str">
        <x:v>Tezzeret</x:v>
      </x:c>
      <x:c r="D858" s="26" t="str">
        <x:v>Planeswalker subtype</x:v>
      </x:c>
      <x:c r="E858" s="26"/>
      <x:c r="F858" s="26" t="str">
        <x:v>t:"Tezzeret"</x:v>
      </x:c>
      <x:c r="G858" s="26" t="str">
        <x:v>High</x:v>
      </x:c>
      <x:c r="H858" s="26" t="str">
        <x:v>Native taxonomy</x:v>
      </x:c>
      <x:c r="I858" s="26" t="str">
        <x:v>type:</x:v>
      </x:c>
      <x:c r="J858" s="26" t="str">
        <x:v>t:"Tezzeret"</x:v>
      </x:c>
      <x:c r="K858" s="26" t="str"/>
      <x:c r="L858" s="26" t="str">
        <x:v>tezzeret</x:v>
      </x:c>
      <x:c r="M858" s="26" t="str">
        <x:v>Translate directly</x:v>
      </x:c>
      <x:c r="N858" s="26" t="str">
        <x:v>Production-ready</x:v>
      </x:c>
      <x:c r="O858" s="43" t="n">
        <x:v>0.99</x:v>
      </x:c>
      <x:c r="P858" s="26" t="str">
        <x:v>Use for card type/supertype/subtype intent, not for art or rules-text mentions.</x:v>
      </x:c>
      <x:c r="Q858" s="26" t="str">
        <x:v>https://scryfall.com/docs/syntax</x:v>
      </x:c>
      <x:c r="R858" s="26" t="str">
        <x:v>2026-08-21</x:v>
      </x:c>
    </x:row>
    <x:row r="859">
      <x:c r="A859" s="26" t="str">
        <x:v>PlaneswalkerTypes!A78</x:v>
      </x:c>
      <x:c r="B859" s="26" t="str">
        <x:v>Planeswalker Type</x:v>
      </x:c>
      <x:c r="C859" s="26" t="str">
        <x:v>Tibalt</x:v>
      </x:c>
      <x:c r="D859" s="26" t="str">
        <x:v>Planeswalker subtype</x:v>
      </x:c>
      <x:c r="E859" s="26"/>
      <x:c r="F859" s="26" t="str">
        <x:v>t:"Tibalt"</x:v>
      </x:c>
      <x:c r="G859" s="26" t="str">
        <x:v>High</x:v>
      </x:c>
      <x:c r="H859" s="26" t="str">
        <x:v>Native taxonomy</x:v>
      </x:c>
      <x:c r="I859" s="26" t="str">
        <x:v>type:</x:v>
      </x:c>
      <x:c r="J859" s="26" t="str">
        <x:v>t:"Tibalt"</x:v>
      </x:c>
      <x:c r="K859" s="26" t="str"/>
      <x:c r="L859" s="26" t="str">
        <x:v>tibalt</x:v>
      </x:c>
      <x:c r="M859" s="26" t="str">
        <x:v>Translate directly</x:v>
      </x:c>
      <x:c r="N859" s="26" t="str">
        <x:v>Production-ready</x:v>
      </x:c>
      <x:c r="O859" s="43" t="n">
        <x:v>0.99</x:v>
      </x:c>
      <x:c r="P859" s="26" t="str">
        <x:v>Use for card type/supertype/subtype intent, not for art or rules-text mentions.</x:v>
      </x:c>
      <x:c r="Q859" s="26" t="str">
        <x:v>https://scryfall.com/docs/syntax</x:v>
      </x:c>
      <x:c r="R859" s="26" t="str">
        <x:v>2026-08-21</x:v>
      </x:c>
    </x:row>
    <x:row r="860">
      <x:c r="A860" s="26" t="str">
        <x:v>PlaneswalkerTypes!A79</x:v>
      </x:c>
      <x:c r="B860" s="26" t="str">
        <x:v>Planeswalker Type</x:v>
      </x:c>
      <x:c r="C860" s="26" t="str">
        <x:v>Tyvar</x:v>
      </x:c>
      <x:c r="D860" s="26" t="str">
        <x:v>Planeswalker subtype</x:v>
      </x:c>
      <x:c r="E860" s="26"/>
      <x:c r="F860" s="26" t="str">
        <x:v>t:"Tyvar"</x:v>
      </x:c>
      <x:c r="G860" s="26" t="str">
        <x:v>High</x:v>
      </x:c>
      <x:c r="H860" s="26" t="str">
        <x:v>Native taxonomy</x:v>
      </x:c>
      <x:c r="I860" s="26" t="str">
        <x:v>type:</x:v>
      </x:c>
      <x:c r="J860" s="26" t="str">
        <x:v>t:"Tyvar"</x:v>
      </x:c>
      <x:c r="K860" s="26" t="str"/>
      <x:c r="L860" s="26" t="str">
        <x:v>tyvar</x:v>
      </x:c>
      <x:c r="M860" s="26" t="str">
        <x:v>Translate directly</x:v>
      </x:c>
      <x:c r="N860" s="26" t="str">
        <x:v>Production-ready</x:v>
      </x:c>
      <x:c r="O860" s="43" t="n">
        <x:v>0.99</x:v>
      </x:c>
      <x:c r="P860" s="26" t="str">
        <x:v>Use for card type/supertype/subtype intent, not for art or rules-text mentions.</x:v>
      </x:c>
      <x:c r="Q860" s="26" t="str">
        <x:v>https://scryfall.com/docs/syntax</x:v>
      </x:c>
      <x:c r="R860" s="26" t="str">
        <x:v>2026-08-21</x:v>
      </x:c>
    </x:row>
    <x:row r="861">
      <x:c r="A861" s="26" t="str">
        <x:v>PlaneswalkerTypes!A80</x:v>
      </x:c>
      <x:c r="B861" s="26" t="str">
        <x:v>Planeswalker Type</x:v>
      </x:c>
      <x:c r="C861" s="26" t="str">
        <x:v>Ugin</x:v>
      </x:c>
      <x:c r="D861" s="26" t="str">
        <x:v>Planeswalker subtype</x:v>
      </x:c>
      <x:c r="E861" s="26"/>
      <x:c r="F861" s="26" t="str">
        <x:v>t:"Ugin"</x:v>
      </x:c>
      <x:c r="G861" s="26" t="str">
        <x:v>High</x:v>
      </x:c>
      <x:c r="H861" s="26" t="str">
        <x:v>Native taxonomy</x:v>
      </x:c>
      <x:c r="I861" s="26" t="str">
        <x:v>type:</x:v>
      </x:c>
      <x:c r="J861" s="26" t="str">
        <x:v>t:"Ugin"</x:v>
      </x:c>
      <x:c r="K861" s="26" t="str"/>
      <x:c r="L861" s="26" t="str">
        <x:v>ugin</x:v>
      </x:c>
      <x:c r="M861" s="26" t="str">
        <x:v>Translate directly</x:v>
      </x:c>
      <x:c r="N861" s="26" t="str">
        <x:v>Production-ready</x:v>
      </x:c>
      <x:c r="O861" s="43" t="n">
        <x:v>0.99</x:v>
      </x:c>
      <x:c r="P861" s="26" t="str">
        <x:v>Use for card type/supertype/subtype intent, not for art or rules-text mentions.</x:v>
      </x:c>
      <x:c r="Q861" s="26" t="str">
        <x:v>https://scryfall.com/docs/syntax</x:v>
      </x:c>
      <x:c r="R861" s="26" t="str">
        <x:v>2026-08-21</x:v>
      </x:c>
    </x:row>
    <x:row r="862">
      <x:c r="A862" s="26" t="str">
        <x:v>PlaneswalkerTypes!A81</x:v>
      </x:c>
      <x:c r="B862" s="26" t="str">
        <x:v>Planeswalker Type</x:v>
      </x:c>
      <x:c r="C862" s="26" t="str">
        <x:v>Urza</x:v>
      </x:c>
      <x:c r="D862" s="26" t="str">
        <x:v>Planeswalker subtype</x:v>
      </x:c>
      <x:c r="E862" s="26"/>
      <x:c r="F862" s="26" t="str">
        <x:v>t:"Urza"</x:v>
      </x:c>
      <x:c r="G862" s="26" t="str">
        <x:v>High</x:v>
      </x:c>
      <x:c r="H862" s="26" t="str">
        <x:v>Native taxonomy</x:v>
      </x:c>
      <x:c r="I862" s="26" t="str">
        <x:v>type:</x:v>
      </x:c>
      <x:c r="J862" s="26" t="str">
        <x:v>t:"Urza"</x:v>
      </x:c>
      <x:c r="K862" s="26" t="str"/>
      <x:c r="L862" s="26" t="str">
        <x:v>urza</x:v>
      </x:c>
      <x:c r="M862" s="26" t="str">
        <x:v>Translate directly</x:v>
      </x:c>
      <x:c r="N862" s="26" t="str">
        <x:v>Production-ready</x:v>
      </x:c>
      <x:c r="O862" s="43" t="n">
        <x:v>0.99</x:v>
      </x:c>
      <x:c r="P862" s="26" t="str">
        <x:v>Use for card type/supertype/subtype intent, not for art or rules-text mentions.</x:v>
      </x:c>
      <x:c r="Q862" s="26" t="str">
        <x:v>https://scryfall.com/docs/syntax</x:v>
      </x:c>
      <x:c r="R862" s="26" t="str">
        <x:v>2026-08-21</x:v>
      </x:c>
    </x:row>
    <x:row r="863">
      <x:c r="A863" s="26" t="str">
        <x:v>PlaneswalkerTypes!A82</x:v>
      </x:c>
      <x:c r="B863" s="26" t="str">
        <x:v>Planeswalker Type</x:v>
      </x:c>
      <x:c r="C863" s="26" t="str">
        <x:v>Venser</x:v>
      </x:c>
      <x:c r="D863" s="26" t="str">
        <x:v>Planeswalker subtype</x:v>
      </x:c>
      <x:c r="E863" s="26"/>
      <x:c r="F863" s="26" t="str">
        <x:v>t:"Venser"</x:v>
      </x:c>
      <x:c r="G863" s="26" t="str">
        <x:v>High</x:v>
      </x:c>
      <x:c r="H863" s="26" t="str">
        <x:v>Native taxonomy</x:v>
      </x:c>
      <x:c r="I863" s="26" t="str">
        <x:v>type:</x:v>
      </x:c>
      <x:c r="J863" s="26" t="str">
        <x:v>t:"Venser"</x:v>
      </x:c>
      <x:c r="K863" s="26" t="str"/>
      <x:c r="L863" s="26" t="str">
        <x:v>venser</x:v>
      </x:c>
      <x:c r="M863" s="26" t="str">
        <x:v>Translate directly</x:v>
      </x:c>
      <x:c r="N863" s="26" t="str">
        <x:v>Production-ready</x:v>
      </x:c>
      <x:c r="O863" s="43" t="n">
        <x:v>0.99</x:v>
      </x:c>
      <x:c r="P863" s="26" t="str">
        <x:v>Use for card type/supertype/subtype intent, not for art or rules-text mentions.</x:v>
      </x:c>
      <x:c r="Q863" s="26" t="str">
        <x:v>https://scryfall.com/docs/syntax</x:v>
      </x:c>
      <x:c r="R863" s="26" t="str">
        <x:v>2026-08-21</x:v>
      </x:c>
    </x:row>
    <x:row r="864">
      <x:c r="A864" s="26" t="str">
        <x:v>PlaneswalkerTypes!A83</x:v>
      </x:c>
      <x:c r="B864" s="26" t="str">
        <x:v>Planeswalker Type</x:v>
      </x:c>
      <x:c r="C864" s="26" t="str">
        <x:v>Vivien</x:v>
      </x:c>
      <x:c r="D864" s="26" t="str">
        <x:v>Planeswalker subtype</x:v>
      </x:c>
      <x:c r="E864" s="26"/>
      <x:c r="F864" s="26" t="str">
        <x:v>t:"Vivien"</x:v>
      </x:c>
      <x:c r="G864" s="26" t="str">
        <x:v>High</x:v>
      </x:c>
      <x:c r="H864" s="26" t="str">
        <x:v>Native taxonomy</x:v>
      </x:c>
      <x:c r="I864" s="26" t="str">
        <x:v>type:</x:v>
      </x:c>
      <x:c r="J864" s="26" t="str">
        <x:v>t:"Vivien"</x:v>
      </x:c>
      <x:c r="K864" s="26" t="str"/>
      <x:c r="L864" s="26" t="str">
        <x:v>vivien</x:v>
      </x:c>
      <x:c r="M864" s="26" t="str">
        <x:v>Translate directly</x:v>
      </x:c>
      <x:c r="N864" s="26" t="str">
        <x:v>Production-ready</x:v>
      </x:c>
      <x:c r="O864" s="43" t="n">
        <x:v>0.99</x:v>
      </x:c>
      <x:c r="P864" s="26" t="str">
        <x:v>Use for card type/supertype/subtype intent, not for art or rules-text mentions.</x:v>
      </x:c>
      <x:c r="Q864" s="26" t="str">
        <x:v>https://scryfall.com/docs/syntax</x:v>
      </x:c>
      <x:c r="R864" s="26" t="str">
        <x:v>2026-08-21</x:v>
      </x:c>
    </x:row>
    <x:row r="865">
      <x:c r="A865" s="26" t="str">
        <x:v>PlaneswalkerTypes!A84</x:v>
      </x:c>
      <x:c r="B865" s="26" t="str">
        <x:v>Planeswalker Type</x:v>
      </x:c>
      <x:c r="C865" s="26" t="str">
        <x:v>Vraska</x:v>
      </x:c>
      <x:c r="D865" s="26" t="str">
        <x:v>Planeswalker subtype</x:v>
      </x:c>
      <x:c r="E865" s="26"/>
      <x:c r="F865" s="26" t="str">
        <x:v>t:"Vraska"</x:v>
      </x:c>
      <x:c r="G865" s="26" t="str">
        <x:v>High</x:v>
      </x:c>
      <x:c r="H865" s="26" t="str">
        <x:v>Native taxonomy</x:v>
      </x:c>
      <x:c r="I865" s="26" t="str">
        <x:v>type:</x:v>
      </x:c>
      <x:c r="J865" s="26" t="str">
        <x:v>t:"Vraska"</x:v>
      </x:c>
      <x:c r="K865" s="26" t="str"/>
      <x:c r="L865" s="26" t="str">
        <x:v>vraska</x:v>
      </x:c>
      <x:c r="M865" s="26" t="str">
        <x:v>Translate directly</x:v>
      </x:c>
      <x:c r="N865" s="26" t="str">
        <x:v>Production-ready</x:v>
      </x:c>
      <x:c r="O865" s="43" t="n">
        <x:v>0.99</x:v>
      </x:c>
      <x:c r="P865" s="26" t="str">
        <x:v>Use for card type/supertype/subtype intent, not for art or rules-text mentions.</x:v>
      </x:c>
      <x:c r="Q865" s="26" t="str">
        <x:v>https://scryfall.com/docs/syntax</x:v>
      </x:c>
      <x:c r="R865" s="26" t="str">
        <x:v>2026-08-21</x:v>
      </x:c>
    </x:row>
    <x:row r="866">
      <x:c r="A866" s="26" t="str">
        <x:v>PlaneswalkerTypes!A85</x:v>
      </x:c>
      <x:c r="B866" s="26" t="str">
        <x:v>Planeswalker Type</x:v>
      </x:c>
      <x:c r="C866" s="26" t="str">
        <x:v>Vronos</x:v>
      </x:c>
      <x:c r="D866" s="26" t="str">
        <x:v>Planeswalker subtype</x:v>
      </x:c>
      <x:c r="E866" s="26"/>
      <x:c r="F866" s="26" t="str">
        <x:v>t:"Vronos"</x:v>
      </x:c>
      <x:c r="G866" s="26" t="str">
        <x:v>High</x:v>
      </x:c>
      <x:c r="H866" s="26" t="str">
        <x:v>Native taxonomy</x:v>
      </x:c>
      <x:c r="I866" s="26" t="str">
        <x:v>type:</x:v>
      </x:c>
      <x:c r="J866" s="26" t="str">
        <x:v>t:"Vronos"</x:v>
      </x:c>
      <x:c r="K866" s="26" t="str"/>
      <x:c r="L866" s="26" t="str">
        <x:v>vronos</x:v>
      </x:c>
      <x:c r="M866" s="26" t="str">
        <x:v>Translate directly</x:v>
      </x:c>
      <x:c r="N866" s="26" t="str">
        <x:v>Production-ready</x:v>
      </x:c>
      <x:c r="O866" s="43" t="n">
        <x:v>0.99</x:v>
      </x:c>
      <x:c r="P866" s="26" t="str">
        <x:v>Use for card type/supertype/subtype intent, not for art or rules-text mentions.</x:v>
      </x:c>
      <x:c r="Q866" s="26" t="str">
        <x:v>https://scryfall.com/docs/syntax</x:v>
      </x:c>
      <x:c r="R866" s="26" t="str">
        <x:v>2026-08-21</x:v>
      </x:c>
    </x:row>
    <x:row r="867">
      <x:c r="A867" s="26" t="str">
        <x:v>PlaneswalkerTypes!A86</x:v>
      </x:c>
      <x:c r="B867" s="26" t="str">
        <x:v>Planeswalker Type</x:v>
      </x:c>
      <x:c r="C867" s="26" t="str">
        <x:v>Wanderer</x:v>
      </x:c>
      <x:c r="D867" s="26" t="str">
        <x:v>Planeswalker subtype</x:v>
      </x:c>
      <x:c r="E867" s="26"/>
      <x:c r="F867" s="26" t="str">
        <x:v>t:"Wanderer"</x:v>
      </x:c>
      <x:c r="G867" s="26" t="str">
        <x:v>High</x:v>
      </x:c>
      <x:c r="H867" s="26" t="str">
        <x:v>Native taxonomy</x:v>
      </x:c>
      <x:c r="I867" s="26" t="str">
        <x:v>type:</x:v>
      </x:c>
      <x:c r="J867" s="26" t="str">
        <x:v>t:"Wanderer"</x:v>
      </x:c>
      <x:c r="K867" s="26" t="str"/>
      <x:c r="L867" s="26" t="str">
        <x:v>wanderer</x:v>
      </x:c>
      <x:c r="M867" s="26" t="str">
        <x:v>Translate directly</x:v>
      </x:c>
      <x:c r="N867" s="26" t="str">
        <x:v>Production-ready</x:v>
      </x:c>
      <x:c r="O867" s="43" t="n">
        <x:v>0.99</x:v>
      </x:c>
      <x:c r="P867" s="26" t="str">
        <x:v>Use for card type/supertype/subtype intent, not for art or rules-text mentions.</x:v>
      </x:c>
      <x:c r="Q867" s="26" t="str">
        <x:v>https://scryfall.com/docs/syntax</x:v>
      </x:c>
      <x:c r="R867" s="26" t="str">
        <x:v>2026-08-21</x:v>
      </x:c>
    </x:row>
    <x:row r="868">
      <x:c r="A868" s="26" t="str">
        <x:v>PlaneswalkerTypes!A87</x:v>
      </x:c>
      <x:c r="B868" s="26" t="str">
        <x:v>Planeswalker Type</x:v>
      </x:c>
      <x:c r="C868" s="26" t="str">
        <x:v>Will</x:v>
      </x:c>
      <x:c r="D868" s="26" t="str">
        <x:v>Planeswalker subtype</x:v>
      </x:c>
      <x:c r="E868" s="26"/>
      <x:c r="F868" s="26" t="str">
        <x:v>t:"Will"</x:v>
      </x:c>
      <x:c r="G868" s="26" t="str">
        <x:v>High</x:v>
      </x:c>
      <x:c r="H868" s="26" t="str">
        <x:v>Native taxonomy</x:v>
      </x:c>
      <x:c r="I868" s="26" t="str">
        <x:v>type:</x:v>
      </x:c>
      <x:c r="J868" s="26" t="str">
        <x:v>t:"Will"</x:v>
      </x:c>
      <x:c r="K868" s="26" t="str"/>
      <x:c r="L868" s="26" t="str">
        <x:v>will</x:v>
      </x:c>
      <x:c r="M868" s="26" t="str">
        <x:v>Translate directly</x:v>
      </x:c>
      <x:c r="N868" s="26" t="str">
        <x:v>Production-ready</x:v>
      </x:c>
      <x:c r="O868" s="43" t="n">
        <x:v>0.99</x:v>
      </x:c>
      <x:c r="P868" s="26" t="str">
        <x:v>Use for card type/supertype/subtype intent, not for art or rules-text mentions.</x:v>
      </x:c>
      <x:c r="Q868" s="26" t="str">
        <x:v>https://scryfall.com/docs/syntax</x:v>
      </x:c>
      <x:c r="R868" s="26" t="str">
        <x:v>2026-08-21</x:v>
      </x:c>
    </x:row>
    <x:row r="869">
      <x:c r="A869" s="26" t="str">
        <x:v>PlaneswalkerTypes!A88</x:v>
      </x:c>
      <x:c r="B869" s="26" t="str">
        <x:v>Planeswalker Type</x:v>
      </x:c>
      <x:c r="C869" s="26" t="str">
        <x:v>Windgrace</x:v>
      </x:c>
      <x:c r="D869" s="26" t="str">
        <x:v>Planeswalker subtype</x:v>
      </x:c>
      <x:c r="E869" s="26"/>
      <x:c r="F869" s="26" t="str">
        <x:v>t:"Windgrace"</x:v>
      </x:c>
      <x:c r="G869" s="26" t="str">
        <x:v>High</x:v>
      </x:c>
      <x:c r="H869" s="26" t="str">
        <x:v>Native taxonomy</x:v>
      </x:c>
      <x:c r="I869" s="26" t="str">
        <x:v>type:</x:v>
      </x:c>
      <x:c r="J869" s="26" t="str">
        <x:v>t:"Windgrace"</x:v>
      </x:c>
      <x:c r="K869" s="26" t="str"/>
      <x:c r="L869" s="26" t="str">
        <x:v>windgrace</x:v>
      </x:c>
      <x:c r="M869" s="26" t="str">
        <x:v>Translate directly</x:v>
      </x:c>
      <x:c r="N869" s="26" t="str">
        <x:v>Production-ready</x:v>
      </x:c>
      <x:c r="O869" s="43" t="n">
        <x:v>0.99</x:v>
      </x:c>
      <x:c r="P869" s="26" t="str">
        <x:v>Use for card type/supertype/subtype intent, not for art or rules-text mentions.</x:v>
      </x:c>
      <x:c r="Q869" s="26" t="str">
        <x:v>https://scryfall.com/docs/syntax</x:v>
      </x:c>
      <x:c r="R869" s="26" t="str">
        <x:v>2026-08-21</x:v>
      </x:c>
    </x:row>
    <x:row r="870">
      <x:c r="A870" s="26" t="str">
        <x:v>PlaneswalkerTypes!A89</x:v>
      </x:c>
      <x:c r="B870" s="26" t="str">
        <x:v>Planeswalker Type</x:v>
      </x:c>
      <x:c r="C870" s="26" t="str">
        <x:v>Wrenn</x:v>
      </x:c>
      <x:c r="D870" s="26" t="str">
        <x:v>Planeswalker subtype</x:v>
      </x:c>
      <x:c r="E870" s="26"/>
      <x:c r="F870" s="26" t="str">
        <x:v>t:"Wrenn"</x:v>
      </x:c>
      <x:c r="G870" s="26" t="str">
        <x:v>High</x:v>
      </x:c>
      <x:c r="H870" s="26" t="str">
        <x:v>Native taxonomy</x:v>
      </x:c>
      <x:c r="I870" s="26" t="str">
        <x:v>type:</x:v>
      </x:c>
      <x:c r="J870" s="26" t="str">
        <x:v>t:"Wrenn"</x:v>
      </x:c>
      <x:c r="K870" s="26" t="str"/>
      <x:c r="L870" s="26" t="str">
        <x:v>wrenn</x:v>
      </x:c>
      <x:c r="M870" s="26" t="str">
        <x:v>Translate directly</x:v>
      </x:c>
      <x:c r="N870" s="26" t="str">
        <x:v>Production-ready</x:v>
      </x:c>
      <x:c r="O870" s="43" t="n">
        <x:v>0.99</x:v>
      </x:c>
      <x:c r="P870" s="26" t="str">
        <x:v>Use for card type/supertype/subtype intent, not for art or rules-text mentions.</x:v>
      </x:c>
      <x:c r="Q870" s="26" t="str">
        <x:v>https://scryfall.com/docs/syntax</x:v>
      </x:c>
      <x:c r="R870" s="26" t="str">
        <x:v>2026-08-21</x:v>
      </x:c>
    </x:row>
    <x:row r="871">
      <x:c r="A871" s="26" t="str">
        <x:v>PlaneswalkerTypes!A90</x:v>
      </x:c>
      <x:c r="B871" s="26" t="str">
        <x:v>Planeswalker Type</x:v>
      </x:c>
      <x:c r="C871" s="26" t="str">
        <x:v>Xenagos</x:v>
      </x:c>
      <x:c r="D871" s="26" t="str">
        <x:v>Planeswalker subtype</x:v>
      </x:c>
      <x:c r="E871" s="26"/>
      <x:c r="F871" s="26" t="str">
        <x:v>t:"Xenagos"</x:v>
      </x:c>
      <x:c r="G871" s="26" t="str">
        <x:v>High</x:v>
      </x:c>
      <x:c r="H871" s="26" t="str">
        <x:v>Native taxonomy</x:v>
      </x:c>
      <x:c r="I871" s="26" t="str">
        <x:v>type:</x:v>
      </x:c>
      <x:c r="J871" s="26" t="str">
        <x:v>t:"Xenagos"</x:v>
      </x:c>
      <x:c r="K871" s="26" t="str"/>
      <x:c r="L871" s="26" t="str">
        <x:v>xenagos</x:v>
      </x:c>
      <x:c r="M871" s="26" t="str">
        <x:v>Translate directly</x:v>
      </x:c>
      <x:c r="N871" s="26" t="str">
        <x:v>Production-ready</x:v>
      </x:c>
      <x:c r="O871" s="43" t="n">
        <x:v>0.99</x:v>
      </x:c>
      <x:c r="P871" s="26" t="str">
        <x:v>Use for card type/supertype/subtype intent, not for art or rules-text mentions.</x:v>
      </x:c>
      <x:c r="Q871" s="26" t="str">
        <x:v>https://scryfall.com/docs/syntax</x:v>
      </x:c>
      <x:c r="R871" s="26" t="str">
        <x:v>2026-08-21</x:v>
      </x:c>
    </x:row>
    <x:row r="872">
      <x:c r="A872" s="26" t="str">
        <x:v>PlaneswalkerTypes!A91</x:v>
      </x:c>
      <x:c r="B872" s="26" t="str">
        <x:v>Planeswalker Type</x:v>
      </x:c>
      <x:c r="C872" s="26" t="str">
        <x:v>Yanggu</x:v>
      </x:c>
      <x:c r="D872" s="26" t="str">
        <x:v>Planeswalker subtype</x:v>
      </x:c>
      <x:c r="E872" s="26"/>
      <x:c r="F872" s="26" t="str">
        <x:v>t:"Yanggu"</x:v>
      </x:c>
      <x:c r="G872" s="26" t="str">
        <x:v>High</x:v>
      </x:c>
      <x:c r="H872" s="26" t="str">
        <x:v>Native taxonomy</x:v>
      </x:c>
      <x:c r="I872" s="26" t="str">
        <x:v>type:</x:v>
      </x:c>
      <x:c r="J872" s="26" t="str">
        <x:v>t:"Yanggu"</x:v>
      </x:c>
      <x:c r="K872" s="26" t="str"/>
      <x:c r="L872" s="26" t="str">
        <x:v>yanggu</x:v>
      </x:c>
      <x:c r="M872" s="26" t="str">
        <x:v>Translate directly</x:v>
      </x:c>
      <x:c r="N872" s="26" t="str">
        <x:v>Production-ready</x:v>
      </x:c>
      <x:c r="O872" s="43" t="n">
        <x:v>0.99</x:v>
      </x:c>
      <x:c r="P872" s="26" t="str">
        <x:v>Use for card type/supertype/subtype intent, not for art or rules-text mentions.</x:v>
      </x:c>
      <x:c r="Q872" s="26" t="str">
        <x:v>https://scryfall.com/docs/syntax</x:v>
      </x:c>
      <x:c r="R872" s="26" t="str">
        <x:v>2026-08-21</x:v>
      </x:c>
    </x:row>
    <x:row r="873">
      <x:c r="A873" s="26" t="str">
        <x:v>PlaneswalkerTypes!A92</x:v>
      </x:c>
      <x:c r="B873" s="26" t="str">
        <x:v>Planeswalker Type</x:v>
      </x:c>
      <x:c r="C873" s="26" t="str">
        <x:v>Yanling</x:v>
      </x:c>
      <x:c r="D873" s="26" t="str">
        <x:v>Planeswalker subtype</x:v>
      </x:c>
      <x:c r="E873" s="26"/>
      <x:c r="F873" s="26" t="str">
        <x:v>t:"Yanling"</x:v>
      </x:c>
      <x:c r="G873" s="26" t="str">
        <x:v>High</x:v>
      </x:c>
      <x:c r="H873" s="26" t="str">
        <x:v>Native taxonomy</x:v>
      </x:c>
      <x:c r="I873" s="26" t="str">
        <x:v>type:</x:v>
      </x:c>
      <x:c r="J873" s="26" t="str">
        <x:v>t:"Yanling"</x:v>
      </x:c>
      <x:c r="K873" s="26" t="str"/>
      <x:c r="L873" s="26" t="str">
        <x:v>yanling</x:v>
      </x:c>
      <x:c r="M873" s="26" t="str">
        <x:v>Translate directly</x:v>
      </x:c>
      <x:c r="N873" s="26" t="str">
        <x:v>Production-ready</x:v>
      </x:c>
      <x:c r="O873" s="43" t="n">
        <x:v>0.99</x:v>
      </x:c>
      <x:c r="P873" s="26" t="str">
        <x:v>Use for card type/supertype/subtype intent, not for art or rules-text mentions.</x:v>
      </x:c>
      <x:c r="Q873" s="26" t="str">
        <x:v>https://scryfall.com/docs/syntax</x:v>
      </x:c>
      <x:c r="R873" s="26" t="str">
        <x:v>2026-08-21</x:v>
      </x:c>
    </x:row>
    <x:row r="874">
      <x:c r="A874" s="26" t="str">
        <x:v>PlaneswalkerTypes!A93</x:v>
      </x:c>
      <x:c r="B874" s="26" t="str">
        <x:v>Planeswalker Type</x:v>
      </x:c>
      <x:c r="C874" s="26" t="str">
        <x:v>Zariel</x:v>
      </x:c>
      <x:c r="D874" s="26" t="str">
        <x:v>Planeswalker subtype</x:v>
      </x:c>
      <x:c r="E874" s="26"/>
      <x:c r="F874" s="26" t="str">
        <x:v>t:"Zariel"</x:v>
      </x:c>
      <x:c r="G874" s="26" t="str">
        <x:v>High</x:v>
      </x:c>
      <x:c r="H874" s="26" t="str">
        <x:v>Native taxonomy</x:v>
      </x:c>
      <x:c r="I874" s="26" t="str">
        <x:v>type:</x:v>
      </x:c>
      <x:c r="J874" s="26" t="str">
        <x:v>t:"Zariel"</x:v>
      </x:c>
      <x:c r="K874" s="26" t="str"/>
      <x:c r="L874" s="26" t="str">
        <x:v>zariel</x:v>
      </x:c>
      <x:c r="M874" s="26" t="str">
        <x:v>Translate directly</x:v>
      </x:c>
      <x:c r="N874" s="26" t="str">
        <x:v>Production-ready</x:v>
      </x:c>
      <x:c r="O874" s="43" t="n">
        <x:v>0.99</x:v>
      </x:c>
      <x:c r="P874" s="26" t="str">
        <x:v>Use for card type/supertype/subtype intent, not for art or rules-text mentions.</x:v>
      </x:c>
      <x:c r="Q874" s="26" t="str">
        <x:v>https://scryfall.com/docs/syntax</x:v>
      </x:c>
      <x:c r="R874" s="26" t="str">
        <x:v>2026-08-21</x:v>
      </x:c>
    </x:row>
    <x:row r="875">
      <x:c r="A875" s="26" t="str">
        <x:v>ColorPie!A2:E2</x:v>
      </x:c>
      <x:c r="B875" s="26" t="str">
        <x:v>Color Pie Ability</x:v>
      </x:c>
      <x:c r="C875" s="26" t="str">
        <x:v>Animating artifacts</x:v>
      </x:c>
      <x:c r="D875" s="26" t="str">
        <x:v>Primary: Blue | Secondary: Green</x:v>
      </x:c>
      <x:c r="E875" s="26" t="str">
        <x:v>Turning non-creature artifacts into artifact creatures</x:v>
      </x:c>
      <x:c r="F875" s="26" t="str">
        <x:v>o:"Animating artifacts"</x:v>
      </x:c>
      <x:c r="G875" s="26" t="str">
        <x:v>Needs refinement</x:v>
      </x:c>
      <x:c r="H875" s="26" t="str">
        <x:v>Color-pie semantic concept</x:v>
      </x:c>
      <x:c r="I875" s="26" t="str">
        <x:v>Semantic concept</x:v>
      </x:c>
      <x:c r="J875" s="26" t="str"/>
      <x:c r="K875" s="26" t="str"/>
      <x:c r="L875" s="26" t="str">
        <x:v>animating artifacts</x:v>
      </x:c>
      <x:c r="M875" s="26" t="str">
        <x:v>Use curated mapping; otherwise keep unresolved</x:v>
      </x:c>
      <x:c r="N875" s="26" t="str">
        <x:v>Semantic</x:v>
      </x:c>
      <x:c r="O875" s="43" t="n">
        <x:v>0.3</x:v>
      </x:c>
      <x:c r="P875" s="26" t="str">
        <x:v>Color Pie prose describes design space, not necessarily literal Oracle wording. Never use the source phrase as a blind o: search.</x:v>
      </x:c>
      <x:c r="Q875" s="26" t="str">
        <x:v>https://scryfall.com/docs/syntax</x:v>
      </x:c>
      <x:c r="R875" s="26" t="str">
        <x:v>2026-08-21</x:v>
      </x:c>
    </x:row>
    <x:row r="876">
      <x:c r="A876" s="26" t="str">
        <x:v>ColorPie!A3:E3</x:v>
      </x:c>
      <x:c r="B876" s="26" t="str">
        <x:v>Color Pie Ability</x:v>
      </x:c>
      <x:c r="C876" s="26" t="str">
        <x:v>Animating enchantments</x:v>
      </x:c>
      <x:c r="D876" s="26" t="str">
        <x:v>Primary: White | Secondary: Blue</x:v>
      </x:c>
      <x:c r="E876" s="26" t="str">
        <x:v>Turning non-aura enchantments into enchantment creatures</x:v>
      </x:c>
      <x:c r="F876" s="26" t="str">
        <x:v>o:"Animating enchantments"</x:v>
      </x:c>
      <x:c r="G876" s="26" t="str">
        <x:v>Needs refinement</x:v>
      </x:c>
      <x:c r="H876" s="26" t="str">
        <x:v>Color-pie semantic concept</x:v>
      </x:c>
      <x:c r="I876" s="26" t="str">
        <x:v>Semantic concept</x:v>
      </x:c>
      <x:c r="J876" s="26" t="str"/>
      <x:c r="K876" s="26" t="str"/>
      <x:c r="L876" s="26" t="str">
        <x:v>animating enchantments</x:v>
      </x:c>
      <x:c r="M876" s="26" t="str">
        <x:v>Use curated mapping; otherwise keep unresolved</x:v>
      </x:c>
      <x:c r="N876" s="26" t="str">
        <x:v>Semantic</x:v>
      </x:c>
      <x:c r="O876" s="43" t="n">
        <x:v>0.3</x:v>
      </x:c>
      <x:c r="P876" s="26" t="str">
        <x:v>Color Pie prose describes design space, not necessarily literal Oracle wording. Never use the source phrase as a blind o: search.</x:v>
      </x:c>
      <x:c r="Q876" s="26" t="str">
        <x:v>https://scryfall.com/docs/syntax</x:v>
      </x:c>
      <x:c r="R876" s="26" t="str">
        <x:v>2026-08-21</x:v>
      </x:c>
    </x:row>
    <x:row r="877">
      <x:c r="A877" s="26" t="str">
        <x:v>ColorPie!A4:E4</x:v>
      </x:c>
      <x:c r="B877" s="26" t="str">
        <x:v>Color Pie Ability</x:v>
      </x:c>
      <x:c r="C877" s="26" t="str">
        <x:v>Animating lands</x:v>
      </x:c>
      <x:c r="D877" s="26" t="str">
        <x:v>Primary: Green | Secondary: Red | Tertiary: White, Blue, Black</x:v>
      </x:c>
      <x:c r="E877" s="26" t="str">
        <x:v>Target land becomes an N/N creature until end of turn</x:v>
      </x:c>
      <x:c r="F877" s="26" t="str">
        <x:v>o:"Target land becomes an N/N creature until end of turn"</x:v>
      </x:c>
      <x:c r="G877" s="26" t="str">
        <x:v>Medium</x:v>
      </x:c>
      <x:c r="H877" s="26" t="str">
        <x:v>Color-pie semantic concept</x:v>
      </x:c>
      <x:c r="I877" s="26" t="str">
        <x:v>Semantic concept</x:v>
      </x:c>
      <x:c r="J877" s="26" t="str"/>
      <x:c r="K877" s="26" t="str"/>
      <x:c r="L877" s="26" t="str">
        <x:v>animating lands</x:v>
      </x:c>
      <x:c r="M877" s="26" t="str">
        <x:v>Use curated mapping; otherwise keep unresolved</x:v>
      </x:c>
      <x:c r="N877" s="26" t="str">
        <x:v>Semantic</x:v>
      </x:c>
      <x:c r="O877" s="43" t="n">
        <x:v>0.3</x:v>
      </x:c>
      <x:c r="P877" s="26" t="str">
        <x:v>Color Pie prose describes design space, not necessarily literal Oracle wording. Never use the source phrase as a blind o: search.</x:v>
      </x:c>
      <x:c r="Q877" s="26" t="str">
        <x:v>https://scryfall.com/docs/syntax</x:v>
      </x:c>
      <x:c r="R877" s="26" t="str">
        <x:v>2026-08-21</x:v>
      </x:c>
    </x:row>
    <x:row r="878">
      <x:c r="A878" s="26" t="str">
        <x:v>ColorPie!A5:E5</x:v>
      </x:c>
      <x:c r="B878" s="26" t="str">
        <x:v>Color Pie Ability</x:v>
      </x:c>
      <x:c r="C878" s="26" t="str">
        <x:v>Artifact destruction</x:v>
      </x:c>
      <x:c r="D878" s="26" t="str">
        <x:v>Primary: Red, Green | Secondary: White</x:v>
      </x:c>
      <x:c r="E878" s="26" t="str">
        <x:v>Destroying artifacts; green usually also destroys enchantments</x:v>
      </x:c>
      <x:c r="F878" s="26" t="str">
        <x:v>o:"destroy target artifact"</x:v>
      </x:c>
      <x:c r="G878" s="26" t="str">
        <x:v>High</x:v>
      </x:c>
      <x:c r="H878" s="26" t="str">
        <x:v>Color-pie semantic concept</x:v>
      </x:c>
      <x:c r="I878" s="26" t="str">
        <x:v>Semantic concept</x:v>
      </x:c>
      <x:c r="J878" s="26" t="str"/>
      <x:c r="K878" s="26" t="str"/>
      <x:c r="L878" s="26" t="str">
        <x:v>artifact destruction</x:v>
      </x:c>
      <x:c r="M878" s="26" t="str">
        <x:v>Use curated mapping; otherwise keep unresolved</x:v>
      </x:c>
      <x:c r="N878" s="26" t="str">
        <x:v>Semantic</x:v>
      </x:c>
      <x:c r="O878" s="43" t="n">
        <x:v>0.3</x:v>
      </x:c>
      <x:c r="P878" s="26" t="str">
        <x:v>Color Pie prose describes design space, not necessarily literal Oracle wording. Never use the source phrase as a blind o: search.</x:v>
      </x:c>
      <x:c r="Q878" s="26" t="str">
        <x:v>https://scryfall.com/docs/syntax</x:v>
      </x:c>
      <x:c r="R878" s="26" t="str">
        <x:v>2026-08-21</x:v>
      </x:c>
    </x:row>
    <x:row r="879">
      <x:c r="A879" s="26" t="str">
        <x:v>ColorPie!A6:E6</x:v>
      </x:c>
      <x:c r="B879" s="26" t="str">
        <x:v>Color Pie Ability</x:v>
      </x:c>
      <x:c r="C879" s="26" t="str">
        <x:v>Banisher Priest-like effect</x:v>
      </x:c>
      <x:c r="D879" s="26" t="str">
        <x:v>Primary: White</x:v>
      </x:c>
      <x:c r="E879" s="26" t="str">
        <x:v>Exile target creature/permanent until this card leaves play</x:v>
      </x:c>
      <x:c r="F879" s="26" t="str">
        <x:v>o:"Exile target creature/permanent until this card leaves play"</x:v>
      </x:c>
      <x:c r="G879" s="26" t="str">
        <x:v>High</x:v>
      </x:c>
      <x:c r="H879" s="26" t="str">
        <x:v>Color-pie semantic concept</x:v>
      </x:c>
      <x:c r="I879" s="26" t="str">
        <x:v>Semantic concept</x:v>
      </x:c>
      <x:c r="J879" s="26" t="str"/>
      <x:c r="K879" s="26" t="str"/>
      <x:c r="L879" s="26" t="str">
        <x:v>banisher priest-like effect</x:v>
      </x:c>
      <x:c r="M879" s="26" t="str">
        <x:v>Use curated mapping; otherwise keep unresolved</x:v>
      </x:c>
      <x:c r="N879" s="26" t="str">
        <x:v>Semantic</x:v>
      </x:c>
      <x:c r="O879" s="43" t="n">
        <x:v>0.3</x:v>
      </x:c>
      <x:c r="P879" s="26" t="str">
        <x:v>Color Pie prose describes design space, not necessarily literal Oracle wording. Never use the source phrase as a blind o: search.</x:v>
      </x:c>
      <x:c r="Q879" s="26" t="str">
        <x:v>https://scryfall.com/docs/syntax</x:v>
      </x:c>
      <x:c r="R879" s="26" t="str">
        <x:v>2026-08-21</x:v>
      </x:c>
    </x:row>
    <x:row r="880">
      <x:c r="A880" s="26" t="str">
        <x:v>ColorPie!A7:E7</x:v>
      </x:c>
      <x:c r="B880" s="26" t="str">
        <x:v>Color Pie Ability</x:v>
      </x:c>
      <x:c r="C880" s="26" t="str">
        <x:v>Basic land counting</x:v>
      </x:c>
      <x:c r="D880" s="26" t="str">
        <x:v>Primary: Red | Secondary: Black, Green | Tertiary: White, Blue</x:v>
      </x:c>
      <x:c r="E880" s="26" t="str">
        <x:v>Effect equal to number of basic lands of a certain type you control</x:v>
      </x:c>
      <x:c r="F880" s="26" t="str">
        <x:v>o:"Basic land counting"</x:v>
      </x:c>
      <x:c r="G880" s="26" t="str">
        <x:v>Needs refinement</x:v>
      </x:c>
      <x:c r="H880" s="26" t="str">
        <x:v>Color-pie semantic concept</x:v>
      </x:c>
      <x:c r="I880" s="26" t="str">
        <x:v>Semantic concept</x:v>
      </x:c>
      <x:c r="J880" s="26" t="str"/>
      <x:c r="K880" s="26" t="str"/>
      <x:c r="L880" s="26" t="str">
        <x:v>basic land counting</x:v>
      </x:c>
      <x:c r="M880" s="26" t="str">
        <x:v>Use curated mapping; otherwise keep unresolved</x:v>
      </x:c>
      <x:c r="N880" s="26" t="str">
        <x:v>Semantic</x:v>
      </x:c>
      <x:c r="O880" s="43" t="n">
        <x:v>0.3</x:v>
      </x:c>
      <x:c r="P880" s="26" t="str">
        <x:v>Color Pie prose describes design space, not necessarily literal Oracle wording. Never use the source phrase as a blind o: search.</x:v>
      </x:c>
      <x:c r="Q880" s="26" t="str">
        <x:v>https://scryfall.com/docs/syntax</x:v>
      </x:c>
      <x:c r="R880" s="26" t="str">
        <x:v>2026-08-21</x:v>
      </x:c>
    </x:row>
    <x:row r="881">
      <x:c r="A881" s="26" t="str">
        <x:v>ColorPie!A8:E8</x:v>
      </x:c>
      <x:c r="B881" s="26" t="str">
        <x:v>Color Pie Ability</x:v>
      </x:c>
      <x:c r="C881" s="26" t="str">
        <x:v>"Bite"</x:v>
      </x:c>
      <x:c r="D881" s="26" t="str">
        <x:v>Primary: Green | Secondary: Red</x:v>
      </x:c>
      <x:c r="E881" s="26" t="str">
        <x:v>Target creature deals damage equal to its power to another target creature</x:v>
      </x:c>
      <x:c r="F881" s="26" t="str">
        <x:v>o:"Target creature deals damage equal to its power to another target creature"</x:v>
      </x:c>
      <x:c r="G881" s="26" t="str">
        <x:v>Medium</x:v>
      </x:c>
      <x:c r="H881" s="26" t="str">
        <x:v>Color-pie semantic concept</x:v>
      </x:c>
      <x:c r="I881" s="26" t="str">
        <x:v>Semantic concept</x:v>
      </x:c>
      <x:c r="J881" s="26" t="str"/>
      <x:c r="K881" s="26" t="str"/>
      <x:c r="L881" s="26" t="str">
        <x:v>"bite"</x:v>
      </x:c>
      <x:c r="M881" s="26" t="str">
        <x:v>Use curated mapping; otherwise keep unresolved</x:v>
      </x:c>
      <x:c r="N881" s="26" t="str">
        <x:v>Semantic</x:v>
      </x:c>
      <x:c r="O881" s="43" t="n">
        <x:v>0.3</x:v>
      </x:c>
      <x:c r="P881" s="26" t="str">
        <x:v>Color Pie prose describes design space, not necessarily literal Oracle wording. Never use the source phrase as a blind o: search.</x:v>
      </x:c>
      <x:c r="Q881" s="26" t="str">
        <x:v>https://scryfall.com/docs/syntax</x:v>
      </x:c>
      <x:c r="R881" s="26" t="str">
        <x:v>2026-08-21</x:v>
      </x:c>
    </x:row>
    <x:row r="882">
      <x:c r="A882" s="26" t="str">
        <x:v>ColorPie!A9:E9</x:v>
      </x:c>
      <x:c r="B882" s="26" t="str">
        <x:v>Color Pie Ability</x:v>
      </x:c>
      <x:c r="C882" s="26" t="str">
        <x:v>Return to library</x:v>
      </x:c>
      <x:c r="D882" s="26" t="str">
        <x:v>Primary: Blue</x:v>
      </x:c>
      <x:c r="E882" s="26" t="str">
        <x:v>Put a creature/permanent on top of or into its owner's library</x:v>
      </x:c>
      <x:c r="F882" s="26" t="str">
        <x:v>o:"Return to library"</x:v>
      </x:c>
      <x:c r="G882" s="26" t="str">
        <x:v>Needs refinement</x:v>
      </x:c>
      <x:c r="H882" s="26" t="str">
        <x:v>Color-pie semantic concept</x:v>
      </x:c>
      <x:c r="I882" s="26" t="str">
        <x:v>Semantic concept</x:v>
      </x:c>
      <x:c r="J882" s="26" t="str"/>
      <x:c r="K882" s="26" t="str"/>
      <x:c r="L882" s="26" t="str">
        <x:v>return to library</x:v>
      </x:c>
      <x:c r="M882" s="26" t="str">
        <x:v>Use curated mapping; otherwise keep unresolved</x:v>
      </x:c>
      <x:c r="N882" s="26" t="str">
        <x:v>Semantic</x:v>
      </x:c>
      <x:c r="O882" s="43" t="n">
        <x:v>0.3</x:v>
      </x:c>
      <x:c r="P882" s="26" t="str">
        <x:v>Color Pie prose describes design space, not necessarily literal Oracle wording. Never use the source phrase as a blind o: search.</x:v>
      </x:c>
      <x:c r="Q882" s="26" t="str">
        <x:v>https://scryfall.com/docs/syntax</x:v>
      </x:c>
      <x:c r="R882" s="26" t="str">
        <x:v>2026-08-21</x:v>
      </x:c>
    </x:row>
    <x:row r="883">
      <x:c r="A883" s="26" t="str">
        <x:v>ColorPie!A10:E10</x:v>
      </x:c>
      <x:c r="B883" s="26" t="str">
        <x:v>Color Pie Ability</x:v>
      </x:c>
      <x:c r="C883" s="26" t="str">
        <x:v>Bring back creatures from graveyard this turn</x:v>
      </x:c>
      <x:c r="D883" s="26" t="str">
        <x:v>Primary: White</x:v>
      </x:c>
      <x:c r="E883" s="26" t="str">
        <x:v>Saves things the turn they are destroyed</x:v>
      </x:c>
      <x:c r="F883" s="26" t="str">
        <x:v>o:"Bring back creatures from graveyard this turn"</x:v>
      </x:c>
      <x:c r="G883" s="26" t="str">
        <x:v>Needs refinement</x:v>
      </x:c>
      <x:c r="H883" s="26" t="str">
        <x:v>Color-pie semantic concept</x:v>
      </x:c>
      <x:c r="I883" s="26" t="str">
        <x:v>Semantic concept</x:v>
      </x:c>
      <x:c r="J883" s="26" t="str"/>
      <x:c r="K883" s="26" t="str"/>
      <x:c r="L883" s="26" t="str">
        <x:v>bring back creatures from graveyard this turn</x:v>
      </x:c>
      <x:c r="M883" s="26" t="str">
        <x:v>Use curated mapping; otherwise keep unresolved</x:v>
      </x:c>
      <x:c r="N883" s="26" t="str">
        <x:v>Semantic</x:v>
      </x:c>
      <x:c r="O883" s="43" t="n">
        <x:v>0.3</x:v>
      </x:c>
      <x:c r="P883" s="26" t="str">
        <x:v>Color Pie prose describes design space, not necessarily literal Oracle wording. Never use the source phrase as a blind o: search.</x:v>
      </x:c>
      <x:c r="Q883" s="26" t="str">
        <x:v>https://scryfall.com/docs/syntax</x:v>
      </x:c>
      <x:c r="R883" s="26" t="str">
        <x:v>2026-08-21</x:v>
      </x:c>
    </x:row>
    <x:row r="884">
      <x:c r="A884" s="26" t="str">
        <x:v>ColorPie!A11:E11</x:v>
      </x:c>
      <x:c r="B884" s="26" t="str">
        <x:v>Color Pie Ability</x:v>
      </x:c>
      <x:c r="C884" s="26" t="str">
        <x:v>Can't be attacked</x:v>
      </x:c>
      <x:c r="D884" s="26" t="str">
        <x:v>Primary: White</x:v>
      </x:c>
      <x:c r="E884" s="26" t="str">
        <x:v>Creatures can't attack you</x:v>
      </x:c>
      <x:c r="F884" s="26" t="str">
        <x:v>o:"Can't be attacked"</x:v>
      </x:c>
      <x:c r="G884" s="26" t="str">
        <x:v>Needs refinement</x:v>
      </x:c>
      <x:c r="H884" s="26" t="str">
        <x:v>Color-pie semantic concept</x:v>
      </x:c>
      <x:c r="I884" s="26" t="str">
        <x:v>Semantic concept</x:v>
      </x:c>
      <x:c r="J884" s="26" t="str"/>
      <x:c r="K884" s="26" t="str"/>
      <x:c r="L884" s="26" t="str">
        <x:v>can't be attacked</x:v>
      </x:c>
      <x:c r="M884" s="26" t="str">
        <x:v>Use curated mapping; otherwise keep unresolved</x:v>
      </x:c>
      <x:c r="N884" s="26" t="str">
        <x:v>Semantic</x:v>
      </x:c>
      <x:c r="O884" s="43" t="n">
        <x:v>0.3</x:v>
      </x:c>
      <x:c r="P884" s="26" t="str">
        <x:v>Color Pie prose describes design space, not necessarily literal Oracle wording. Never use the source phrase as a blind o: search.</x:v>
      </x:c>
      <x:c r="Q884" s="26" t="str">
        <x:v>https://scryfall.com/docs/syntax</x:v>
      </x:c>
      <x:c r="R884" s="26" t="str">
        <x:v>2026-08-21</x:v>
      </x:c>
    </x:row>
    <x:row r="885">
      <x:c r="A885" s="26" t="str">
        <x:v>ColorPie!A12:E12</x:v>
      </x:c>
      <x:c r="B885" s="26" t="str">
        <x:v>Color Pie Ability</x:v>
      </x:c>
      <x:c r="C885" s="26" t="str">
        <x:v>Can't be blocked</x:v>
      </x:c>
      <x:c r="D885" s="26" t="str">
        <x:v>Primary: Blue</x:v>
      </x:c>
      <x:c r="E885" s="26" t="str">
        <x:v>Creature with unblockable ability; grants through spells and Auras</x:v>
      </x:c>
      <x:c r="F885" s="26" t="str">
        <x:v>o:"Can't be blocked"</x:v>
      </x:c>
      <x:c r="G885" s="26" t="str">
        <x:v>Needs refinement</x:v>
      </x:c>
      <x:c r="H885" s="26" t="str">
        <x:v>Color-pie semantic concept</x:v>
      </x:c>
      <x:c r="I885" s="26" t="str">
        <x:v>Semantic concept</x:v>
      </x:c>
      <x:c r="J885" s="26" t="str"/>
      <x:c r="K885" s="26" t="str"/>
      <x:c r="L885" s="26" t="str">
        <x:v>can't be blocked</x:v>
      </x:c>
      <x:c r="M885" s="26" t="str">
        <x:v>Use curated mapping; otherwise keep unresolved</x:v>
      </x:c>
      <x:c r="N885" s="26" t="str">
        <x:v>Semantic</x:v>
      </x:c>
      <x:c r="O885" s="43" t="n">
        <x:v>0.3</x:v>
      </x:c>
      <x:c r="P885" s="26" t="str">
        <x:v>Color Pie prose describes design space, not necessarily literal Oracle wording. Never use the source phrase as a blind o: search.</x:v>
      </x:c>
      <x:c r="Q885" s="26" t="str">
        <x:v>https://scryfall.com/docs/syntax</x:v>
      </x:c>
      <x:c r="R885" s="26" t="str">
        <x:v>2026-08-21</x:v>
      </x:c>
    </x:row>
    <x:row r="886">
      <x:c r="A886" s="26" t="str">
        <x:v>ColorPie!A13:E13</x:v>
      </x:c>
      <x:c r="B886" s="26" t="str">
        <x:v>Color Pie Ability</x:v>
      </x:c>
      <x:c r="C886" s="26" t="str">
        <x:v>Can't be countered</x:v>
      </x:c>
      <x:c r="D886" s="26" t="str">
        <x:v>Primary: Red, Green | Secondary: Blue</x:v>
      </x:c>
      <x:c r="E886" s="26" t="str">
        <x:v>Red has spells; green has creatures; blue less often, control-oriented</x:v>
      </x:c>
      <x:c r="F886" s="26" t="str">
        <x:v>o:"Can't be countered"</x:v>
      </x:c>
      <x:c r="G886" s="26" t="str">
        <x:v>Needs refinement</x:v>
      </x:c>
      <x:c r="H886" s="26" t="str">
        <x:v>Color-pie semantic concept</x:v>
      </x:c>
      <x:c r="I886" s="26" t="str">
        <x:v>Semantic concept</x:v>
      </x:c>
      <x:c r="J886" s="26" t="str"/>
      <x:c r="K886" s="26" t="str"/>
      <x:c r="L886" s="26" t="str">
        <x:v>can't be countered</x:v>
      </x:c>
      <x:c r="M886" s="26" t="str">
        <x:v>Use curated mapping; otherwise keep unresolved</x:v>
      </x:c>
      <x:c r="N886" s="26" t="str">
        <x:v>Semantic</x:v>
      </x:c>
      <x:c r="O886" s="43" t="n">
        <x:v>0.3</x:v>
      </x:c>
      <x:c r="P886" s="26" t="str">
        <x:v>Color Pie prose describes design space, not necessarily literal Oracle wording. Never use the source phrase as a blind o: search.</x:v>
      </x:c>
      <x:c r="Q886" s="26" t="str">
        <x:v>https://scryfall.com/docs/syntax</x:v>
      </x:c>
      <x:c r="R886" s="26" t="str">
        <x:v>2026-08-21</x:v>
      </x:c>
    </x:row>
    <x:row r="887">
      <x:c r="A887" s="26" t="str">
        <x:v>ColorPie!A14:E14</x:v>
      </x:c>
      <x:c r="B887" s="26" t="str">
        <x:v>Color Pie Ability</x:v>
      </x:c>
      <x:c r="C887" s="26" t="str">
        <x:v>Can't block</x:v>
      </x:c>
      <x:c r="D887" s="26" t="str">
        <x:v>Primary: Black, Red</x:v>
      </x:c>
      <x:c r="E887" s="26" t="str">
        <x:v>Drawback on creatures</x:v>
      </x:c>
      <x:c r="F887" s="26" t="str">
        <x:v>o:"Can't block"</x:v>
      </x:c>
      <x:c r="G887" s="26" t="str">
        <x:v>Needs refinement</x:v>
      </x:c>
      <x:c r="H887" s="26" t="str">
        <x:v>Color-pie semantic concept</x:v>
      </x:c>
      <x:c r="I887" s="26" t="str">
        <x:v>Semantic concept</x:v>
      </x:c>
      <x:c r="J887" s="26" t="str"/>
      <x:c r="K887" s="26" t="str"/>
      <x:c r="L887" s="26" t="str">
        <x:v>can't block</x:v>
      </x:c>
      <x:c r="M887" s="26" t="str">
        <x:v>Use curated mapping; otherwise keep unresolved</x:v>
      </x:c>
      <x:c r="N887" s="26" t="str">
        <x:v>Semantic</x:v>
      </x:c>
      <x:c r="O887" s="43" t="n">
        <x:v>0.3</x:v>
      </x:c>
      <x:c r="P887" s="26" t="str">
        <x:v>Color Pie prose describes design space, not necessarily literal Oracle wording. Never use the source phrase as a blind o: search.</x:v>
      </x:c>
      <x:c r="Q887" s="26" t="str">
        <x:v>https://scryfall.com/docs/syntax</x:v>
      </x:c>
      <x:c r="R887" s="26" t="str">
        <x:v>2026-08-21</x:v>
      </x:c>
    </x:row>
    <x:row r="888">
      <x:c r="A888" s="26" t="str">
        <x:v>ColorPie!A15:E15</x:v>
      </x:c>
      <x:c r="B888" s="26" t="str">
        <x:v>Color Pie Ability</x:v>
      </x:c>
      <x:c r="C888" s="26" t="str">
        <x:v>Can't lose the game/opponent can't win</x:v>
      </x:c>
      <x:c r="D888" s="26" t="str">
        <x:v>Primary: White</x:v>
      </x:c>
      <x:c r="E888" s="26" t="str">
        <x:v>Defensive ability</x:v>
      </x:c>
      <x:c r="F888" s="26" t="str">
        <x:v>o:"Can't lose the game/opponent can't win"</x:v>
      </x:c>
      <x:c r="G888" s="26" t="str">
        <x:v>Needs refinement</x:v>
      </x:c>
      <x:c r="H888" s="26" t="str">
        <x:v>Color-pie semantic concept</x:v>
      </x:c>
      <x:c r="I888" s="26" t="str">
        <x:v>Semantic concept</x:v>
      </x:c>
      <x:c r="J888" s="26" t="str"/>
      <x:c r="K888" s="26" t="str"/>
      <x:c r="L888" s="26" t="str">
        <x:v>can't lose the game/opponent can't win</x:v>
      </x:c>
      <x:c r="M888" s="26" t="str">
        <x:v>Use curated mapping; otherwise keep unresolved</x:v>
      </x:c>
      <x:c r="N888" s="26" t="str">
        <x:v>Semantic</x:v>
      </x:c>
      <x:c r="O888" s="43" t="n">
        <x:v>0.3</x:v>
      </x:c>
      <x:c r="P888" s="26" t="str">
        <x:v>Color Pie prose describes design space, not necessarily literal Oracle wording. Never use the source phrase as a blind o: search.</x:v>
      </x:c>
      <x:c r="Q888" s="26" t="str">
        <x:v>https://scryfall.com/docs/syntax</x:v>
      </x:c>
      <x:c r="R888" s="26" t="str">
        <x:v>2026-08-21</x:v>
      </x:c>
    </x:row>
    <x:row r="889">
      <x:c r="A889" s="26" t="str">
        <x:v>ColorPie!A16:E16</x:v>
      </x:c>
      <x:c r="B889" s="26" t="str">
        <x:v>Color Pie Ability</x:v>
      </x:c>
      <x:c r="C889" s="26" t="str">
        <x:v>Can't win the game/opponent can't lose</x:v>
      </x:c>
      <x:c r="D889" s="26" t="str">
        <x:v>Primary: Black</x:v>
      </x:c>
      <x:c r="E889" s="26" t="str">
        <x:v>Used as a drawback</x:v>
      </x:c>
      <x:c r="F889" s="26" t="str">
        <x:v>o:"Can't win the game/opponent can't lose"</x:v>
      </x:c>
      <x:c r="G889" s="26" t="str">
        <x:v>Needs refinement</x:v>
      </x:c>
      <x:c r="H889" s="26" t="str">
        <x:v>Color-pie semantic concept</x:v>
      </x:c>
      <x:c r="I889" s="26" t="str">
        <x:v>Semantic concept</x:v>
      </x:c>
      <x:c r="J889" s="26" t="str"/>
      <x:c r="K889" s="26" t="str"/>
      <x:c r="L889" s="26" t="str">
        <x:v>can't win the game/opponent can't lose</x:v>
      </x:c>
      <x:c r="M889" s="26" t="str">
        <x:v>Use curated mapping; otherwise keep unresolved</x:v>
      </x:c>
      <x:c r="N889" s="26" t="str">
        <x:v>Semantic</x:v>
      </x:c>
      <x:c r="O889" s="43" t="n">
        <x:v>0.3</x:v>
      </x:c>
      <x:c r="P889" s="26" t="str">
        <x:v>Color Pie prose describes design space, not necessarily literal Oracle wording. Never use the source phrase as a blind o: search.</x:v>
      </x:c>
      <x:c r="Q889" s="26" t="str">
        <x:v>https://scryfall.com/docs/syntax</x:v>
      </x:c>
      <x:c r="R889" s="26" t="str">
        <x:v>2026-08-21</x:v>
      </x:c>
    </x:row>
    <x:row r="890">
      <x:c r="A890" s="26" t="str">
        <x:v>ColorPie!A17:E17</x:v>
      </x:c>
      <x:c r="B890" s="26" t="str">
        <x:v>Color Pie Ability</x:v>
      </x:c>
      <x:c r="C890" s="26" t="str">
        <x:v>Card draw</x:v>
      </x:c>
      <x:c r="D890" s="26" t="str">
        <x:v>Primary: Blue | Secondary: Black, Green | Tertiary: White, Red</x:v>
      </x:c>
      <x:c r="E890" s="26" t="str">
        <x:v>Blue is best with no restrictions; black pays cost; green tied to creatures</x:v>
      </x:c>
      <x:c r="F890" s="26" t="str">
        <x:v>o:"Card draw"</x:v>
      </x:c>
      <x:c r="G890" s="26" t="str">
        <x:v>Needs refinement</x:v>
      </x:c>
      <x:c r="H890" s="26" t="str">
        <x:v>Color-pie semantic concept</x:v>
      </x:c>
      <x:c r="I890" s="26" t="str">
        <x:v>Oracle text</x:v>
      </x:c>
      <x:c r="J890" s="26" t="str">
        <x:v>o:draw</x:v>
      </x:c>
      <x:c r="K890" s="26" t="str"/>
      <x:c r="L890" s="26" t="str">
        <x:v>card draw</x:v>
      </x:c>
      <x:c r="M890" s="26" t="str">
        <x:v>Use curated mapping; otherwise keep unresolved</x:v>
      </x:c>
      <x:c r="N890" s="26" t="str">
        <x:v>Review</x:v>
      </x:c>
      <x:c r="O890" s="43" t="n">
        <x:v>0.68</x:v>
      </x:c>
      <x:c r="P890" s="26" t="str">
        <x:v>Color Pie prose describes design space, not necessarily literal Oracle wording. Never use the source phrase as a blind o: search.</x:v>
      </x:c>
      <x:c r="Q890" s="26" t="str">
        <x:v>https://scryfall.com/docs/syntax</x:v>
      </x:c>
      <x:c r="R890" s="26" t="str">
        <x:v>2026-08-21</x:v>
      </x:c>
    </x:row>
    <x:row r="891">
      <x:c r="A891" s="26" t="str">
        <x:v>ColorPie!A18:E18</x:v>
      </x:c>
      <x:c r="B891" s="26" t="str">
        <x:v>Color Pie Ability</x:v>
      </x:c>
      <x:c r="C891" s="26" t="str">
        <x:v>Card filtering</x:v>
      </x:c>
      <x:c r="D891" s="26" t="str">
        <x:v>Primary: Blue, Green</x:v>
      </x:c>
      <x:c r="E891" s="26" t="str">
        <x:v>Look at top N cards, put some in hand, rest on bottom</x:v>
      </x:c>
      <x:c r="F891" s="26" t="str">
        <x:v>o:"Card filtering"</x:v>
      </x:c>
      <x:c r="G891" s="26" t="str">
        <x:v>Needs refinement</x:v>
      </x:c>
      <x:c r="H891" s="26" t="str">
        <x:v>Color-pie semantic concept</x:v>
      </x:c>
      <x:c r="I891" s="26" t="str">
        <x:v>Semantic concept</x:v>
      </x:c>
      <x:c r="J891" s="26" t="str"/>
      <x:c r="K891" s="26" t="str"/>
      <x:c r="L891" s="26" t="str">
        <x:v>card filtering</x:v>
      </x:c>
      <x:c r="M891" s="26" t="str">
        <x:v>Use curated mapping; otherwise keep unresolved</x:v>
      </x:c>
      <x:c r="N891" s="26" t="str">
        <x:v>Semantic</x:v>
      </x:c>
      <x:c r="O891" s="43" t="n">
        <x:v>0.3</x:v>
      </x:c>
      <x:c r="P891" s="26" t="str">
        <x:v>Color Pie prose describes design space, not necessarily literal Oracle wording. Never use the source phrase as a blind o: search.</x:v>
      </x:c>
      <x:c r="Q891" s="26" t="str">
        <x:v>https://scryfall.com/docs/syntax</x:v>
      </x:c>
      <x:c r="R891" s="26" t="str">
        <x:v>2026-08-21</x:v>
      </x:c>
    </x:row>
    <x:row r="892">
      <x:c r="A892" s="26" t="str">
        <x:v>ColorPie!A19:E19</x:v>
      </x:c>
      <x:c r="B892" s="26" t="str">
        <x:v>Color Pie Ability</x:v>
      </x:c>
      <x:c r="C892" s="26" t="str">
        <x:v>Cast spells from opponent's graveyard/exile</x:v>
      </x:c>
      <x:c r="D892" s="26" t="str">
        <x:v>Primary: Blue, Black</x:v>
      </x:c>
      <x:c r="E892" s="26" t="str">
        <x:v>Using opponent's resources against them</x:v>
      </x:c>
      <x:c r="F892" s="26" t="str">
        <x:v>o:"Cast spells from opponent's graveyard/exile"</x:v>
      </x:c>
      <x:c r="G892" s="26" t="str">
        <x:v>Needs refinement</x:v>
      </x:c>
      <x:c r="H892" s="26" t="str">
        <x:v>Color-pie semantic concept</x:v>
      </x:c>
      <x:c r="I892" s="26" t="str">
        <x:v>Semantic concept</x:v>
      </x:c>
      <x:c r="J892" s="26" t="str"/>
      <x:c r="K892" s="26" t="str"/>
      <x:c r="L892" s="26" t="str">
        <x:v>cast spells from opponent's graveyard/exile</x:v>
      </x:c>
      <x:c r="M892" s="26" t="str">
        <x:v>Use curated mapping; otherwise keep unresolved</x:v>
      </x:c>
      <x:c r="N892" s="26" t="str">
        <x:v>Semantic</x:v>
      </x:c>
      <x:c r="O892" s="43" t="n">
        <x:v>0.3</x:v>
      </x:c>
      <x:c r="P892" s="26" t="str">
        <x:v>Color Pie prose describes design space, not necessarily literal Oracle wording. Never use the source phrase as a blind o: search.</x:v>
      </x:c>
      <x:c r="Q892" s="26" t="str">
        <x:v>https://scryfall.com/docs/syntax</x:v>
      </x:c>
      <x:c r="R892" s="26" t="str">
        <x:v>2026-08-21</x:v>
      </x:c>
    </x:row>
    <x:row r="893">
      <x:c r="A893" s="26" t="str">
        <x:v>ColorPie!A20:E20</x:v>
      </x:c>
      <x:c r="B893" s="26" t="str">
        <x:v>Color Pie Ability</x:v>
      </x:c>
      <x:c r="C893" s="26" t="str">
        <x:v>Cast spells from your graveyard</x:v>
      </x:c>
      <x:c r="D893" s="26" t="str">
        <x:v>Primary: Black | Secondary: Blue, Red | Tertiary: White, Green</x:v>
      </x:c>
      <x:c r="E893" s="26" t="str">
        <x:v>Black most likely; blue/red for instants/sorceries; flashback for all</x:v>
      </x:c>
      <x:c r="F893" s="26" t="str">
        <x:v>o:"Cast spells from your graveyard"</x:v>
      </x:c>
      <x:c r="G893" s="26" t="str">
        <x:v>Needs refinement</x:v>
      </x:c>
      <x:c r="H893" s="26" t="str">
        <x:v>Color-pie semantic concept</x:v>
      </x:c>
      <x:c r="I893" s="26" t="str">
        <x:v>Semantic concept</x:v>
      </x:c>
      <x:c r="J893" s="26" t="str"/>
      <x:c r="K893" s="26" t="str"/>
      <x:c r="L893" s="26" t="str">
        <x:v>cast spells from your graveyard</x:v>
      </x:c>
      <x:c r="M893" s="26" t="str">
        <x:v>Use curated mapping; otherwise keep unresolved</x:v>
      </x:c>
      <x:c r="N893" s="26" t="str">
        <x:v>Semantic</x:v>
      </x:c>
      <x:c r="O893" s="43" t="n">
        <x:v>0.3</x:v>
      </x:c>
      <x:c r="P893" s="26" t="str">
        <x:v>Color Pie prose describes design space, not necessarily literal Oracle wording. Never use the source phrase as a blind o: search.</x:v>
      </x:c>
      <x:c r="Q893" s="26" t="str">
        <x:v>https://scryfall.com/docs/syntax</x:v>
      </x:c>
      <x:c r="R893" s="26" t="str">
        <x:v>2026-08-21</x:v>
      </x:c>
    </x:row>
    <x:row r="894">
      <x:c r="A894" s="26" t="str">
        <x:v>ColorPie!A21:E21</x:v>
      </x:c>
      <x:c r="B894" s="26" t="str">
        <x:v>Color Pie Ability</x:v>
      </x:c>
      <x:c r="C894" s="26" t="str">
        <x:v>Changing lands</x:v>
      </x:c>
      <x:c r="D894" s="26" t="str">
        <x:v>Primary: Blue</x:v>
      </x:c>
      <x:c r="E894" s="26" t="str">
        <x:v>Target land becomes the basic land of your choice</x:v>
      </x:c>
      <x:c r="F894" s="26" t="str">
        <x:v>o:"Target land becomes the basic land of your choice"</x:v>
      </x:c>
      <x:c r="G894" s="26" t="str">
        <x:v>Medium</x:v>
      </x:c>
      <x:c r="H894" s="26" t="str">
        <x:v>Color-pie semantic concept</x:v>
      </x:c>
      <x:c r="I894" s="26" t="str">
        <x:v>Semantic concept</x:v>
      </x:c>
      <x:c r="J894" s="26" t="str"/>
      <x:c r="K894" s="26" t="str"/>
      <x:c r="L894" s="26" t="str">
        <x:v>changing lands</x:v>
      </x:c>
      <x:c r="M894" s="26" t="str">
        <x:v>Use curated mapping; otherwise keep unresolved</x:v>
      </x:c>
      <x:c r="N894" s="26" t="str">
        <x:v>Semantic</x:v>
      </x:c>
      <x:c r="O894" s="43" t="n">
        <x:v>0.3</x:v>
      </x:c>
      <x:c r="P894" s="26" t="str">
        <x:v>Color Pie prose describes design space, not necessarily literal Oracle wording. Never use the source phrase as a blind o: search.</x:v>
      </x:c>
      <x:c r="Q894" s="26" t="str">
        <x:v>https://scryfall.com/docs/syntax</x:v>
      </x:c>
      <x:c r="R894" s="26" t="str">
        <x:v>2026-08-21</x:v>
      </x:c>
    </x:row>
    <x:row r="895">
      <x:c r="A895" s="26" t="str">
        <x:v>ColorPie!A22:E22</x:v>
      </x:c>
      <x:c r="B895" s="26" t="str">
        <x:v>Color Pie Ability</x:v>
      </x:c>
      <x:c r="C895" s="26" t="str">
        <x:v>Color changing</x:v>
      </x:c>
      <x:c r="D895" s="26" t="str">
        <x:v>Primary: Blue | Secondary: Green | Tertiary: White, Black</x:v>
      </x:c>
      <x:c r="E895" s="26" t="str">
        <x:v>Target/this creature becomes the color(s) of your choice</x:v>
      </x:c>
      <x:c r="F895" s="26" t="str">
        <x:v>o:"Color changing"</x:v>
      </x:c>
      <x:c r="G895" s="26" t="str">
        <x:v>Needs refinement</x:v>
      </x:c>
      <x:c r="H895" s="26" t="str">
        <x:v>Color-pie semantic concept</x:v>
      </x:c>
      <x:c r="I895" s="26" t="str">
        <x:v>Semantic concept</x:v>
      </x:c>
      <x:c r="J895" s="26" t="str"/>
      <x:c r="K895" s="26" t="str"/>
      <x:c r="L895" s="26" t="str">
        <x:v>color changing</x:v>
      </x:c>
      <x:c r="M895" s="26" t="str">
        <x:v>Use curated mapping; otherwise keep unresolved</x:v>
      </x:c>
      <x:c r="N895" s="26" t="str">
        <x:v>Semantic</x:v>
      </x:c>
      <x:c r="O895" s="43" t="n">
        <x:v>0.3</x:v>
      </x:c>
      <x:c r="P895" s="26" t="str">
        <x:v>Color Pie prose describes design space, not necessarily literal Oracle wording. Never use the source phrase as a blind o: search.</x:v>
      </x:c>
      <x:c r="Q895" s="26" t="str">
        <x:v>https://scryfall.com/docs/syntax</x:v>
      </x:c>
      <x:c r="R895" s="26" t="str">
        <x:v>2026-08-21</x:v>
      </x:c>
    </x:row>
    <x:row r="896">
      <x:c r="A896" s="26" t="str">
        <x:v>ColorPie!A23:E23</x:v>
      </x:c>
      <x:c r="B896" s="26" t="str">
        <x:v>Color Pie Ability</x:v>
      </x:c>
      <x:c r="C896" s="26" t="str">
        <x:v>Copying permanents, permanently</x:v>
      </x:c>
      <x:c r="D896" s="26" t="str">
        <x:v>Primary: Blue</x:v>
      </x:c>
      <x:c r="E896" s="26" t="str">
        <x:v>Permanents that copy and remain that target</x:v>
      </x:c>
      <x:c r="F896" s="26" t="str">
        <x:v>o:"Copying permanents, permanently"</x:v>
      </x:c>
      <x:c r="G896" s="26" t="str">
        <x:v>Needs refinement</x:v>
      </x:c>
      <x:c r="H896" s="26" t="str">
        <x:v>Color-pie semantic concept</x:v>
      </x:c>
      <x:c r="I896" s="26" t="str">
        <x:v>Semantic concept</x:v>
      </x:c>
      <x:c r="J896" s="26" t="str"/>
      <x:c r="K896" s="26" t="str"/>
      <x:c r="L896" s="26" t="str">
        <x:v>copying permanents, permanently</x:v>
      </x:c>
      <x:c r="M896" s="26" t="str">
        <x:v>Use curated mapping; otherwise keep unresolved</x:v>
      </x:c>
      <x:c r="N896" s="26" t="str">
        <x:v>Semantic</x:v>
      </x:c>
      <x:c r="O896" s="43" t="n">
        <x:v>0.3</x:v>
      </x:c>
      <x:c r="P896" s="26" t="str">
        <x:v>Color Pie prose describes design space, not necessarily literal Oracle wording. Never use the source phrase as a blind o: search.</x:v>
      </x:c>
      <x:c r="Q896" s="26" t="str">
        <x:v>https://scryfall.com/docs/syntax</x:v>
      </x:c>
      <x:c r="R896" s="26" t="str">
        <x:v>2026-08-21</x:v>
      </x:c>
    </x:row>
    <x:row r="897">
      <x:c r="A897" s="26" t="str">
        <x:v>ColorPie!A24:E24</x:v>
      </x:c>
      <x:c r="B897" s="26" t="str">
        <x:v>Color Pie Ability</x:v>
      </x:c>
      <x:c r="C897" s="26" t="str">
        <x:v>Copying permanents, temporarily</x:v>
      </x:c>
      <x:c r="D897" s="26" t="str">
        <x:v>Primary: Red | Secondary: Blue</x:v>
      </x:c>
      <x:c r="E897" s="26" t="str">
        <x:v>Temporarily become another creature until end of turn</x:v>
      </x:c>
      <x:c r="F897" s="26" t="str">
        <x:v>o:"Copying permanents, temporarily"</x:v>
      </x:c>
      <x:c r="G897" s="26" t="str">
        <x:v>Needs refinement</x:v>
      </x:c>
      <x:c r="H897" s="26" t="str">
        <x:v>Color-pie semantic concept</x:v>
      </x:c>
      <x:c r="I897" s="26" t="str">
        <x:v>Semantic concept</x:v>
      </x:c>
      <x:c r="J897" s="26" t="str"/>
      <x:c r="K897" s="26" t="str"/>
      <x:c r="L897" s="26" t="str">
        <x:v>copying permanents, temporarily</x:v>
      </x:c>
      <x:c r="M897" s="26" t="str">
        <x:v>Use curated mapping; otherwise keep unresolved</x:v>
      </x:c>
      <x:c r="N897" s="26" t="str">
        <x:v>Semantic</x:v>
      </x:c>
      <x:c r="O897" s="43" t="n">
        <x:v>0.3</x:v>
      </x:c>
      <x:c r="P897" s="26" t="str">
        <x:v>Color Pie prose describes design space, not necessarily literal Oracle wording. Never use the source phrase as a blind o: search.</x:v>
      </x:c>
      <x:c r="Q897" s="26" t="str">
        <x:v>https://scryfall.com/docs/syntax</x:v>
      </x:c>
      <x:c r="R897" s="26" t="str">
        <x:v>2026-08-21</x:v>
      </x:c>
    </x:row>
    <x:row r="898">
      <x:c r="A898" s="26" t="str">
        <x:v>ColorPie!A25:E25</x:v>
      </x:c>
      <x:c r="B898" s="26" t="str">
        <x:v>Color Pie Ability</x:v>
      </x:c>
      <x:c r="C898" s="26" t="str">
        <x:v>+1/+1 counter (creation and caring)</x:v>
      </x:c>
      <x:c r="D898" s="26" t="str">
        <x:v>Primary: White, Green | Secondary: Black | Tertiary: Blue, Red</x:v>
      </x:c>
      <x:c r="E898" s="26" t="str">
        <x:v>Any color can put +1/+1 counters; white/green best overall</x:v>
      </x:c>
      <x:c r="F898" s="26" t="str">
        <x:v>o:"+1/+1 counter (creation and caring)"</x:v>
      </x:c>
      <x:c r="G898" s="26" t="str">
        <x:v>Needs refinement</x:v>
      </x:c>
      <x:c r="H898" s="26" t="str">
        <x:v>Color-pie semantic concept</x:v>
      </x:c>
      <x:c r="I898" s="26" t="str">
        <x:v>Oracle regex</x:v>
      </x:c>
      <x:c r="J898" s="26" t="str">
        <x:v>o:/\+1\/\+1 counter/</x:v>
      </x:c>
      <x:c r="K898" s="26" t="str"/>
      <x:c r="L898" s="26" t="str">
        <x:v>+1/+1 counter (creation and caring)</x:v>
      </x:c>
      <x:c r="M898" s="26" t="str">
        <x:v>Use curated mapping; otherwise keep unresolved</x:v>
      </x:c>
      <x:c r="N898" s="26" t="str">
        <x:v>Review</x:v>
      </x:c>
      <x:c r="O898" s="43" t="n">
        <x:v>0.68</x:v>
      </x:c>
      <x:c r="P898" s="26" t="str">
        <x:v>Color Pie prose describes design space, not necessarily literal Oracle wording. Never use the source phrase as a blind o: search.</x:v>
      </x:c>
      <x:c r="Q898" s="26" t="str">
        <x:v>https://scryfall.com/docs/syntax</x:v>
      </x:c>
      <x:c r="R898" s="26" t="str">
        <x:v>2026-08-21</x:v>
      </x:c>
    </x:row>
    <x:row r="899">
      <x:c r="A899" s="26" t="str">
        <x:v>ColorPie!A26:E26</x:v>
      </x:c>
      <x:c r="B899" s="26" t="str">
        <x:v>Color Pie Ability</x:v>
      </x:c>
      <x:c r="C899" s="26" t="str">
        <x:v>Counterspell</x:v>
      </x:c>
      <x:c r="D899" s="26" t="str">
        <x:v>Primary: Blue | Tertiary: White</x:v>
      </x:c>
      <x:c r="E899" s="26" t="str">
        <x:v>Almost universally single color; white gets taxing/delay counterspells</x:v>
      </x:c>
      <x:c r="F899" s="26" t="str">
        <x:v>o:"Counterspell"</x:v>
      </x:c>
      <x:c r="G899" s="26" t="str">
        <x:v>Needs refinement</x:v>
      </x:c>
      <x:c r="H899" s="26" t="str">
        <x:v>Color-pie semantic concept</x:v>
      </x:c>
      <x:c r="I899" s="26" t="str">
        <x:v>Functional tag</x:v>
      </x:c>
      <x:c r="J899" s="26" t="str">
        <x:v>otag:counterspell</x:v>
      </x:c>
      <x:c r="K899" s="26" t="str"/>
      <x:c r="L899" s="26" t="str">
        <x:v>counterspell</x:v>
      </x:c>
      <x:c r="M899" s="26" t="str">
        <x:v>Use curated mapping; otherwise keep unresolved</x:v>
      </x:c>
      <x:c r="N899" s="26" t="str">
        <x:v>Review</x:v>
      </x:c>
      <x:c r="O899" s="43" t="n">
        <x:v>0.68</x:v>
      </x:c>
      <x:c r="P899" s="26" t="str">
        <x:v>Color Pie prose describes design space, not necessarily literal Oracle wording. Never use the source phrase as a blind o: search.</x:v>
      </x:c>
      <x:c r="Q899" s="26" t="str">
        <x:v>https://scryfall.com/docs/syntax</x:v>
      </x:c>
      <x:c r="R899" s="26" t="str">
        <x:v>2026-08-21</x:v>
      </x:c>
    </x:row>
    <x:row r="900">
      <x:c r="A900" s="26" t="str">
        <x:v>ColorPie!A27:E27</x:v>
      </x:c>
      <x:c r="B900" s="26" t="str">
        <x:v>Color Pie Ability</x:v>
      </x:c>
      <x:c r="C900" s="26" t="str">
        <x:v>Counter target activated/triggered ability</x:v>
      </x:c>
      <x:c r="D900" s="26" t="str">
        <x:v>Primary: Blue | Tertiary: Green</x:v>
      </x:c>
      <x:c r="E900" s="26" t="str">
        <x:v>Moved to blue; green rarely, usually artifact activations</x:v>
      </x:c>
      <x:c r="F900" s="26" t="str">
        <x:v>o:"Counter target activated/triggered ability"</x:v>
      </x:c>
      <x:c r="G900" s="26" t="str">
        <x:v>Needs refinement</x:v>
      </x:c>
      <x:c r="H900" s="26" t="str">
        <x:v>Color-pie semantic concept</x:v>
      </x:c>
      <x:c r="I900" s="26" t="str">
        <x:v>Oracle regex</x:v>
      </x:c>
      <x:c r="J900" s="26" t="str">
        <x:v>o:/counter target (activated|triggered) ability/</x:v>
      </x:c>
      <x:c r="K900" s="26" t="str"/>
      <x:c r="L900" s="26" t="str">
        <x:v>counter target activated/triggered ability</x:v>
      </x:c>
      <x:c r="M900" s="26" t="str">
        <x:v>Use curated mapping; otherwise keep unresolved</x:v>
      </x:c>
      <x:c r="N900" s="26" t="str">
        <x:v>Production-ready</x:v>
      </x:c>
      <x:c r="O900" s="43" t="n">
        <x:v>0.92</x:v>
      </x:c>
      <x:c r="P900" s="26" t="str">
        <x:v>Color Pie prose describes design space, not necessarily literal Oracle wording. Never use the source phrase as a blind o: search.</x:v>
      </x:c>
      <x:c r="Q900" s="26" t="str">
        <x:v>https://scryfall.com/docs/syntax</x:v>
      </x:c>
      <x:c r="R900" s="26" t="str">
        <x:v>2026-08-21</x:v>
      </x:c>
    </x:row>
    <x:row r="901">
      <x:c r="A901" s="26" t="str">
        <x:v>ColorPie!A28:E28</x:v>
      </x:c>
      <x:c r="B901" s="26" t="str">
        <x:v>Color Pie Ability</x:v>
      </x:c>
      <x:c r="C901" s="26" t="str">
        <x:v>Creature destruction, single creature</x:v>
      </x:c>
      <x:c r="D901" s="26" t="str">
        <x:v>Primary: Black | Secondary: White</x:v>
      </x:c>
      <x:c r="E901" s="26" t="str">
        <x:v>Black is king; white at higher cost or with conditions</x:v>
      </x:c>
      <x:c r="F901" s="26" t="str">
        <x:v>o:"Creature destruction, single creature"</x:v>
      </x:c>
      <x:c r="G901" s="26" t="str">
        <x:v>Needs refinement</x:v>
      </x:c>
      <x:c r="H901" s="26" t="str">
        <x:v>Color-pie semantic concept</x:v>
      </x:c>
      <x:c r="I901" s="26" t="str">
        <x:v>Oracle regex</x:v>
      </x:c>
      <x:c r="J901" s="26" t="str">
        <x:v>o:/(destroy|exile) target.*creature/</x:v>
      </x:c>
      <x:c r="K901" s="26" t="str"/>
      <x:c r="L901" s="26" t="str">
        <x:v>creature destruction, single creature</x:v>
      </x:c>
      <x:c r="M901" s="26" t="str">
        <x:v>Use curated mapping; otherwise keep unresolved</x:v>
      </x:c>
      <x:c r="N901" s="26" t="str">
        <x:v>Review</x:v>
      </x:c>
      <x:c r="O901" s="43" t="n">
        <x:v>0.68</x:v>
      </x:c>
      <x:c r="P901" s="26" t="str">
        <x:v>Color Pie prose describes design space, not necessarily literal Oracle wording. Never use the source phrase as a blind o: search.</x:v>
      </x:c>
      <x:c r="Q901" s="26" t="str">
        <x:v>https://scryfall.com/docs/syntax</x:v>
      </x:c>
      <x:c r="R901" s="26" t="str">
        <x:v>2026-08-21</x:v>
      </x:c>
    </x:row>
    <x:row r="902">
      <x:c r="A902" s="26" t="str">
        <x:v>ColorPie!A29:E29</x:v>
      </x:c>
      <x:c r="B902" s="26" t="str">
        <x:v>Color Pie Ability</x:v>
      </x:c>
      <x:c r="C902" s="26" t="str">
        <x:v>Creature destruction with compensation</x:v>
      </x:c>
      <x:c r="D902" s="26" t="str">
        <x:v>Primary: White</x:v>
      </x:c>
      <x:c r="E902" s="26" t="str">
        <x:v>Destroy target creature, controller gets compensation</x:v>
      </x:c>
      <x:c r="F902" s="26" t="str">
        <x:v>o:"Creature destruction with compensation"</x:v>
      </x:c>
      <x:c r="G902" s="26" t="str">
        <x:v>Needs refinement</x:v>
      </x:c>
      <x:c r="H902" s="26" t="str">
        <x:v>Color-pie semantic concept</x:v>
      </x:c>
      <x:c r="I902" s="26" t="str">
        <x:v>Oracle regex</x:v>
      </x:c>
      <x:c r="J902" s="26" t="str">
        <x:v>o:/(destroy|exile) target.*creature/</x:v>
      </x:c>
      <x:c r="K902" s="26" t="str"/>
      <x:c r="L902" s="26" t="str">
        <x:v>creature destruction with compensation</x:v>
      </x:c>
      <x:c r="M902" s="26" t="str">
        <x:v>Use curated mapping; otherwise keep unresolved</x:v>
      </x:c>
      <x:c r="N902" s="26" t="str">
        <x:v>Review</x:v>
      </x:c>
      <x:c r="O902" s="43" t="n">
        <x:v>0.68</x:v>
      </x:c>
      <x:c r="P902" s="26" t="str">
        <x:v>Color Pie prose describes design space, not necessarily literal Oracle wording. Never use the source phrase as a blind o: search.</x:v>
      </x:c>
      <x:c r="Q902" s="26" t="str">
        <x:v>https://scryfall.com/docs/syntax</x:v>
      </x:c>
      <x:c r="R902" s="26" t="str">
        <x:v>2026-08-21</x:v>
      </x:c>
    </x:row>
    <x:row r="903">
      <x:c r="A903" s="26" t="str">
        <x:v>ColorPie!A30:E30</x:v>
      </x:c>
      <x:c r="B903" s="26" t="str">
        <x:v>Color Pie Ability</x:v>
      </x:c>
      <x:c r="C903" s="26" t="str">
        <x:v>Destroy target attacking or blocking creature</x:v>
      </x:c>
      <x:c r="D903" s="26" t="str">
        <x:v>Primary: White</x:v>
      </x:c>
      <x:c r="E903" s="26" t="str">
        <x:v>White's combat-based creature destruction</x:v>
      </x:c>
      <x:c r="F903" s="26" t="str">
        <x:v>o:"Destroy target attacking or blocking creature"</x:v>
      </x:c>
      <x:c r="G903" s="26" t="str">
        <x:v>Needs refinement</x:v>
      </x:c>
      <x:c r="H903" s="26" t="str">
        <x:v>Color-pie semantic concept</x:v>
      </x:c>
      <x:c r="I903" s="26" t="str">
        <x:v>Oracle regex</x:v>
      </x:c>
      <x:c r="J903" s="26" t="str">
        <x:v>o:/destroy target (attacking|blocking) creature/</x:v>
      </x:c>
      <x:c r="K903" s="26" t="str"/>
      <x:c r="L903" s="26" t="str">
        <x:v>destroy target attacking or blocking creature</x:v>
      </x:c>
      <x:c r="M903" s="26" t="str">
        <x:v>Use curated mapping; otherwise keep unresolved</x:v>
      </x:c>
      <x:c r="N903" s="26" t="str">
        <x:v>Production-ready</x:v>
      </x:c>
      <x:c r="O903" s="43" t="n">
        <x:v>0.92</x:v>
      </x:c>
      <x:c r="P903" s="26" t="str">
        <x:v>Color Pie prose describes design space, not necessarily literal Oracle wording. Never use the source phrase as a blind o: search.</x:v>
      </x:c>
      <x:c r="Q903" s="26" t="str">
        <x:v>https://scryfall.com/docs/syntax</x:v>
      </x:c>
      <x:c r="R903" s="26" t="str">
        <x:v>2026-08-21</x:v>
      </x:c>
    </x:row>
    <x:row r="904">
      <x:c r="A904" s="26" t="str">
        <x:v>ColorPie!A31:E31</x:v>
      </x:c>
      <x:c r="B904" s="26" t="str">
        <x:v>Color Pie Ability</x:v>
      </x:c>
      <x:c r="C904" s="26" t="str">
        <x:v>Destroy creature that damaged you</x:v>
      </x:c>
      <x:c r="D904" s="26" t="str">
        <x:v>Primary: White</x:v>
      </x:c>
      <x:c r="E904" s="26" t="str">
        <x:v>White destroys something after it has hurt white</x:v>
      </x:c>
      <x:c r="F904" s="26" t="str">
        <x:v>o:"Destroy creature that damaged you"</x:v>
      </x:c>
      <x:c r="G904" s="26" t="str">
        <x:v>Needs refinement</x:v>
      </x:c>
      <x:c r="H904" s="26" t="str">
        <x:v>Color-pie semantic concept</x:v>
      </x:c>
      <x:c r="I904" s="26" t="str">
        <x:v>Oracle regex</x:v>
      </x:c>
      <x:c r="J904" s="26" t="str">
        <x:v>o:/(destroy|exile) target.*creature/</x:v>
      </x:c>
      <x:c r="K904" s="26" t="str"/>
      <x:c r="L904" s="26" t="str">
        <x:v>destroy creature that damaged you</x:v>
      </x:c>
      <x:c r="M904" s="26" t="str">
        <x:v>Use curated mapping; otherwise keep unresolved</x:v>
      </x:c>
      <x:c r="N904" s="26" t="str">
        <x:v>Review</x:v>
      </x:c>
      <x:c r="O904" s="43" t="n">
        <x:v>0.68</x:v>
      </x:c>
      <x:c r="P904" s="26" t="str">
        <x:v>Color Pie prose describes design space, not necessarily literal Oracle wording. Never use the source phrase as a blind o: search.</x:v>
      </x:c>
      <x:c r="Q904" s="26" t="str">
        <x:v>https://scryfall.com/docs/syntax</x:v>
      </x:c>
      <x:c r="R904" s="26" t="str">
        <x:v>2026-08-21</x:v>
      </x:c>
    </x:row>
    <x:row r="905">
      <x:c r="A905" s="26" t="str">
        <x:v>ColorPie!A32:E32</x:v>
      </x:c>
      <x:c r="B905" s="26" t="str">
        <x:v>Color Pie Ability</x:v>
      </x:c>
      <x:c r="C905" s="26" t="str">
        <x:v>Destroy target tapped creature</x:v>
      </x:c>
      <x:c r="D905" s="26" t="str">
        <x:v>Primary: White | Secondary: Black</x:v>
      </x:c>
      <x:c r="E905" s="26" t="str">
        <x:v>White can destroy tapped creatures</x:v>
      </x:c>
      <x:c r="F905" s="26" t="str">
        <x:v>o:"Destroy target tapped creature"</x:v>
      </x:c>
      <x:c r="G905" s="26" t="str">
        <x:v>Needs refinement</x:v>
      </x:c>
      <x:c r="H905" s="26" t="str">
        <x:v>Color-pie semantic concept</x:v>
      </x:c>
      <x:c r="I905" s="26" t="str">
        <x:v>Oracle phrase</x:v>
      </x:c>
      <x:c r="J905" s="26" t="str">
        <x:v>o:"destroy target tapped creature"</x:v>
      </x:c>
      <x:c r="K905" s="26" t="str"/>
      <x:c r="L905" s="26" t="str">
        <x:v>destroy target tapped creature</x:v>
      </x:c>
      <x:c r="M905" s="26" t="str">
        <x:v>Use curated mapping; otherwise keep unresolved</x:v>
      </x:c>
      <x:c r="N905" s="26" t="str">
        <x:v>Production-ready</x:v>
      </x:c>
      <x:c r="O905" s="43" t="n">
        <x:v>0.92</x:v>
      </x:c>
      <x:c r="P905" s="26" t="str">
        <x:v>Color Pie prose describes design space, not necessarily literal Oracle wording. Never use the source phrase as a blind o: search.</x:v>
      </x:c>
      <x:c r="Q905" s="26" t="str">
        <x:v>https://scryfall.com/docs/syntax</x:v>
      </x:c>
      <x:c r="R905" s="26" t="str">
        <x:v>2026-08-21</x:v>
      </x:c>
    </x:row>
    <x:row r="906">
      <x:c r="A906" s="26" t="str">
        <x:v>ColorPie!A33:E33</x:v>
      </x:c>
      <x:c r="B906" s="26" t="str">
        <x:v>Color Pie Ability</x:v>
      </x:c>
      <x:c r="C906" s="26" t="str">
        <x:v>Destroy creature with power 3+</x:v>
      </x:c>
      <x:c r="D906" s="26" t="str">
        <x:v>Primary: White</x:v>
      </x:c>
      <x:c r="E906" s="26" t="str">
        <x:v>White destroys large creatures as champion of the little guy</x:v>
      </x:c>
      <x:c r="F906" s="26" t="str">
        <x:v>o:"Destroy creature with power 3+"</x:v>
      </x:c>
      <x:c r="G906" s="26" t="str">
        <x:v>Needs refinement</x:v>
      </x:c>
      <x:c r="H906" s="26" t="str">
        <x:v>Color-pie semantic concept</x:v>
      </x:c>
      <x:c r="I906" s="26" t="str">
        <x:v>Oracle regex</x:v>
      </x:c>
      <x:c r="J906" s="26" t="str">
        <x:v>o:/(destroy|exile) target.*creature/</x:v>
      </x:c>
      <x:c r="K906" s="26" t="str"/>
      <x:c r="L906" s="26" t="str">
        <x:v>destroy creature with power 3+</x:v>
      </x:c>
      <x:c r="M906" s="26" t="str">
        <x:v>Use curated mapping; otherwise keep unresolved</x:v>
      </x:c>
      <x:c r="N906" s="26" t="str">
        <x:v>Review</x:v>
      </x:c>
      <x:c r="O906" s="43" t="n">
        <x:v>0.68</x:v>
      </x:c>
      <x:c r="P906" s="26" t="str">
        <x:v>Color Pie prose describes design space, not necessarily literal Oracle wording. Never use the source phrase as a blind o: search.</x:v>
      </x:c>
      <x:c r="Q906" s="26" t="str">
        <x:v>https://scryfall.com/docs/syntax</x:v>
      </x:c>
      <x:c r="R906" s="26" t="str">
        <x:v>2026-08-21</x:v>
      </x:c>
    </x:row>
    <x:row r="907">
      <x:c r="A907" s="26" t="str">
        <x:v>ColorPie!A34:E34</x:v>
      </x:c>
      <x:c r="B907" s="26" t="str">
        <x:v>Color Pie Ability</x:v>
      </x:c>
      <x:c r="C907" s="26" t="str">
        <x:v>Destroy target creature with flying</x:v>
      </x:c>
      <x:c r="D907" s="26" t="str">
        <x:v>Primary: Green</x:v>
      </x:c>
      <x:c r="E907" s="26" t="str">
        <x:v>Green kills only fliers and artifact creatures</x:v>
      </x:c>
      <x:c r="F907" s="26" t="str">
        <x:v>o:"Destroy target creature with flying"</x:v>
      </x:c>
      <x:c r="G907" s="26" t="str">
        <x:v>Needs refinement</x:v>
      </x:c>
      <x:c r="H907" s="26" t="str">
        <x:v>Color-pie semantic concept</x:v>
      </x:c>
      <x:c r="I907" s="26" t="str">
        <x:v>Oracle regex</x:v>
      </x:c>
      <x:c r="J907" s="26" t="str">
        <x:v>o:/destroy target creature.*flying/</x:v>
      </x:c>
      <x:c r="K907" s="26" t="str"/>
      <x:c r="L907" s="26" t="str">
        <x:v>destroy target creature with flying</x:v>
      </x:c>
      <x:c r="M907" s="26" t="str">
        <x:v>Use curated mapping; otherwise keep unresolved</x:v>
      </x:c>
      <x:c r="N907" s="26" t="str">
        <x:v>Review</x:v>
      </x:c>
      <x:c r="O907" s="43" t="n">
        <x:v>0.68</x:v>
      </x:c>
      <x:c r="P907" s="26" t="str">
        <x:v>Color Pie prose describes design space, not necessarily literal Oracle wording. Never use the source phrase as a blind o: search.</x:v>
      </x:c>
      <x:c r="Q907" s="26" t="str">
        <x:v>https://scryfall.com/docs/syntax</x:v>
      </x:c>
      <x:c r="R907" s="26" t="str">
        <x:v>2026-08-21</x:v>
      </x:c>
    </x:row>
    <x:row r="908">
      <x:c r="A908" s="26" t="str">
        <x:v>ColorPie!A35:E35</x:v>
      </x:c>
      <x:c r="B908" s="26" t="str">
        <x:v>Color Pie Ability</x:v>
      </x:c>
      <x:c r="C908" s="26" t="str">
        <x:v>Creature destruction, mass (Destroy all)</x:v>
      </x:c>
      <x:c r="D908" s="26" t="str">
        <x:v>Primary: White | Secondary: Black</x:v>
      </x:c>
      <x:c r="E908" s="26" t="str">
        <x:v>White most often; black not as frequent</x:v>
      </x:c>
      <x:c r="F908" s="26" t="str">
        <x:v>o:"Creature destruction, mass (Destroy all)"</x:v>
      </x:c>
      <x:c r="G908" s="26" t="str">
        <x:v>Needs refinement</x:v>
      </x:c>
      <x:c r="H908" s="26" t="str">
        <x:v>Color-pie semantic concept</x:v>
      </x:c>
      <x:c r="I908" s="26" t="str">
        <x:v>Oracle regex</x:v>
      </x:c>
      <x:c r="J908" s="26" t="str">
        <x:v>o:/destroy all.*creature/</x:v>
      </x:c>
      <x:c r="K908" s="26" t="str"/>
      <x:c r="L908" s="26" t="str">
        <x:v>creature destruction, mass (destroy all)</x:v>
      </x:c>
      <x:c r="M908" s="26" t="str">
        <x:v>Use curated mapping; otherwise keep unresolved</x:v>
      </x:c>
      <x:c r="N908" s="26" t="str">
        <x:v>Review</x:v>
      </x:c>
      <x:c r="O908" s="43" t="n">
        <x:v>0.68</x:v>
      </x:c>
      <x:c r="P908" s="26" t="str">
        <x:v>Color Pie prose describes design space, not necessarily literal Oracle wording. Never use the source phrase as a blind o: search.</x:v>
      </x:c>
      <x:c r="Q908" s="26" t="str">
        <x:v>https://scryfall.com/docs/syntax</x:v>
      </x:c>
      <x:c r="R908" s="26" t="str">
        <x:v>2026-08-21</x:v>
      </x:c>
    </x:row>
    <x:row r="909">
      <x:c r="A909" s="26" t="str">
        <x:v>ColorPie!A36:E36</x:v>
      </x:c>
      <x:c r="B909" s="26" t="str">
        <x:v>Color Pie Ability</x:v>
      </x:c>
      <x:c r="C909" s="26" t="str">
        <x:v>Destroy all creatures controlled by one player</x:v>
      </x:c>
      <x:c r="D909" s="26" t="str">
        <x:v>Primary: Black</x:v>
      </x:c>
      <x:c r="E909" s="26" t="str">
        <x:v>White believes in parity; only black kills one player's creatures</x:v>
      </x:c>
      <x:c r="F909" s="26" t="str">
        <x:v>o:"Destroy all creatures controlled by one player"</x:v>
      </x:c>
      <x:c r="G909" s="26" t="str">
        <x:v>Needs refinement</x:v>
      </x:c>
      <x:c r="H909" s="26" t="str">
        <x:v>Color-pie semantic concept</x:v>
      </x:c>
      <x:c r="I909" s="26" t="str">
        <x:v>Semantic concept</x:v>
      </x:c>
      <x:c r="J909" s="26" t="str"/>
      <x:c r="K909" s="26" t="str"/>
      <x:c r="L909" s="26" t="str">
        <x:v>destroy all creatures controlled by one player</x:v>
      </x:c>
      <x:c r="M909" s="26" t="str">
        <x:v>Use curated mapping; otherwise keep unresolved</x:v>
      </x:c>
      <x:c r="N909" s="26" t="str">
        <x:v>Semantic</x:v>
      </x:c>
      <x:c r="O909" s="43" t="n">
        <x:v>0.3</x:v>
      </x:c>
      <x:c r="P909" s="26" t="str">
        <x:v>Color Pie prose describes design space, not necessarily literal Oracle wording. Never use the source phrase as a blind o: search.</x:v>
      </x:c>
      <x:c r="Q909" s="26" t="str">
        <x:v>https://scryfall.com/docs/syntax</x:v>
      </x:c>
      <x:c r="R909" s="26" t="str">
        <x:v>2026-08-21</x:v>
      </x:c>
    </x:row>
    <x:row r="910">
      <x:c r="A910" s="26" t="str">
        <x:v>ColorPie!A37:E37</x:v>
      </x:c>
      <x:c r="B910" s="26" t="str">
        <x:v>Color Pie Ability</x:v>
      </x:c>
      <x:c r="C910" s="26" t="str">
        <x:v>Destroy all creatures with power 3+</x:v>
      </x:c>
      <x:c r="D910" s="26" t="str">
        <x:v>Primary: White</x:v>
      </x:c>
      <x:c r="E910" s="26" t="str">
        <x:v>Mass destruction of big creatures</x:v>
      </x:c>
      <x:c r="F910" s="26" t="str">
        <x:v>o:"Destroy all creatures with power 3+"</x:v>
      </x:c>
      <x:c r="G910" s="26" t="str">
        <x:v>Needs refinement</x:v>
      </x:c>
      <x:c r="H910" s="26" t="str">
        <x:v>Color-pie semantic concept</x:v>
      </x:c>
      <x:c r="I910" s="26" t="str">
        <x:v>Semantic concept</x:v>
      </x:c>
      <x:c r="J910" s="26" t="str"/>
      <x:c r="K910" s="26" t="str"/>
      <x:c r="L910" s="26" t="str">
        <x:v>destroy all creatures with power 3+</x:v>
      </x:c>
      <x:c r="M910" s="26" t="str">
        <x:v>Use curated mapping; otherwise keep unresolved</x:v>
      </x:c>
      <x:c r="N910" s="26" t="str">
        <x:v>Semantic</x:v>
      </x:c>
      <x:c r="O910" s="43" t="n">
        <x:v>0.3</x:v>
      </x:c>
      <x:c r="P910" s="26" t="str">
        <x:v>Color Pie prose describes design space, not necessarily literal Oracle wording. Never use the source phrase as a blind o: search.</x:v>
      </x:c>
      <x:c r="Q910" s="26" t="str">
        <x:v>https://scryfall.com/docs/syntax</x:v>
      </x:c>
      <x:c r="R910" s="26" t="str">
        <x:v>2026-08-21</x:v>
      </x:c>
    </x:row>
    <x:row r="911">
      <x:c r="A911" s="26" t="str">
        <x:v>ColorPie!A38:E38</x:v>
      </x:c>
      <x:c r="B911" s="26" t="str">
        <x:v>Color Pie Ability</x:v>
      </x:c>
      <x:c r="C911" s="26" t="str">
        <x:v>+N/+N (on creatures, repeatable)</x:v>
      </x:c>
      <x:c r="D911" s="26" t="str">
        <x:v>Primary: Black | Secondary: Green</x:v>
      </x:c>
      <x:c r="E911" s="26" t="str">
        <x:v>Black on Shades; green with high activation cost</x:v>
      </x:c>
      <x:c r="F911" s="26" t="str">
        <x:v>o:"+N/+N (on creatures, repeatable)"</x:v>
      </x:c>
      <x:c r="G911" s="26" t="str">
        <x:v>Needs refinement</x:v>
      </x:c>
      <x:c r="H911" s="26" t="str">
        <x:v>Color-pie semantic concept</x:v>
      </x:c>
      <x:c r="I911" s="26" t="str">
        <x:v>Semantic concept</x:v>
      </x:c>
      <x:c r="J911" s="26" t="str"/>
      <x:c r="K911" s="26" t="str"/>
      <x:c r="L911" s="26" t="str">
        <x:v>+n/+n (on creatures, repeatable)</x:v>
      </x:c>
      <x:c r="M911" s="26" t="str">
        <x:v>Use curated mapping; otherwise keep unresolved</x:v>
      </x:c>
      <x:c r="N911" s="26" t="str">
        <x:v>Semantic</x:v>
      </x:c>
      <x:c r="O911" s="43" t="n">
        <x:v>0.3</x:v>
      </x:c>
      <x:c r="P911" s="26" t="str">
        <x:v>Color Pie prose describes design space, not necessarily literal Oracle wording. Never use the source phrase as a blind o: search.</x:v>
      </x:c>
      <x:c r="Q911" s="26" t="str">
        <x:v>https://scryfall.com/docs/syntax</x:v>
      </x:c>
      <x:c r="R911" s="26" t="str">
        <x:v>2026-08-21</x:v>
      </x:c>
    </x:row>
    <x:row r="912">
      <x:c r="A912" s="26" t="str">
        <x:v>ColorPie!A39:E39</x:v>
      </x:c>
      <x:c r="B912" s="26" t="str">
        <x:v>Color Pie Ability</x:v>
      </x:c>
      <x:c r="C912" s="26" t="str">
        <x:v>+N/+N (on creatures, single use)</x:v>
      </x:c>
      <x:c r="D912" s="26" t="str">
        <x:v>Primary: Green</x:v>
      </x:c>
      <x:c r="E912" s="26" t="str">
        <x:v>Rootwalla ability - built-in Giant Growth</x:v>
      </x:c>
      <x:c r="F912" s="26" t="str">
        <x:v>o:"+N/+N (on creatures, single use)"</x:v>
      </x:c>
      <x:c r="G912" s="26" t="str">
        <x:v>Needs refinement</x:v>
      </x:c>
      <x:c r="H912" s="26" t="str">
        <x:v>Color-pie semantic concept</x:v>
      </x:c>
      <x:c r="I912" s="26" t="str">
        <x:v>Semantic concept</x:v>
      </x:c>
      <x:c r="J912" s="26" t="str"/>
      <x:c r="K912" s="26" t="str"/>
      <x:c r="L912" s="26" t="str">
        <x:v>+n/+n (on creatures, single use)</x:v>
      </x:c>
      <x:c r="M912" s="26" t="str">
        <x:v>Use curated mapping; otherwise keep unresolved</x:v>
      </x:c>
      <x:c r="N912" s="26" t="str">
        <x:v>Semantic</x:v>
      </x:c>
      <x:c r="O912" s="43" t="n">
        <x:v>0.3</x:v>
      </x:c>
      <x:c r="P912" s="26" t="str">
        <x:v>Color Pie prose describes design space, not necessarily literal Oracle wording. Never use the source phrase as a blind o: search.</x:v>
      </x:c>
      <x:c r="Q912" s="26" t="str">
        <x:v>https://scryfall.com/docs/syntax</x:v>
      </x:c>
      <x:c r="R912" s="26" t="str">
        <x:v>2026-08-21</x:v>
      </x:c>
    </x:row>
    <x:row r="913">
      <x:c r="A913" s="26" t="str">
        <x:v>ColorPie!A40:E40</x:v>
      </x:c>
      <x:c r="B913" s="26" t="str">
        <x:v>Color Pie Ability</x:v>
      </x:c>
      <x:c r="C913" s="26" t="str">
        <x:v>+N/+N (on spells)</x:v>
      </x:c>
      <x:c r="D913" s="26" t="str">
        <x:v>Primary: White, Green | Secondary: Black, Red</x:v>
      </x:c>
      <x:c r="E913" s="26" t="str">
        <x:v>Green Giant Growth +3/+3; white +2/+2 or less with ability</x:v>
      </x:c>
      <x:c r="F913" s="26" t="str">
        <x:v>o:"+N/+N (on spells)"</x:v>
      </x:c>
      <x:c r="G913" s="26" t="str">
        <x:v>Needs refinement</x:v>
      </x:c>
      <x:c r="H913" s="26" t="str">
        <x:v>Color-pie semantic concept</x:v>
      </x:c>
      <x:c r="I913" s="26" t="str">
        <x:v>Semantic concept</x:v>
      </x:c>
      <x:c r="J913" s="26" t="str"/>
      <x:c r="K913" s="26" t="str"/>
      <x:c r="L913" s="26" t="str">
        <x:v>+n/+n (on spells)</x:v>
      </x:c>
      <x:c r="M913" s="26" t="str">
        <x:v>Use curated mapping; otherwise keep unresolved</x:v>
      </x:c>
      <x:c r="N913" s="26" t="str">
        <x:v>Semantic</x:v>
      </x:c>
      <x:c r="O913" s="43" t="n">
        <x:v>0.3</x:v>
      </x:c>
      <x:c r="P913" s="26" t="str">
        <x:v>Color Pie prose describes design space, not necessarily literal Oracle wording. Never use the source phrase as a blind o: search.</x:v>
      </x:c>
      <x:c r="Q913" s="26" t="str">
        <x:v>https://scryfall.com/docs/syntax</x:v>
      </x:c>
      <x:c r="R913" s="26" t="str">
        <x:v>2026-08-21</x:v>
      </x:c>
    </x:row>
    <x:row r="914">
      <x:c r="A914" s="26" t="str">
        <x:v>ColorPie!A41:E41</x:v>
      </x:c>
      <x:c r="B914" s="26" t="str">
        <x:v>Color Pie Ability</x:v>
      </x:c>
      <x:c r="C914" s="26" t="str">
        <x:v>+N/+N (on Auras)</x:v>
      </x:c>
      <x:c r="D914" s="26" t="str">
        <x:v>Primary: White, Green | Secondary: Blue, Black, Red</x:v>
      </x:c>
      <x:c r="E914" s="26" t="str">
        <x:v>All colors access; green regularly +3/+3 and above</x:v>
      </x:c>
      <x:c r="F914" s="26" t="str">
        <x:v>o:"+N/+N (on Auras)"</x:v>
      </x:c>
      <x:c r="G914" s="26" t="str">
        <x:v>Needs refinement</x:v>
      </x:c>
      <x:c r="H914" s="26" t="str">
        <x:v>Color-pie semantic concept</x:v>
      </x:c>
      <x:c r="I914" s="26" t="str">
        <x:v>Semantic concept</x:v>
      </x:c>
      <x:c r="J914" s="26" t="str"/>
      <x:c r="K914" s="26" t="str"/>
      <x:c r="L914" s="26" t="str">
        <x:v>+n/+n (on auras)</x:v>
      </x:c>
      <x:c r="M914" s="26" t="str">
        <x:v>Use curated mapping; otherwise keep unresolved</x:v>
      </x:c>
      <x:c r="N914" s="26" t="str">
        <x:v>Semantic</x:v>
      </x:c>
      <x:c r="O914" s="43" t="n">
        <x:v>0.3</x:v>
      </x:c>
      <x:c r="P914" s="26" t="str">
        <x:v>Color Pie prose describes design space, not necessarily literal Oracle wording. Never use the source phrase as a blind o: search.</x:v>
      </x:c>
      <x:c r="Q914" s="26" t="str">
        <x:v>https://scryfall.com/docs/syntax</x:v>
      </x:c>
      <x:c r="R914" s="26" t="str">
        <x:v>2026-08-21</x:v>
      </x:c>
    </x:row>
    <x:row r="915">
      <x:c r="A915" s="26" t="str">
        <x:v>ColorPie!A42:E42</x:v>
      </x:c>
      <x:c r="B915" s="26" t="str">
        <x:v>Color Pie Ability</x:v>
      </x:c>
      <x:c r="C915" s="26" t="str">
        <x:v>+N/+0 (on creatures)</x:v>
      </x:c>
      <x:c r="D915" s="26" t="str">
        <x:v>Primary: Red | Secondary: White, Green</x:v>
      </x:c>
      <x:c r="E915" s="26" t="str">
        <x:v>Firebreathing; white gets one-time +1/+0</x:v>
      </x:c>
      <x:c r="F915" s="26" t="str">
        <x:v>o:"+N/+0 (on creatures)"</x:v>
      </x:c>
      <x:c r="G915" s="26" t="str">
        <x:v>Needs refinement</x:v>
      </x:c>
      <x:c r="H915" s="26" t="str">
        <x:v>Color-pie semantic concept</x:v>
      </x:c>
      <x:c r="I915" s="26" t="str">
        <x:v>Semantic concept</x:v>
      </x:c>
      <x:c r="J915" s="26" t="str"/>
      <x:c r="K915" s="26" t="str"/>
      <x:c r="L915" s="26" t="str">
        <x:v>+n/+0 (on creatures)</x:v>
      </x:c>
      <x:c r="M915" s="26" t="str">
        <x:v>Use curated mapping; otherwise keep unresolved</x:v>
      </x:c>
      <x:c r="N915" s="26" t="str">
        <x:v>Semantic</x:v>
      </x:c>
      <x:c r="O915" s="43" t="n">
        <x:v>0.3</x:v>
      </x:c>
      <x:c r="P915" s="26" t="str">
        <x:v>Color Pie prose describes design space, not necessarily literal Oracle wording. Never use the source phrase as a blind o: search.</x:v>
      </x:c>
      <x:c r="Q915" s="26" t="str">
        <x:v>https://scryfall.com/docs/syntax</x:v>
      </x:c>
      <x:c r="R915" s="26" t="str">
        <x:v>2026-08-21</x:v>
      </x:c>
    </x:row>
    <x:row r="916">
      <x:c r="A916" s="26" t="str">
        <x:v>ColorPie!A43:E43</x:v>
      </x:c>
      <x:c r="B916" s="26" t="str">
        <x:v>Color Pie Ability</x:v>
      </x:c>
      <x:c r="C916" s="26" t="str">
        <x:v>+N/+0 (on spells)</x:v>
      </x:c>
      <x:c r="D916" s="26" t="str">
        <x:v>Primary: Black, Red | Secondary: White</x:v>
      </x:c>
      <x:c r="E916" s="26" t="str">
        <x:v>Black/red pump power without toughness</x:v>
      </x:c>
      <x:c r="F916" s="26" t="str">
        <x:v>o:"+N/+0 (on spells)"</x:v>
      </x:c>
      <x:c r="G916" s="26" t="str">
        <x:v>Needs refinement</x:v>
      </x:c>
      <x:c r="H916" s="26" t="str">
        <x:v>Color-pie semantic concept</x:v>
      </x:c>
      <x:c r="I916" s="26" t="str">
        <x:v>Semantic concept</x:v>
      </x:c>
      <x:c r="J916" s="26" t="str"/>
      <x:c r="K916" s="26" t="str"/>
      <x:c r="L916" s="26" t="str">
        <x:v>+n/+0 (on spells)</x:v>
      </x:c>
      <x:c r="M916" s="26" t="str">
        <x:v>Use curated mapping; otherwise keep unresolved</x:v>
      </x:c>
      <x:c r="N916" s="26" t="str">
        <x:v>Semantic</x:v>
      </x:c>
      <x:c r="O916" s="43" t="n">
        <x:v>0.3</x:v>
      </x:c>
      <x:c r="P916" s="26" t="str">
        <x:v>Color Pie prose describes design space, not necessarily literal Oracle wording. Never use the source phrase as a blind o: search.</x:v>
      </x:c>
      <x:c r="Q916" s="26" t="str">
        <x:v>https://scryfall.com/docs/syntax</x:v>
      </x:c>
      <x:c r="R916" s="26" t="str">
        <x:v>2026-08-21</x:v>
      </x:c>
    </x:row>
    <x:row r="917">
      <x:c r="A917" s="26" t="str">
        <x:v>ColorPie!A44:E44</x:v>
      </x:c>
      <x:c r="B917" s="26" t="str">
        <x:v>Color Pie Ability</x:v>
      </x:c>
      <x:c r="C917" s="26" t="str">
        <x:v>+N/+0 (on Auras)</x:v>
      </x:c>
      <x:c r="D917" s="26" t="str">
        <x:v>Primary: Red | Secondary: White, Black | Tertiary: Blue, Green</x:v>
      </x:c>
      <x:c r="E917" s="26" t="str">
        <x:v>Red most often; includes firebreathing Auras</x:v>
      </x:c>
      <x:c r="F917" s="26" t="str">
        <x:v>o:"+N/+0 (on Auras)"</x:v>
      </x:c>
      <x:c r="G917" s="26" t="str">
        <x:v>Needs refinement</x:v>
      </x:c>
      <x:c r="H917" s="26" t="str">
        <x:v>Color-pie semantic concept</x:v>
      </x:c>
      <x:c r="I917" s="26" t="str">
        <x:v>Semantic concept</x:v>
      </x:c>
      <x:c r="J917" s="26" t="str"/>
      <x:c r="K917" s="26" t="str"/>
      <x:c r="L917" s="26" t="str">
        <x:v>+n/+0 (on auras)</x:v>
      </x:c>
      <x:c r="M917" s="26" t="str">
        <x:v>Use curated mapping; otherwise keep unresolved</x:v>
      </x:c>
      <x:c r="N917" s="26" t="str">
        <x:v>Semantic</x:v>
      </x:c>
      <x:c r="O917" s="43" t="n">
        <x:v>0.3</x:v>
      </x:c>
      <x:c r="P917" s="26" t="str">
        <x:v>Color Pie prose describes design space, not necessarily literal Oracle wording. Never use the source phrase as a blind o: search.</x:v>
      </x:c>
      <x:c r="Q917" s="26" t="str">
        <x:v>https://scryfall.com/docs/syntax</x:v>
      </x:c>
      <x:c r="R917" s="26" t="str">
        <x:v>2026-08-21</x:v>
      </x:c>
    </x:row>
    <x:row r="918">
      <x:c r="A918" s="26" t="str">
        <x:v>ColorPie!A45:E45</x:v>
      </x:c>
      <x:c r="B918" s="26" t="str">
        <x:v>Color Pie Ability</x:v>
      </x:c>
      <x:c r="C918" s="26" t="str">
        <x:v>+N/-N (on creatures)</x:v>
      </x:c>
      <x:c r="D918" s="26" t="str">
        <x:v>Primary: Blue | Secondary: Black, Red</x:v>
      </x:c>
      <x:c r="E918" s="26" t="str">
        <x:v>Blue on Elementals/Shapeshifters; black/red reckless</x:v>
      </x:c>
      <x:c r="F918" s="26" t="str">
        <x:v>o:"+N/-N (on creatures)"</x:v>
      </x:c>
      <x:c r="G918" s="26" t="str">
        <x:v>Needs refinement</x:v>
      </x:c>
      <x:c r="H918" s="26" t="str">
        <x:v>Color-pie semantic concept</x:v>
      </x:c>
      <x:c r="I918" s="26" t="str">
        <x:v>Semantic concept</x:v>
      </x:c>
      <x:c r="J918" s="26" t="str"/>
      <x:c r="K918" s="26" t="str"/>
      <x:c r="L918" s="26" t="str">
        <x:v>+n/-n (on creatures)</x:v>
      </x:c>
      <x:c r="M918" s="26" t="str">
        <x:v>Use curated mapping; otherwise keep unresolved</x:v>
      </x:c>
      <x:c r="N918" s="26" t="str">
        <x:v>Semantic</x:v>
      </x:c>
      <x:c r="O918" s="43" t="n">
        <x:v>0.3</x:v>
      </x:c>
      <x:c r="P918" s="26" t="str">
        <x:v>Color Pie prose describes design space, not necessarily literal Oracle wording. Never use the source phrase as a blind o: search.</x:v>
      </x:c>
      <x:c r="Q918" s="26" t="str">
        <x:v>https://scryfall.com/docs/syntax</x:v>
      </x:c>
      <x:c r="R918" s="26" t="str">
        <x:v>2026-08-21</x:v>
      </x:c>
    </x:row>
    <x:row r="919">
      <x:c r="A919" s="26" t="str">
        <x:v>ColorPie!A46:E46</x:v>
      </x:c>
      <x:c r="B919" s="26" t="str">
        <x:v>Color Pie Ability</x:v>
      </x:c>
      <x:c r="C919" s="26" t="str">
        <x:v>+N/-N (on spells)</x:v>
      </x:c>
      <x:c r="D919" s="26" t="str">
        <x:v>Primary: Black</x:v>
      </x:c>
      <x:c r="E919" s="26" t="str">
        <x:v>Mostly used as a kill spell</x:v>
      </x:c>
      <x:c r="F919" s="26" t="str">
        <x:v>o:"+N/-N (on spells)"</x:v>
      </x:c>
      <x:c r="G919" s="26" t="str">
        <x:v>Needs refinement</x:v>
      </x:c>
      <x:c r="H919" s="26" t="str">
        <x:v>Color-pie semantic concept</x:v>
      </x:c>
      <x:c r="I919" s="26" t="str">
        <x:v>Semantic concept</x:v>
      </x:c>
      <x:c r="J919" s="26" t="str"/>
      <x:c r="K919" s="26" t="str"/>
      <x:c r="L919" s="26" t="str">
        <x:v>+n/-n (on spells)</x:v>
      </x:c>
      <x:c r="M919" s="26" t="str">
        <x:v>Use curated mapping; otherwise keep unresolved</x:v>
      </x:c>
      <x:c r="N919" s="26" t="str">
        <x:v>Semantic</x:v>
      </x:c>
      <x:c r="O919" s="43" t="n">
        <x:v>0.3</x:v>
      </x:c>
      <x:c r="P919" s="26" t="str">
        <x:v>Color Pie prose describes design space, not necessarily literal Oracle wording. Never use the source phrase as a blind o: search.</x:v>
      </x:c>
      <x:c r="Q919" s="26" t="str">
        <x:v>https://scryfall.com/docs/syntax</x:v>
      </x:c>
      <x:c r="R919" s="26" t="str">
        <x:v>2026-08-21</x:v>
      </x:c>
    </x:row>
    <x:row r="920">
      <x:c r="A920" s="26" t="str">
        <x:v>ColorPie!A47:E47</x:v>
      </x:c>
      <x:c r="B920" s="26" t="str">
        <x:v>Color Pie Ability</x:v>
      </x:c>
      <x:c r="C920" s="26" t="str">
        <x:v>+N/-N (on Auras)</x:v>
      </x:c>
      <x:c r="D920" s="26" t="str">
        <x:v>Primary: Black | Secondary: Red</x:v>
      </x:c>
      <x:c r="E920" s="26" t="str">
        <x:v>Push your luck cards that can double as creature kill</x:v>
      </x:c>
      <x:c r="F920" s="26" t="str">
        <x:v>o:"+N/-N (on Auras)"</x:v>
      </x:c>
      <x:c r="G920" s="26" t="str">
        <x:v>Needs refinement</x:v>
      </x:c>
      <x:c r="H920" s="26" t="str">
        <x:v>Color-pie semantic concept</x:v>
      </x:c>
      <x:c r="I920" s="26" t="str">
        <x:v>Semantic concept</x:v>
      </x:c>
      <x:c r="J920" s="26" t="str"/>
      <x:c r="K920" s="26" t="str"/>
      <x:c r="L920" s="26" t="str">
        <x:v>+n/-n (on auras)</x:v>
      </x:c>
      <x:c r="M920" s="26" t="str">
        <x:v>Use curated mapping; otherwise keep unresolved</x:v>
      </x:c>
      <x:c r="N920" s="26" t="str">
        <x:v>Semantic</x:v>
      </x:c>
      <x:c r="O920" s="43" t="n">
        <x:v>0.3</x:v>
      </x:c>
      <x:c r="P920" s="26" t="str">
        <x:v>Color Pie prose describes design space, not necessarily literal Oracle wording. Never use the source phrase as a blind o: search.</x:v>
      </x:c>
      <x:c r="Q920" s="26" t="str">
        <x:v>https://scryfall.com/docs/syntax</x:v>
      </x:c>
      <x:c r="R920" s="26" t="str">
        <x:v>2026-08-21</x:v>
      </x:c>
    </x:row>
    <x:row r="921">
      <x:c r="A921" s="26" t="str">
        <x:v>ColorPie!A48:E48</x:v>
      </x:c>
      <x:c r="B921" s="26" t="str">
        <x:v>Color Pie Ability</x:v>
      </x:c>
      <x:c r="C921" s="26" t="str">
        <x:v>-N/+N (on creatures)</x:v>
      </x:c>
      <x:c r="D921" s="26" t="str">
        <x:v>Primary: Blue | Tertiary: White</x:v>
      </x:c>
      <x:c r="E921" s="26" t="str">
        <x:v>Blue on Elementals/Shapeshifters; white rare defensive</x:v>
      </x:c>
      <x:c r="F921" s="26" t="str">
        <x:v>o:"-N/+N (on creatures)"</x:v>
      </x:c>
      <x:c r="G921" s="26" t="str">
        <x:v>Needs refinement</x:v>
      </x:c>
      <x:c r="H921" s="26" t="str">
        <x:v>Color-pie semantic concept</x:v>
      </x:c>
      <x:c r="I921" s="26" t="str">
        <x:v>Semantic concept</x:v>
      </x:c>
      <x:c r="J921" s="26" t="str"/>
      <x:c r="K921" s="26" t="str"/>
      <x:c r="L921" s="26" t="str">
        <x:v>-n/+n (on creatures)</x:v>
      </x:c>
      <x:c r="M921" s="26" t="str">
        <x:v>Use curated mapping; otherwise keep unresolved</x:v>
      </x:c>
      <x:c r="N921" s="26" t="str">
        <x:v>Semantic</x:v>
      </x:c>
      <x:c r="O921" s="43" t="n">
        <x:v>0.3</x:v>
      </x:c>
      <x:c r="P921" s="26" t="str">
        <x:v>Color Pie prose describes design space, not necessarily literal Oracle wording. Never use the source phrase as a blind o: search.</x:v>
      </x:c>
      <x:c r="Q921" s="26" t="str">
        <x:v>https://scryfall.com/docs/syntax</x:v>
      </x:c>
      <x:c r="R921" s="26" t="str">
        <x:v>2026-08-21</x:v>
      </x:c>
    </x:row>
    <x:row r="922">
      <x:c r="A922" s="26" t="str">
        <x:v>ColorPie!A49:E49</x:v>
      </x:c>
      <x:c r="B922" s="26" t="str">
        <x:v>Color Pie Ability</x:v>
      </x:c>
      <x:c r="C922" s="26" t="str">
        <x:v>-N/-N (on creatures)</x:v>
      </x:c>
      <x:c r="D922" s="26" t="str">
        <x:v>Primary: Black</x:v>
      </x:c>
      <x:c r="E922" s="26" t="str">
        <x:v>Used almost exclusively by creatures on other creatures</x:v>
      </x:c>
      <x:c r="F922" s="26" t="str">
        <x:v>o:"-N/-N (on creatures)"</x:v>
      </x:c>
      <x:c r="G922" s="26" t="str">
        <x:v>Needs refinement</x:v>
      </x:c>
      <x:c r="H922" s="26" t="str">
        <x:v>Color-pie semantic concept</x:v>
      </x:c>
      <x:c r="I922" s="26" t="str">
        <x:v>Semantic concept</x:v>
      </x:c>
      <x:c r="J922" s="26" t="str"/>
      <x:c r="K922" s="26" t="str"/>
      <x:c r="L922" s="26" t="str">
        <x:v>-n/-n (on creatures)</x:v>
      </x:c>
      <x:c r="M922" s="26" t="str">
        <x:v>Use curated mapping; otherwise keep unresolved</x:v>
      </x:c>
      <x:c r="N922" s="26" t="str">
        <x:v>Semantic</x:v>
      </x:c>
      <x:c r="O922" s="43" t="n">
        <x:v>0.3</x:v>
      </x:c>
      <x:c r="P922" s="26" t="str">
        <x:v>Color Pie prose describes design space, not necessarily literal Oracle wording. Never use the source phrase as a blind o: search.</x:v>
      </x:c>
      <x:c r="Q922" s="26" t="str">
        <x:v>https://scryfall.com/docs/syntax</x:v>
      </x:c>
      <x:c r="R922" s="26" t="str">
        <x:v>2026-08-21</x:v>
      </x:c>
    </x:row>
    <x:row r="923">
      <x:c r="A923" s="26" t="str">
        <x:v>ColorPie!A50:E50</x:v>
      </x:c>
      <x:c r="B923" s="26" t="str">
        <x:v>Color Pie Ability</x:v>
      </x:c>
      <x:c r="C923" s="26" t="str">
        <x:v>-N/-N (on spells)</x:v>
      </x:c>
      <x:c r="D923" s="26" t="str">
        <x:v>Primary: Black | Tertiary: White, Blue, Red, Green</x:v>
      </x:c>
      <x:c r="E923" s="26" t="str">
        <x:v>Black only; others put -1/-1 counters in those sets</x:v>
      </x:c>
      <x:c r="F923" s="26" t="str">
        <x:v>o:"-N/-N (on spells)"</x:v>
      </x:c>
      <x:c r="G923" s="26" t="str">
        <x:v>Needs refinement</x:v>
      </x:c>
      <x:c r="H923" s="26" t="str">
        <x:v>Color-pie semantic concept</x:v>
      </x:c>
      <x:c r="I923" s="26" t="str">
        <x:v>Semantic concept</x:v>
      </x:c>
      <x:c r="J923" s="26" t="str"/>
      <x:c r="K923" s="26" t="str"/>
      <x:c r="L923" s="26" t="str">
        <x:v>-n/-n (on spells)</x:v>
      </x:c>
      <x:c r="M923" s="26" t="str">
        <x:v>Use curated mapping; otherwise keep unresolved</x:v>
      </x:c>
      <x:c r="N923" s="26" t="str">
        <x:v>Semantic</x:v>
      </x:c>
      <x:c r="O923" s="43" t="n">
        <x:v>0.3</x:v>
      </x:c>
      <x:c r="P923" s="26" t="str">
        <x:v>Color Pie prose describes design space, not necessarily literal Oracle wording. Never use the source phrase as a blind o: search.</x:v>
      </x:c>
      <x:c r="Q923" s="26" t="str">
        <x:v>https://scryfall.com/docs/syntax</x:v>
      </x:c>
      <x:c r="R923" s="26" t="str">
        <x:v>2026-08-21</x:v>
      </x:c>
    </x:row>
    <x:row r="924">
      <x:c r="A924" s="26" t="str">
        <x:v>ColorPie!A51:E51</x:v>
      </x:c>
      <x:c r="B924" s="26" t="str">
        <x:v>Color Pie Ability</x:v>
      </x:c>
      <x:c r="C924" s="26" t="str">
        <x:v>-N/-N (on Auras)</x:v>
      </x:c>
      <x:c r="D924" s="26" t="str">
        <x:v>Primary: Black</x:v>
      </x:c>
      <x:c r="E924" s="26" t="str">
        <x:v>Used on opponent's creatures; sometimes paired with positive</x:v>
      </x:c>
      <x:c r="F924" s="26" t="str">
        <x:v>o:"-N/-N (on Auras)"</x:v>
      </x:c>
      <x:c r="G924" s="26" t="str">
        <x:v>Needs refinement</x:v>
      </x:c>
      <x:c r="H924" s="26" t="str">
        <x:v>Color-pie semantic concept</x:v>
      </x:c>
      <x:c r="I924" s="26" t="str">
        <x:v>Semantic concept</x:v>
      </x:c>
      <x:c r="J924" s="26" t="str"/>
      <x:c r="K924" s="26" t="str"/>
      <x:c r="L924" s="26" t="str">
        <x:v>-n/-n (on auras)</x:v>
      </x:c>
      <x:c r="M924" s="26" t="str">
        <x:v>Use curated mapping; otherwise keep unresolved</x:v>
      </x:c>
      <x:c r="N924" s="26" t="str">
        <x:v>Semantic</x:v>
      </x:c>
      <x:c r="O924" s="43" t="n">
        <x:v>0.3</x:v>
      </x:c>
      <x:c r="P924" s="26" t="str">
        <x:v>Color Pie prose describes design space, not necessarily literal Oracle wording. Never use the source phrase as a blind o: search.</x:v>
      </x:c>
      <x:c r="Q924" s="26" t="str">
        <x:v>https://scryfall.com/docs/syntax</x:v>
      </x:c>
      <x:c r="R924" s="26" t="str">
        <x:v>2026-08-21</x:v>
      </x:c>
    </x:row>
    <x:row r="925">
      <x:c r="A925" s="26" t="str">
        <x:v>ColorPie!A52:E52</x:v>
      </x:c>
      <x:c r="B925" s="26" t="str">
        <x:v>Color Pie Ability</x:v>
      </x:c>
      <x:c r="C925" s="26" t="str">
        <x:v>-N/-0 (on spells)</x:v>
      </x:c>
      <x:c r="D925" s="26" t="str">
        <x:v>Primary: Blue | Secondary: Black</x:v>
      </x:c>
      <x:c r="E925" s="26" t="str">
        <x:v>Blue shrinks; black torture flavor</x:v>
      </x:c>
      <x:c r="F925" s="26" t="str">
        <x:v>o:"-N/-0 (on spells)"</x:v>
      </x:c>
      <x:c r="G925" s="26" t="str">
        <x:v>Needs refinement</x:v>
      </x:c>
      <x:c r="H925" s="26" t="str">
        <x:v>Color-pie semantic concept</x:v>
      </x:c>
      <x:c r="I925" s="26" t="str">
        <x:v>Semantic concept</x:v>
      </x:c>
      <x:c r="J925" s="26" t="str"/>
      <x:c r="K925" s="26" t="str"/>
      <x:c r="L925" s="26" t="str">
        <x:v>-n/-0 (on spells)</x:v>
      </x:c>
      <x:c r="M925" s="26" t="str">
        <x:v>Use curated mapping; otherwise keep unresolved</x:v>
      </x:c>
      <x:c r="N925" s="26" t="str">
        <x:v>Semantic</x:v>
      </x:c>
      <x:c r="O925" s="43" t="n">
        <x:v>0.3</x:v>
      </x:c>
      <x:c r="P925" s="26" t="str">
        <x:v>Color Pie prose describes design space, not necessarily literal Oracle wording. Never use the source phrase as a blind o: search.</x:v>
      </x:c>
      <x:c r="Q925" s="26" t="str">
        <x:v>https://scryfall.com/docs/syntax</x:v>
      </x:c>
      <x:c r="R925" s="26" t="str">
        <x:v>2026-08-21</x:v>
      </x:c>
    </x:row>
    <x:row r="926">
      <x:c r="A926" s="26" t="str">
        <x:v>ColorPie!A53:E53</x:v>
      </x:c>
      <x:c r="B926" s="26" t="str">
        <x:v>Color Pie Ability</x:v>
      </x:c>
      <x:c r="C926" s="26" t="str">
        <x:v>-N/-0 (on Auras)</x:v>
      </x:c>
      <x:c r="D926" s="26" t="str">
        <x:v>Primary: Blue | Secondary: Black</x:v>
      </x:c>
      <x:c r="E926" s="26" t="str">
        <x:v>Treated similarly to spells</x:v>
      </x:c>
      <x:c r="F926" s="26" t="str">
        <x:v>o:"-N/-0 (on Auras)"</x:v>
      </x:c>
      <x:c r="G926" s="26" t="str">
        <x:v>Needs refinement</x:v>
      </x:c>
      <x:c r="H926" s="26" t="str">
        <x:v>Color-pie semantic concept</x:v>
      </x:c>
      <x:c r="I926" s="26" t="str">
        <x:v>Semantic concept</x:v>
      </x:c>
      <x:c r="J926" s="26" t="str"/>
      <x:c r="K926" s="26" t="str"/>
      <x:c r="L926" s="26" t="str">
        <x:v>-n/-0 (on auras)</x:v>
      </x:c>
      <x:c r="M926" s="26" t="str">
        <x:v>Use curated mapping; otherwise keep unresolved</x:v>
      </x:c>
      <x:c r="N926" s="26" t="str">
        <x:v>Semantic</x:v>
      </x:c>
      <x:c r="O926" s="43" t="n">
        <x:v>0.3</x:v>
      </x:c>
      <x:c r="P926" s="26" t="str">
        <x:v>Color Pie prose describes design space, not necessarily literal Oracle wording. Never use the source phrase as a blind o: search.</x:v>
      </x:c>
      <x:c r="Q926" s="26" t="str">
        <x:v>https://scryfall.com/docs/syntax</x:v>
      </x:c>
      <x:c r="R926" s="26" t="str">
        <x:v>2026-08-21</x:v>
      </x:c>
    </x:row>
    <x:row r="927">
      <x:c r="A927" s="26" t="str">
        <x:v>ColorPie!A54:E54</x:v>
      </x:c>
      <x:c r="B927" s="26" t="str">
        <x:v>Color Pie Ability</x:v>
      </x:c>
      <x:c r="C927" s="26" t="str">
        <x:v>+0/+N (on creatures)</x:v>
      </x:c>
      <x:c r="D927" s="26" t="str">
        <x:v>Primary: White | Secondary: Green</x:v>
      </x:c>
      <x:c r="E927" s="26" t="str">
        <x:v>White backed off; clogs board</x:v>
      </x:c>
      <x:c r="F927" s="26" t="str">
        <x:v>o:"+0/+N (on creatures)"</x:v>
      </x:c>
      <x:c r="G927" s="26" t="str">
        <x:v>Needs refinement</x:v>
      </x:c>
      <x:c r="H927" s="26" t="str">
        <x:v>Color-pie semantic concept</x:v>
      </x:c>
      <x:c r="I927" s="26" t="str">
        <x:v>Semantic concept</x:v>
      </x:c>
      <x:c r="J927" s="26" t="str"/>
      <x:c r="K927" s="26" t="str"/>
      <x:c r="L927" s="26" t="str">
        <x:v>+0/+n (on creatures)</x:v>
      </x:c>
      <x:c r="M927" s="26" t="str">
        <x:v>Use curated mapping; otherwise keep unresolved</x:v>
      </x:c>
      <x:c r="N927" s="26" t="str">
        <x:v>Semantic</x:v>
      </x:c>
      <x:c r="O927" s="43" t="n">
        <x:v>0.3</x:v>
      </x:c>
      <x:c r="P927" s="26" t="str">
        <x:v>Color Pie prose describes design space, not necessarily literal Oracle wording. Never use the source phrase as a blind o: search.</x:v>
      </x:c>
      <x:c r="Q927" s="26" t="str">
        <x:v>https://scryfall.com/docs/syntax</x:v>
      </x:c>
      <x:c r="R927" s="26" t="str">
        <x:v>2026-08-21</x:v>
      </x:c>
    </x:row>
    <x:row r="928">
      <x:c r="A928" s="26" t="str">
        <x:v>ColorPie!A55:E55</x:v>
      </x:c>
      <x:c r="B928" s="26" t="str">
        <x:v>Color Pie Ability</x:v>
      </x:c>
      <x:c r="C928" s="26" t="str">
        <x:v>+0/+N (on spells)</x:v>
      </x:c>
      <x:c r="D928" s="26" t="str">
        <x:v>Primary: White | Secondary: Green</x:v>
      </x:c>
      <x:c r="E928" s="26" t="str">
        <x:v>White/green do this less often now</x:v>
      </x:c>
      <x:c r="F928" s="26" t="str">
        <x:v>o:"+0/+N (on spells)"</x:v>
      </x:c>
      <x:c r="G928" s="26" t="str">
        <x:v>Needs refinement</x:v>
      </x:c>
      <x:c r="H928" s="26" t="str">
        <x:v>Color-pie semantic concept</x:v>
      </x:c>
      <x:c r="I928" s="26" t="str">
        <x:v>Semantic concept</x:v>
      </x:c>
      <x:c r="J928" s="26" t="str"/>
      <x:c r="K928" s="26" t="str"/>
      <x:c r="L928" s="26" t="str">
        <x:v>+0/+n (on spells)</x:v>
      </x:c>
      <x:c r="M928" s="26" t="str">
        <x:v>Use curated mapping; otherwise keep unresolved</x:v>
      </x:c>
      <x:c r="N928" s="26" t="str">
        <x:v>Semantic</x:v>
      </x:c>
      <x:c r="O928" s="43" t="n">
        <x:v>0.3</x:v>
      </x:c>
      <x:c r="P928" s="26" t="str">
        <x:v>Color Pie prose describes design space, not necessarily literal Oracle wording. Never use the source phrase as a blind o: search.</x:v>
      </x:c>
      <x:c r="Q928" s="26" t="str">
        <x:v>https://scryfall.com/docs/syntax</x:v>
      </x:c>
      <x:c r="R928" s="26" t="str">
        <x:v>2026-08-21</x:v>
      </x:c>
    </x:row>
    <x:row r="929">
      <x:c r="A929" s="26" t="str">
        <x:v>ColorPie!A56:E56</x:v>
      </x:c>
      <x:c r="B929" s="26" t="str">
        <x:v>Color Pie Ability</x:v>
      </x:c>
      <x:c r="C929" s="26" t="str">
        <x:v>+0/+N (on Auras)</x:v>
      </x:c>
      <x:c r="D929" s="26" t="str">
        <x:v>Primary: White | Secondary: Blue, Green</x:v>
      </x:c>
      <x:c r="E929" s="26" t="str">
        <x:v>Not done often; white, blue, green when used</x:v>
      </x:c>
      <x:c r="F929" s="26" t="str">
        <x:v>o:"+0/+N (on Auras)"</x:v>
      </x:c>
      <x:c r="G929" s="26" t="str">
        <x:v>Needs refinement</x:v>
      </x:c>
      <x:c r="H929" s="26" t="str">
        <x:v>Color-pie semantic concept</x:v>
      </x:c>
      <x:c r="I929" s="26" t="str">
        <x:v>Semantic concept</x:v>
      </x:c>
      <x:c r="J929" s="26" t="str"/>
      <x:c r="K929" s="26" t="str"/>
      <x:c r="L929" s="26" t="str">
        <x:v>+0/+n (on auras)</x:v>
      </x:c>
      <x:c r="M929" s="26" t="str">
        <x:v>Use curated mapping; otherwise keep unresolved</x:v>
      </x:c>
      <x:c r="N929" s="26" t="str">
        <x:v>Semantic</x:v>
      </x:c>
      <x:c r="O929" s="43" t="n">
        <x:v>0.3</x:v>
      </x:c>
      <x:c r="P929" s="26" t="str">
        <x:v>Color Pie prose describes design space, not necessarily literal Oracle wording. Never use the source phrase as a blind o: search.</x:v>
      </x:c>
      <x:c r="Q929" s="26" t="str">
        <x:v>https://scryfall.com/docs/syntax</x:v>
      </x:c>
      <x:c r="R929" s="26" t="str">
        <x:v>2026-08-21</x:v>
      </x:c>
    </x:row>
    <x:row r="930">
      <x:c r="A930" s="26" t="str">
        <x:v>ColorPie!A57:E57</x:v>
      </x:c>
      <x:c r="B930" s="26" t="str">
        <x:v>Color Pie Ability</x:v>
      </x:c>
      <x:c r="C930" s="26" t="str">
        <x:v>+N/+N to your team, one-shot</x:v>
      </x:c>
      <x:c r="D930" s="26" t="str">
        <x:v>Primary: White | Secondary: Green</x:v>
      </x:c>
      <x:c r="E930" s="26" t="str">
        <x:v>White +1/+1 or +2/+2; green starts at +3/+3 often with trample</x:v>
      </x:c>
      <x:c r="F930" s="26" t="str">
        <x:v>o:"+N/+N to your team, one-shot"</x:v>
      </x:c>
      <x:c r="G930" s="26" t="str">
        <x:v>Needs refinement</x:v>
      </x:c>
      <x:c r="H930" s="26" t="str">
        <x:v>Color-pie semantic concept</x:v>
      </x:c>
      <x:c r="I930" s="26" t="str">
        <x:v>Semantic concept</x:v>
      </x:c>
      <x:c r="J930" s="26" t="str"/>
      <x:c r="K930" s="26" t="str"/>
      <x:c r="L930" s="26" t="str">
        <x:v>+n/+n to your team, one-shot</x:v>
      </x:c>
      <x:c r="M930" s="26" t="str">
        <x:v>Use curated mapping; otherwise keep unresolved</x:v>
      </x:c>
      <x:c r="N930" s="26" t="str">
        <x:v>Semantic</x:v>
      </x:c>
      <x:c r="O930" s="43" t="n">
        <x:v>0.3</x:v>
      </x:c>
      <x:c r="P930" s="26" t="str">
        <x:v>Color Pie prose describes design space, not necessarily literal Oracle wording. Never use the source phrase as a blind o: search.</x:v>
      </x:c>
      <x:c r="Q930" s="26" t="str">
        <x:v>https://scryfall.com/docs/syntax</x:v>
      </x:c>
      <x:c r="R930" s="26" t="str">
        <x:v>2026-08-21</x:v>
      </x:c>
    </x:row>
    <x:row r="931">
      <x:c r="A931" s="26" t="str">
        <x:v>ColorPie!A58:E58</x:v>
      </x:c>
      <x:c r="B931" s="26" t="str">
        <x:v>Color Pie Ability</x:v>
      </x:c>
      <x:c r="C931" s="26" t="str">
        <x:v>+N/+0 to your team, one-shot</x:v>
      </x:c>
      <x:c r="D931" s="26" t="str">
        <x:v>Primary: Red | Secondary: White</x:v>
      </x:c>
      <x:c r="E931" s="26" t="str">
        <x:v>Red affects attacking creatures; white sometimes</x:v>
      </x:c>
      <x:c r="F931" s="26" t="str">
        <x:v>o:"+N/+0 to your team, one-shot"</x:v>
      </x:c>
      <x:c r="G931" s="26" t="str">
        <x:v>Needs refinement</x:v>
      </x:c>
      <x:c r="H931" s="26" t="str">
        <x:v>Color-pie semantic concept</x:v>
      </x:c>
      <x:c r="I931" s="26" t="str">
        <x:v>Semantic concept</x:v>
      </x:c>
      <x:c r="J931" s="26" t="str"/>
      <x:c r="K931" s="26" t="str"/>
      <x:c r="L931" s="26" t="str">
        <x:v>+n/+0 to your team, one-shot</x:v>
      </x:c>
      <x:c r="M931" s="26" t="str">
        <x:v>Use curated mapping; otherwise keep unresolved</x:v>
      </x:c>
      <x:c r="N931" s="26" t="str">
        <x:v>Semantic</x:v>
      </x:c>
      <x:c r="O931" s="43" t="n">
        <x:v>0.3</x:v>
      </x:c>
      <x:c r="P931" s="26" t="str">
        <x:v>Color Pie prose describes design space, not necessarily literal Oracle wording. Never use the source phrase as a blind o: search.</x:v>
      </x:c>
      <x:c r="Q931" s="26" t="str">
        <x:v>https://scryfall.com/docs/syntax</x:v>
      </x:c>
      <x:c r="R931" s="26" t="str">
        <x:v>2026-08-21</x:v>
      </x:c>
    </x:row>
    <x:row r="932">
      <x:c r="A932" s="26" t="str">
        <x:v>ColorPie!A59:E59</x:v>
      </x:c>
      <x:c r="B932" s="26" t="str">
        <x:v>Color Pie Ability</x:v>
      </x:c>
      <x:c r="C932" s="26" t="str">
        <x:v>-N/-N to their team, one-shot</x:v>
      </x:c>
      <x:c r="D932" s="26" t="str">
        <x:v>Primary: Black</x:v>
      </x:c>
      <x:c r="E932" s="26" t="str">
        <x:v>Common way for black to kill creatures</x:v>
      </x:c>
      <x:c r="F932" s="26" t="str">
        <x:v>o:"-N/-N to their team, one-shot"</x:v>
      </x:c>
      <x:c r="G932" s="26" t="str">
        <x:v>Needs refinement</x:v>
      </x:c>
      <x:c r="H932" s="26" t="str">
        <x:v>Color-pie semantic concept</x:v>
      </x:c>
      <x:c r="I932" s="26" t="str">
        <x:v>Semantic concept</x:v>
      </x:c>
      <x:c r="J932" s="26" t="str"/>
      <x:c r="K932" s="26" t="str"/>
      <x:c r="L932" s="26" t="str">
        <x:v>-n/-n to their team, one-shot</x:v>
      </x:c>
      <x:c r="M932" s="26" t="str">
        <x:v>Use curated mapping; otherwise keep unresolved</x:v>
      </x:c>
      <x:c r="N932" s="26" t="str">
        <x:v>Semantic</x:v>
      </x:c>
      <x:c r="O932" s="43" t="n">
        <x:v>0.3</x:v>
      </x:c>
      <x:c r="P932" s="26" t="str">
        <x:v>Color Pie prose describes design space, not necessarily literal Oracle wording. Never use the source phrase as a blind o: search.</x:v>
      </x:c>
      <x:c r="Q932" s="26" t="str">
        <x:v>https://scryfall.com/docs/syntax</x:v>
      </x:c>
      <x:c r="R932" s="26" t="str">
        <x:v>2026-08-21</x:v>
      </x:c>
    </x:row>
    <x:row r="933">
      <x:c r="A933" s="26" t="str">
        <x:v>ColorPie!A60:E60</x:v>
      </x:c>
      <x:c r="B933" s="26" t="str">
        <x:v>Color Pie Ability</x:v>
      </x:c>
      <x:c r="C933" s="26" t="str">
        <x:v>-N/-0 to their team, one-shot</x:v>
      </x:c>
      <x:c r="D933" s="26" t="str">
        <x:v>Primary: Blue</x:v>
      </x:c>
      <x:c r="E933" s="26" t="str">
        <x:v>Blue can shrink an entire team</x:v>
      </x:c>
      <x:c r="F933" s="26" t="str">
        <x:v>o:"-N/-0 to their team, one-shot"</x:v>
      </x:c>
      <x:c r="G933" s="26" t="str">
        <x:v>Needs refinement</x:v>
      </x:c>
      <x:c r="H933" s="26" t="str">
        <x:v>Color-pie semantic concept</x:v>
      </x:c>
      <x:c r="I933" s="26" t="str">
        <x:v>Semantic concept</x:v>
      </x:c>
      <x:c r="J933" s="26" t="str"/>
      <x:c r="K933" s="26" t="str"/>
      <x:c r="L933" s="26" t="str">
        <x:v>-n/-0 to their team, one-shot</x:v>
      </x:c>
      <x:c r="M933" s="26" t="str">
        <x:v>Use curated mapping; otherwise keep unresolved</x:v>
      </x:c>
      <x:c r="N933" s="26" t="str">
        <x:v>Semantic</x:v>
      </x:c>
      <x:c r="O933" s="43" t="n">
        <x:v>0.3</x:v>
      </x:c>
      <x:c r="P933" s="26" t="str">
        <x:v>Color Pie prose describes design space, not necessarily literal Oracle wording. Never use the source phrase as a blind o: search.</x:v>
      </x:c>
      <x:c r="Q933" s="26" t="str">
        <x:v>https://scryfall.com/docs/syntax</x:v>
      </x:c>
      <x:c r="R933" s="26" t="str">
        <x:v>2026-08-21</x:v>
      </x:c>
    </x:row>
    <x:row r="934">
      <x:c r="A934" s="26" t="str">
        <x:v>ColorPie!A61:E61</x:v>
      </x:c>
      <x:c r="B934" s="26" t="str">
        <x:v>Color Pie Ability</x:v>
      </x:c>
      <x:c r="C934" s="26" t="str">
        <x:v>+N/+N to your team, ongoing</x:v>
      </x:c>
      <x:c r="D934" s="26" t="str">
        <x:v>Primary: White | Secondary: Green | Tertiary: Blue, Black, Red</x:v>
      </x:c>
      <x:c r="E934" s="26" t="str">
        <x:v>White +1/+1; green bigger; all colors for tribal lords</x:v>
      </x:c>
      <x:c r="F934" s="26" t="str">
        <x:v>o:"+N/+N to your team, ongoing"</x:v>
      </x:c>
      <x:c r="G934" s="26" t="str">
        <x:v>Needs refinement</x:v>
      </x:c>
      <x:c r="H934" s="26" t="str">
        <x:v>Color-pie semantic concept</x:v>
      </x:c>
      <x:c r="I934" s="26" t="str">
        <x:v>Semantic concept</x:v>
      </x:c>
      <x:c r="J934" s="26" t="str"/>
      <x:c r="K934" s="26" t="str"/>
      <x:c r="L934" s="26" t="str">
        <x:v>+n/+n to your team, ongoing</x:v>
      </x:c>
      <x:c r="M934" s="26" t="str">
        <x:v>Use curated mapping; otherwise keep unresolved</x:v>
      </x:c>
      <x:c r="N934" s="26" t="str">
        <x:v>Semantic</x:v>
      </x:c>
      <x:c r="O934" s="43" t="n">
        <x:v>0.3</x:v>
      </x:c>
      <x:c r="P934" s="26" t="str">
        <x:v>Color Pie prose describes design space, not necessarily literal Oracle wording. Never use the source phrase as a blind o: search.</x:v>
      </x:c>
      <x:c r="Q934" s="26" t="str">
        <x:v>https://scryfall.com/docs/syntax</x:v>
      </x:c>
      <x:c r="R934" s="26" t="str">
        <x:v>2026-08-21</x:v>
      </x:c>
    </x:row>
    <x:row r="935">
      <x:c r="A935" s="26" t="str">
        <x:v>ColorPie!A62:E62</x:v>
      </x:c>
      <x:c r="B935" s="26" t="str">
        <x:v>Color Pie Ability</x:v>
      </x:c>
      <x:c r="C935" s="26" t="str">
        <x:v>+N/+0 to your team, ongoing</x:v>
      </x:c>
      <x:c r="D935" s="26" t="str">
        <x:v>Primary: Red | Tertiary: Black</x:v>
      </x:c>
      <x:c r="E935" s="26" t="str">
        <x:v>Red pumps power; often on attack</x:v>
      </x:c>
      <x:c r="F935" s="26" t="str">
        <x:v>o:"+N/+0 to your team, ongoing"</x:v>
      </x:c>
      <x:c r="G935" s="26" t="str">
        <x:v>Needs refinement</x:v>
      </x:c>
      <x:c r="H935" s="26" t="str">
        <x:v>Color-pie semantic concept</x:v>
      </x:c>
      <x:c r="I935" s="26" t="str">
        <x:v>Semantic concept</x:v>
      </x:c>
      <x:c r="J935" s="26" t="str"/>
      <x:c r="K935" s="26" t="str"/>
      <x:c r="L935" s="26" t="str">
        <x:v>+n/+0 to your team, ongoing</x:v>
      </x:c>
      <x:c r="M935" s="26" t="str">
        <x:v>Use curated mapping; otherwise keep unresolved</x:v>
      </x:c>
      <x:c r="N935" s="26" t="str">
        <x:v>Semantic</x:v>
      </x:c>
      <x:c r="O935" s="43" t="n">
        <x:v>0.3</x:v>
      </x:c>
      <x:c r="P935" s="26" t="str">
        <x:v>Color Pie prose describes design space, not necessarily literal Oracle wording. Never use the source phrase as a blind o: search.</x:v>
      </x:c>
      <x:c r="Q935" s="26" t="str">
        <x:v>https://scryfall.com/docs/syntax</x:v>
      </x:c>
      <x:c r="R935" s="26" t="str">
        <x:v>2026-08-21</x:v>
      </x:c>
    </x:row>
    <x:row r="936">
      <x:c r="A936" s="26" t="str">
        <x:v>ColorPie!A63:E63</x:v>
      </x:c>
      <x:c r="B936" s="26" t="str">
        <x:v>Color Pie Ability</x:v>
      </x:c>
      <x:c r="C936" s="26" t="str">
        <x:v>-N/-N to their team, ongoing</x:v>
      </x:c>
      <x:c r="D936" s="26" t="str">
        <x:v>Primary: Black</x:v>
      </x:c>
      <x:c r="E936" s="26" t="str">
        <x:v>Black lowers opponent's creatures, usually -1/-1</x:v>
      </x:c>
      <x:c r="F936" s="26" t="str">
        <x:v>o:"-N/-N to their team, ongoing"</x:v>
      </x:c>
      <x:c r="G936" s="26" t="str">
        <x:v>Needs refinement</x:v>
      </x:c>
      <x:c r="H936" s="26" t="str">
        <x:v>Color-pie semantic concept</x:v>
      </x:c>
      <x:c r="I936" s="26" t="str">
        <x:v>Semantic concept</x:v>
      </x:c>
      <x:c r="J936" s="26" t="str"/>
      <x:c r="K936" s="26" t="str"/>
      <x:c r="L936" s="26" t="str">
        <x:v>-n/-n to their team, ongoing</x:v>
      </x:c>
      <x:c r="M936" s="26" t="str">
        <x:v>Use curated mapping; otherwise keep unresolved</x:v>
      </x:c>
      <x:c r="N936" s="26" t="str">
        <x:v>Semantic</x:v>
      </x:c>
      <x:c r="O936" s="43" t="n">
        <x:v>0.3</x:v>
      </x:c>
      <x:c r="P936" s="26" t="str">
        <x:v>Color Pie prose describes design space, not necessarily literal Oracle wording. Never use the source phrase as a blind o: search.</x:v>
      </x:c>
      <x:c r="Q936" s="26" t="str">
        <x:v>https://scryfall.com/docs/syntax</x:v>
      </x:c>
      <x:c r="R936" s="26" t="str">
        <x:v>2026-08-21</x:v>
      </x:c>
    </x:row>
    <x:row r="937">
      <x:c r="A937" s="26" t="str">
        <x:v>ColorPie!A64:E64</x:v>
      </x:c>
      <x:c r="B937" s="26" t="str">
        <x:v>Color Pie Ability</x:v>
      </x:c>
      <x:c r="C937" s="26" t="str">
        <x:v>Creature sacrifice, forced repeatable</x:v>
      </x:c>
      <x:c r="D937" s="26" t="str">
        <x:v>Primary: Black</x:v>
      </x:c>
      <x:c r="E937" s="26" t="str">
        <x:v>All players/opponents must sacrifice a creature each turn</x:v>
      </x:c>
      <x:c r="F937" s="26" t="str">
        <x:v>o:"Creature sacrifice, forced repeatable"</x:v>
      </x:c>
      <x:c r="G937" s="26" t="str">
        <x:v>Needs refinement</x:v>
      </x:c>
      <x:c r="H937" s="26" t="str">
        <x:v>Color-pie semantic concept</x:v>
      </x:c>
      <x:c r="I937" s="26" t="str">
        <x:v>Oracle text</x:v>
      </x:c>
      <x:c r="J937" s="26" t="str">
        <x:v>o:sacrifice</x:v>
      </x:c>
      <x:c r="K937" s="26" t="str"/>
      <x:c r="L937" s="26" t="str">
        <x:v>creature sacrifice, forced repeatable</x:v>
      </x:c>
      <x:c r="M937" s="26" t="str">
        <x:v>Use curated mapping; otherwise keep unresolved</x:v>
      </x:c>
      <x:c r="N937" s="26" t="str">
        <x:v>Review</x:v>
      </x:c>
      <x:c r="O937" s="43" t="n">
        <x:v>0.68</x:v>
      </x:c>
      <x:c r="P937" s="26" t="str">
        <x:v>Color Pie prose describes design space, not necessarily literal Oracle wording. Never use the source phrase as a blind o: search.</x:v>
      </x:c>
      <x:c r="Q937" s="26" t="str">
        <x:v>https://scryfall.com/docs/syntax</x:v>
      </x:c>
      <x:c r="R937" s="26" t="str">
        <x:v>2026-08-21</x:v>
      </x:c>
    </x:row>
    <x:row r="938">
      <x:c r="A938" s="26" t="str">
        <x:v>ColorPie!A65:E65</x:v>
      </x:c>
      <x:c r="B938" s="26" t="str">
        <x:v>Color Pie Ability</x:v>
      </x:c>
      <x:c r="C938" s="26" t="str">
        <x:v>"Curiosity"</x:v>
      </x:c>
      <x:c r="D938" s="26" t="str">
        <x:v>Primary: Blue | Secondary: Green</x:v>
      </x:c>
      <x:c r="E938" s="26" t="str">
        <x:v>Whenever this creature deals combat damage to opponent, draw a card</x:v>
      </x:c>
      <x:c r="F938" s="26" t="str">
        <x:v>o:"\"Curiosity\""</x:v>
      </x:c>
      <x:c r="G938" s="26" t="str">
        <x:v>Needs refinement</x:v>
      </x:c>
      <x:c r="H938" s="26" t="str">
        <x:v>Color-pie semantic concept</x:v>
      </x:c>
      <x:c r="I938" s="26" t="str">
        <x:v>Semantic concept</x:v>
      </x:c>
      <x:c r="J938" s="26" t="str"/>
      <x:c r="K938" s="26" t="str"/>
      <x:c r="L938" s="26" t="str">
        <x:v>"curiosity"</x:v>
      </x:c>
      <x:c r="M938" s="26" t="str">
        <x:v>Use curated mapping; otherwise keep unresolved</x:v>
      </x:c>
      <x:c r="N938" s="26" t="str">
        <x:v>Semantic</x:v>
      </x:c>
      <x:c r="O938" s="43" t="n">
        <x:v>0.3</x:v>
      </x:c>
      <x:c r="P938" s="26" t="str">
        <x:v>Color Pie prose describes design space, not necessarily literal Oracle wording. Never use the source phrase as a blind o: search.</x:v>
      </x:c>
      <x:c r="Q938" s="26" t="str">
        <x:v>https://scryfall.com/docs/syntax</x:v>
      </x:c>
      <x:c r="R938" s="26" t="str">
        <x:v>2026-08-21</x:v>
      </x:c>
    </x:row>
    <x:row r="939">
      <x:c r="A939" s="26" t="str">
        <x:v>ColorPie!A66:E66</x:v>
      </x:c>
      <x:c r="B939" s="26" t="str">
        <x:v>Color Pie Ability</x:v>
      </x:c>
      <x:c r="C939" s="26" t="str">
        <x:v>Damage prevention</x:v>
      </x:c>
      <x:c r="D939" s="26" t="str">
        <x:v>Primary: White</x:v>
      </x:c>
      <x:c r="E939" s="26" t="str">
        <x:v>Prevent the next N damage that would be dealt</x:v>
      </x:c>
      <x:c r="F939" s="26" t="str">
        <x:v>o:"Damage prevention"</x:v>
      </x:c>
      <x:c r="G939" s="26" t="str">
        <x:v>Needs refinement</x:v>
      </x:c>
      <x:c r="H939" s="26" t="str">
        <x:v>Color-pie semantic concept</x:v>
      </x:c>
      <x:c r="I939" s="26" t="str">
        <x:v>Oracle regex</x:v>
      </x:c>
      <x:c r="J939" s="26" t="str">
        <x:v>o:/deals?.*damage/</x:v>
      </x:c>
      <x:c r="K939" s="26" t="str"/>
      <x:c r="L939" s="26" t="str">
        <x:v>damage prevention</x:v>
      </x:c>
      <x:c r="M939" s="26" t="str">
        <x:v>Use curated mapping; otherwise keep unresolved</x:v>
      </x:c>
      <x:c r="N939" s="26" t="str">
        <x:v>Review</x:v>
      </x:c>
      <x:c r="O939" s="43" t="n">
        <x:v>0.68</x:v>
      </x:c>
      <x:c r="P939" s="26" t="str">
        <x:v>Color Pie prose describes design space, not necessarily literal Oracle wording. Never use the source phrase as a blind o: search.</x:v>
      </x:c>
      <x:c r="Q939" s="26" t="str">
        <x:v>https://scryfall.com/docs/syntax</x:v>
      </x:c>
      <x:c r="R939" s="26" t="str">
        <x:v>2026-08-21</x:v>
      </x:c>
    </x:row>
    <x:row r="940">
      <x:c r="A940" s="26" t="str">
        <x:v>ColorPie!A67:E67</x:v>
      </x:c>
      <x:c r="B940" s="26" t="str">
        <x:v>Color Pie Ability</x:v>
      </x:c>
      <x:c r="C940" s="26" t="str">
        <x:v>Damage redirection</x:v>
      </x:c>
      <x:c r="D940" s="26" t="str">
        <x:v>Primary: White</x:v>
      </x:c>
      <x:c r="E940" s="26" t="str">
        <x:v>Prevent damage and deal that much to another target</x:v>
      </x:c>
      <x:c r="F940" s="26" t="str">
        <x:v>o:"Damage redirection"</x:v>
      </x:c>
      <x:c r="G940" s="26" t="str">
        <x:v>Needs refinement</x:v>
      </x:c>
      <x:c r="H940" s="26" t="str">
        <x:v>Color-pie semantic concept</x:v>
      </x:c>
      <x:c r="I940" s="26" t="str">
        <x:v>Oracle regex</x:v>
      </x:c>
      <x:c r="J940" s="26" t="str">
        <x:v>o:/deals?.*damage/</x:v>
      </x:c>
      <x:c r="K940" s="26" t="str"/>
      <x:c r="L940" s="26" t="str">
        <x:v>damage redirection</x:v>
      </x:c>
      <x:c r="M940" s="26" t="str">
        <x:v>Use curated mapping; otherwise keep unresolved</x:v>
      </x:c>
      <x:c r="N940" s="26" t="str">
        <x:v>Review</x:v>
      </x:c>
      <x:c r="O940" s="43" t="n">
        <x:v>0.68</x:v>
      </x:c>
      <x:c r="P940" s="26" t="str">
        <x:v>Color Pie prose describes design space, not necessarily literal Oracle wording. Never use the source phrase as a blind o: search.</x:v>
      </x:c>
      <x:c r="Q940" s="26" t="str">
        <x:v>https://scryfall.com/docs/syntax</x:v>
      </x:c>
      <x:c r="R940" s="26" t="str">
        <x:v>2026-08-21</x:v>
      </x:c>
    </x:row>
    <x:row r="941">
      <x:c r="A941" s="26" t="str">
        <x:v>ColorPie!A68:E68</x:v>
      </x:c>
      <x:c r="B941" s="26" t="str">
        <x:v>Color Pie Ability</x:v>
      </x:c>
      <x:c r="C941" s="26" t="str">
        <x:v>"Daunt"</x:v>
      </x:c>
      <x:c r="D941" s="26" t="str">
        <x:v>Primary: Green</x:v>
      </x:c>
      <x:c r="E941" s="26" t="str">
        <x:v>Can't be blocked by creatures with power 2 or less</x:v>
      </x:c>
      <x:c r="F941" s="26" t="str">
        <x:v>o:"\"Daunt\""</x:v>
      </x:c>
      <x:c r="G941" s="26" t="str">
        <x:v>Needs refinement</x:v>
      </x:c>
      <x:c r="H941" s="26" t="str">
        <x:v>Color-pie semantic concept</x:v>
      </x:c>
      <x:c r="I941" s="26" t="str">
        <x:v>Semantic concept</x:v>
      </x:c>
      <x:c r="J941" s="26" t="str"/>
      <x:c r="K941" s="26" t="str"/>
      <x:c r="L941" s="26" t="str">
        <x:v>"daunt"</x:v>
      </x:c>
      <x:c r="M941" s="26" t="str">
        <x:v>Use curated mapping; otherwise keep unresolved</x:v>
      </x:c>
      <x:c r="N941" s="26" t="str">
        <x:v>Semantic</x:v>
      </x:c>
      <x:c r="O941" s="43" t="n">
        <x:v>0.3</x:v>
      </x:c>
      <x:c r="P941" s="26" t="str">
        <x:v>Color Pie prose describes design space, not necessarily literal Oracle wording. Never use the source phrase as a blind o: search.</x:v>
      </x:c>
      <x:c r="Q941" s="26" t="str">
        <x:v>https://scryfall.com/docs/syntax</x:v>
      </x:c>
      <x:c r="R941" s="26" t="str">
        <x:v>2026-08-21</x:v>
      </x:c>
    </x:row>
    <x:row r="942">
      <x:c r="A942" s="26" t="str">
        <x:v>ColorPie!A69:E69</x:v>
      </x:c>
      <x:c r="B942" s="26" t="str">
        <x:v>Color Pie Ability</x:v>
      </x:c>
      <x:c r="C942" s="26" t="str">
        <x:v>Deal damage when blocked</x:v>
      </x:c>
      <x:c r="D942" s="26" t="str">
        <x:v>Primary: Red | Secondary: Black | Tertiary: Blue</x:v>
      </x:c>
      <x:c r="E942" s="26" t="str">
        <x:v>Red primary; black loss of life; blue for afflict mechanic</x:v>
      </x:c>
      <x:c r="F942" s="26" t="str">
        <x:v>o:"Deal damage when blocked"</x:v>
      </x:c>
      <x:c r="G942" s="26" t="str">
        <x:v>Needs refinement</x:v>
      </x:c>
      <x:c r="H942" s="26" t="str">
        <x:v>Color-pie semantic concept</x:v>
      </x:c>
      <x:c r="I942" s="26" t="str">
        <x:v>Oracle regex</x:v>
      </x:c>
      <x:c r="J942" s="26" t="str">
        <x:v>o:/deals?.*damage/</x:v>
      </x:c>
      <x:c r="K942" s="26" t="str"/>
      <x:c r="L942" s="26" t="str">
        <x:v>deal damage when blocked</x:v>
      </x:c>
      <x:c r="M942" s="26" t="str">
        <x:v>Use curated mapping; otherwise keep unresolved</x:v>
      </x:c>
      <x:c r="N942" s="26" t="str">
        <x:v>Review</x:v>
      </x:c>
      <x:c r="O942" s="43" t="n">
        <x:v>0.68</x:v>
      </x:c>
      <x:c r="P942" s="26" t="str">
        <x:v>Color Pie prose describes design space, not necessarily literal Oracle wording. Never use the source phrase as a blind o: search.</x:v>
      </x:c>
      <x:c r="Q942" s="26" t="str">
        <x:v>https://scryfall.com/docs/syntax</x:v>
      </x:c>
      <x:c r="R942" s="26" t="str">
        <x:v>2026-08-21</x:v>
      </x:c>
    </x:row>
    <x:row r="943">
      <x:c r="A943" s="26" t="str">
        <x:v>ColorPie!A70:E70</x:v>
      </x:c>
      <x:c r="B943" s="26" t="str">
        <x:v>Color Pie Ability</x:v>
      </x:c>
      <x:c r="C943" s="26" t="str">
        <x:v>Deathtouch</x:v>
      </x:c>
      <x:c r="D943" s="26" t="str">
        <x:v>Primary: Black | Secondary: Green</x:v>
      </x:c>
      <x:c r="E943" s="26" t="str">
        <x:v>Black has more need and flavorful ways</x:v>
      </x:c>
      <x:c r="F943" s="26" t="str">
        <x:v>o:"Deathtouch"</x:v>
      </x:c>
      <x:c r="G943" s="26" t="str">
        <x:v>Needs refinement</x:v>
      </x:c>
      <x:c r="H943" s="26" t="str">
        <x:v>Color-pie semantic concept</x:v>
      </x:c>
      <x:c r="I943" s="26" t="str">
        <x:v>Semantic concept</x:v>
      </x:c>
      <x:c r="J943" s="26" t="str"/>
      <x:c r="K943" s="26" t="str"/>
      <x:c r="L943" s="26" t="str">
        <x:v>deathtouch</x:v>
      </x:c>
      <x:c r="M943" s="26" t="str">
        <x:v>Use curated mapping; otherwise keep unresolved</x:v>
      </x:c>
      <x:c r="N943" s="26" t="str">
        <x:v>Semantic</x:v>
      </x:c>
      <x:c r="O943" s="43" t="n">
        <x:v>0.3</x:v>
      </x:c>
      <x:c r="P943" s="26" t="str">
        <x:v>Color Pie prose describes design space, not necessarily literal Oracle wording. Never use the source phrase as a blind o: search.</x:v>
      </x:c>
      <x:c r="Q943" s="26" t="str">
        <x:v>https://scryfall.com/docs/syntax</x:v>
      </x:c>
      <x:c r="R943" s="26" t="str">
        <x:v>2026-08-21</x:v>
      </x:c>
    </x:row>
    <x:row r="944">
      <x:c r="A944" s="26" t="str">
        <x:v>ColorPie!A71:E71</x:v>
      </x:c>
      <x:c r="B944" s="26" t="str">
        <x:v>Color Pie Ability</x:v>
      </x:c>
      <x:c r="C944" s="26" t="str">
        <x:v>Defender</x:v>
      </x:c>
      <x:c r="D944" s="26" t="str">
        <x:v>Primary: White, Blue | Secondary: Black, Red, Green</x:v>
      </x:c>
      <x:c r="E944" s="26" t="str">
        <x:v>All can have it; white/blue most defensive</x:v>
      </x:c>
      <x:c r="F944" s="26" t="str">
        <x:v>o:"Defender"</x:v>
      </x:c>
      <x:c r="G944" s="26" t="str">
        <x:v>Needs refinement</x:v>
      </x:c>
      <x:c r="H944" s="26" t="str">
        <x:v>Color-pie semantic concept</x:v>
      </x:c>
      <x:c r="I944" s="26" t="str">
        <x:v>Semantic concept</x:v>
      </x:c>
      <x:c r="J944" s="26" t="str"/>
      <x:c r="K944" s="26" t="str"/>
      <x:c r="L944" s="26" t="str">
        <x:v>defender</x:v>
      </x:c>
      <x:c r="M944" s="26" t="str">
        <x:v>Use curated mapping; otherwise keep unresolved</x:v>
      </x:c>
      <x:c r="N944" s="26" t="str">
        <x:v>Semantic</x:v>
      </x:c>
      <x:c r="O944" s="43" t="n">
        <x:v>0.3</x:v>
      </x:c>
      <x:c r="P944" s="26" t="str">
        <x:v>Color Pie prose describes design space, not necessarily literal Oracle wording. Never use the source phrase as a blind o: search.</x:v>
      </x:c>
      <x:c r="Q944" s="26" t="str">
        <x:v>https://scryfall.com/docs/syntax</x:v>
      </x:c>
      <x:c r="R944" s="26" t="str">
        <x:v>2026-08-21</x:v>
      </x:c>
    </x:row>
    <x:row r="945">
      <x:c r="A945" s="26" t="str">
        <x:v>ColorPie!A72:E72</x:v>
      </x:c>
      <x:c r="B945" s="26" t="str">
        <x:v>Color Pie Ability</x:v>
      </x:c>
      <x:c r="C945" s="26" t="str">
        <x:v>"Devil's Deal" permanents</x:v>
      </x:c>
      <x:c r="D945" s="26" t="str">
        <x:v>Primary: Black</x:v>
      </x:c>
      <x:c r="E945" s="26" t="str">
        <x:v>Cards that grant power but at a cost</x:v>
      </x:c>
      <x:c r="F945" s="26" t="str">
        <x:v>o:"\"Devil's Deal\" permanents"</x:v>
      </x:c>
      <x:c r="G945" s="26" t="str">
        <x:v>Needs refinement</x:v>
      </x:c>
      <x:c r="H945" s="26" t="str">
        <x:v>Color-pie semantic concept</x:v>
      </x:c>
      <x:c r="I945" s="26" t="str">
        <x:v>Semantic concept</x:v>
      </x:c>
      <x:c r="J945" s="26" t="str"/>
      <x:c r="K945" s="26" t="str"/>
      <x:c r="L945" s="26" t="str">
        <x:v>"devil's deal" permanents</x:v>
      </x:c>
      <x:c r="M945" s="26" t="str">
        <x:v>Use curated mapping; otherwise keep unresolved</x:v>
      </x:c>
      <x:c r="N945" s="26" t="str">
        <x:v>Semantic</x:v>
      </x:c>
      <x:c r="O945" s="43" t="n">
        <x:v>0.3</x:v>
      </x:c>
      <x:c r="P945" s="26" t="str">
        <x:v>Color Pie prose describes design space, not necessarily literal Oracle wording. Never use the source phrase as a blind o: search.</x:v>
      </x:c>
      <x:c r="Q945" s="26" t="str">
        <x:v>https://scryfall.com/docs/syntax</x:v>
      </x:c>
      <x:c r="R945" s="26" t="str">
        <x:v>2026-08-21</x:v>
      </x:c>
    </x:row>
    <x:row r="946">
      <x:c r="A946" s="26" t="str">
        <x:v>ColorPie!A73:E73</x:v>
      </x:c>
      <x:c r="B946" s="26" t="str">
        <x:v>Color Pie Ability</x:v>
      </x:c>
      <x:c r="C946" s="26" t="str">
        <x:v>Direct damage, single target</x:v>
      </x:c>
      <x:c r="D946" s="26" t="str">
        <x:v>Primary: Red | Secondary: White, Black</x:v>
      </x:c>
      <x:c r="E946" s="26" t="str">
        <x:v>Red is king; white based on creature count; black drains</x:v>
      </x:c>
      <x:c r="F946" s="26" t="str">
        <x:v>o:"Direct damage, single target"</x:v>
      </x:c>
      <x:c r="G946" s="26" t="str">
        <x:v>Needs refinement</x:v>
      </x:c>
      <x:c r="H946" s="26" t="str">
        <x:v>Color-pie semantic concept</x:v>
      </x:c>
      <x:c r="I946" s="26" t="str">
        <x:v>Oracle regex</x:v>
      </x:c>
      <x:c r="J946" s="26" t="str">
        <x:v>o:/deals?.*damage/</x:v>
      </x:c>
      <x:c r="K946" s="26" t="str"/>
      <x:c r="L946" s="26" t="str">
        <x:v>direct damage, single target</x:v>
      </x:c>
      <x:c r="M946" s="26" t="str">
        <x:v>Use curated mapping; otherwise keep unresolved</x:v>
      </x:c>
      <x:c r="N946" s="26" t="str">
        <x:v>Review</x:v>
      </x:c>
      <x:c r="O946" s="43" t="n">
        <x:v>0.68</x:v>
      </x:c>
      <x:c r="P946" s="26" t="str">
        <x:v>Color Pie prose describes design space, not necessarily literal Oracle wording. Never use the source phrase as a blind o: search.</x:v>
      </x:c>
      <x:c r="Q946" s="26" t="str">
        <x:v>https://scryfall.com/docs/syntax</x:v>
      </x:c>
      <x:c r="R946" s="26" t="str">
        <x:v>2026-08-21</x:v>
      </x:c>
    </x:row>
    <x:row r="947">
      <x:c r="A947" s="26" t="str">
        <x:v>ColorPie!A74:E74</x:v>
      </x:c>
      <x:c r="B947" s="26" t="str">
        <x:v>Color Pie Ability</x:v>
      </x:c>
      <x:c r="C947" s="26" t="str">
        <x:v>Direct damage to damaged creature</x:v>
      </x:c>
      <x:c r="D947" s="26" t="str">
        <x:v>Primary: Red | Secondary: Black</x:v>
      </x:c>
      <x:c r="E947" s="26" t="str">
        <x:v>Black and red prey on the weak</x:v>
      </x:c>
      <x:c r="F947" s="26" t="str">
        <x:v>o:"Direct damage to damaged creature"</x:v>
      </x:c>
      <x:c r="G947" s="26" t="str">
        <x:v>Needs refinement</x:v>
      </x:c>
      <x:c r="H947" s="26" t="str">
        <x:v>Color-pie semantic concept</x:v>
      </x:c>
      <x:c r="I947" s="26" t="str">
        <x:v>Oracle regex</x:v>
      </x:c>
      <x:c r="J947" s="26" t="str">
        <x:v>o:/deals?.*damage/</x:v>
      </x:c>
      <x:c r="K947" s="26" t="str"/>
      <x:c r="L947" s="26" t="str">
        <x:v>direct damage to damaged creature</x:v>
      </x:c>
      <x:c r="M947" s="26" t="str">
        <x:v>Use curated mapping; otherwise keep unresolved</x:v>
      </x:c>
      <x:c r="N947" s="26" t="str">
        <x:v>Review</x:v>
      </x:c>
      <x:c r="O947" s="43" t="n">
        <x:v>0.68</x:v>
      </x:c>
      <x:c r="P947" s="26" t="str">
        <x:v>Color Pie prose describes design space, not necessarily literal Oracle wording. Never use the source phrase as a blind o: search.</x:v>
      </x:c>
      <x:c r="Q947" s="26" t="str">
        <x:v>https://scryfall.com/docs/syntax</x:v>
      </x:c>
      <x:c r="R947" s="26" t="str">
        <x:v>2026-08-21</x:v>
      </x:c>
    </x:row>
    <x:row r="948">
      <x:c r="A948" s="26" t="str">
        <x:v>ColorPie!A75:E75</x:v>
      </x:c>
      <x:c r="B948" s="26" t="str">
        <x:v>Color Pie Ability</x:v>
      </x:c>
      <x:c r="C948" s="26" t="str">
        <x:v>Sacrifice creature and deal its power damage</x:v>
      </x:c>
      <x:c r="D948" s="26" t="str">
        <x:v>Primary: Red | Secondary: Black</x:v>
      </x:c>
      <x:c r="E948" s="26" t="str">
        <x:v>Red throws creatures; black sacrifices for ritual</x:v>
      </x:c>
      <x:c r="F948" s="26" t="str">
        <x:v>o:"Sacrifice creature and deal its power damage"</x:v>
      </x:c>
      <x:c r="G948" s="26" t="str">
        <x:v>Needs refinement</x:v>
      </x:c>
      <x:c r="H948" s="26" t="str">
        <x:v>Color-pie semantic concept</x:v>
      </x:c>
      <x:c r="I948" s="26" t="str">
        <x:v>Oracle regex</x:v>
      </x:c>
      <x:c r="J948" s="26" t="str">
        <x:v>o:/deals?.*damage/</x:v>
      </x:c>
      <x:c r="K948" s="26" t="str"/>
      <x:c r="L948" s="26" t="str">
        <x:v>sacrifice creature and deal its power damage</x:v>
      </x:c>
      <x:c r="M948" s="26" t="str">
        <x:v>Use curated mapping; otherwise keep unresolved</x:v>
      </x:c>
      <x:c r="N948" s="26" t="str">
        <x:v>Review</x:v>
      </x:c>
      <x:c r="O948" s="43" t="n">
        <x:v>0.68</x:v>
      </x:c>
      <x:c r="P948" s="26" t="str">
        <x:v>Color Pie prose describes design space, not necessarily literal Oracle wording. Never use the source phrase as a blind o: search.</x:v>
      </x:c>
      <x:c r="Q948" s="26" t="str">
        <x:v>https://scryfall.com/docs/syntax</x:v>
      </x:c>
      <x:c r="R948" s="26" t="str">
        <x:v>2026-08-21</x:v>
      </x:c>
    </x:row>
    <x:row r="949">
      <x:c r="A949" s="26" t="str">
        <x:v>ColorPie!A76:E76</x:v>
      </x:c>
      <x:c r="B949" s="26" t="str">
        <x:v>Color Pie Ability</x:v>
      </x:c>
      <x:c r="C949" s="26" t="str">
        <x:v>Direct damage based on cards in hand</x:v>
      </x:c>
      <x:c r="D949" s="26" t="str">
        <x:v>Primary: Red</x:v>
      </x:c>
      <x:c r="E949" s="26" t="str">
        <x:v>Done in sets with spell-based theme</x:v>
      </x:c>
      <x:c r="F949" s="26" t="str">
        <x:v>o:"Direct damage based on cards in hand"</x:v>
      </x:c>
      <x:c r="G949" s="26" t="str">
        <x:v>Needs refinement</x:v>
      </x:c>
      <x:c r="H949" s="26" t="str">
        <x:v>Color-pie semantic concept</x:v>
      </x:c>
      <x:c r="I949" s="26" t="str">
        <x:v>Oracle regex</x:v>
      </x:c>
      <x:c r="J949" s="26" t="str">
        <x:v>o:/deals?.*damage/</x:v>
      </x:c>
      <x:c r="K949" s="26" t="str"/>
      <x:c r="L949" s="26" t="str">
        <x:v>direct damage based on cards in hand</x:v>
      </x:c>
      <x:c r="M949" s="26" t="str">
        <x:v>Use curated mapping; otherwise keep unresolved</x:v>
      </x:c>
      <x:c r="N949" s="26" t="str">
        <x:v>Review</x:v>
      </x:c>
      <x:c r="O949" s="43" t="n">
        <x:v>0.68</x:v>
      </x:c>
      <x:c r="P949" s="26" t="str">
        <x:v>Color Pie prose describes design space, not necessarily literal Oracle wording. Never use the source phrase as a blind o: search.</x:v>
      </x:c>
      <x:c r="Q949" s="26" t="str">
        <x:v>https://scryfall.com/docs/syntax</x:v>
      </x:c>
      <x:c r="R949" s="26" t="str">
        <x:v>2026-08-21</x:v>
      </x:c>
    </x:row>
    <x:row r="950">
      <x:c r="A950" s="26" t="str">
        <x:v>ColorPie!A77:E77</x:v>
      </x:c>
      <x:c r="B950" s="26" t="str">
        <x:v>Color Pie Ability</x:v>
      </x:c>
      <x:c r="C950" s="26" t="str">
        <x:v>Direct damage to attacking/blocking creature</x:v>
      </x:c>
      <x:c r="D950" s="26" t="str">
        <x:v>Primary: White</x:v>
      </x:c>
      <x:c r="E950" s="26" t="str">
        <x:v>White's direct damage only shows up in combat</x:v>
      </x:c>
      <x:c r="F950" s="26" t="str">
        <x:v>o:"Direct damage to attacking/blocking creature"</x:v>
      </x:c>
      <x:c r="G950" s="26" t="str">
        <x:v>Needs refinement</x:v>
      </x:c>
      <x:c r="H950" s="26" t="str">
        <x:v>Color-pie semantic concept</x:v>
      </x:c>
      <x:c r="I950" s="26" t="str">
        <x:v>Oracle regex</x:v>
      </x:c>
      <x:c r="J950" s="26" t="str">
        <x:v>o:/deals?.*damage/</x:v>
      </x:c>
      <x:c r="K950" s="26" t="str"/>
      <x:c r="L950" s="26" t="str">
        <x:v>direct damage to attacking/blocking creature</x:v>
      </x:c>
      <x:c r="M950" s="26" t="str">
        <x:v>Use curated mapping; otherwise keep unresolved</x:v>
      </x:c>
      <x:c r="N950" s="26" t="str">
        <x:v>Review</x:v>
      </x:c>
      <x:c r="O950" s="43" t="n">
        <x:v>0.68</x:v>
      </x:c>
      <x:c r="P950" s="26" t="str">
        <x:v>Color Pie prose describes design space, not necessarily literal Oracle wording. Never use the source phrase as a blind o: search.</x:v>
      </x:c>
      <x:c r="Q950" s="26" t="str">
        <x:v>https://scryfall.com/docs/syntax</x:v>
      </x:c>
      <x:c r="R950" s="26" t="str">
        <x:v>2026-08-21</x:v>
      </x:c>
    </x:row>
    <x:row r="951">
      <x:c r="A951" s="26" t="str">
        <x:v>ColorPie!A78:E78</x:v>
      </x:c>
      <x:c r="B951" s="26" t="str">
        <x:v>Color Pie Ability</x:v>
      </x:c>
      <x:c r="C951" s="26" t="str">
        <x:v>Deal damage to creature with flying</x:v>
      </x:c>
      <x:c r="D951" s="26" t="str">
        <x:v>Primary: Green | Tertiary: Red</x:v>
      </x:c>
      <x:c r="E951" s="26" t="str">
        <x:v>Green does significantly more; any red damage can hit fliers</x:v>
      </x:c>
      <x:c r="F951" s="26" t="str">
        <x:v>o:"Deal damage to creature with flying"</x:v>
      </x:c>
      <x:c r="G951" s="26" t="str">
        <x:v>Needs refinement</x:v>
      </x:c>
      <x:c r="H951" s="26" t="str">
        <x:v>Color-pie semantic concept</x:v>
      </x:c>
      <x:c r="I951" s="26" t="str">
        <x:v>Oracle regex</x:v>
      </x:c>
      <x:c r="J951" s="26" t="str">
        <x:v>o:/deals?.*damage/</x:v>
      </x:c>
      <x:c r="K951" s="26" t="str"/>
      <x:c r="L951" s="26" t="str">
        <x:v>deal damage to creature with flying</x:v>
      </x:c>
      <x:c r="M951" s="26" t="str">
        <x:v>Use curated mapping; otherwise keep unresolved</x:v>
      </x:c>
      <x:c r="N951" s="26" t="str">
        <x:v>Review</x:v>
      </x:c>
      <x:c r="O951" s="43" t="n">
        <x:v>0.68</x:v>
      </x:c>
      <x:c r="P951" s="26" t="str">
        <x:v>Color Pie prose describes design space, not necessarily literal Oracle wording. Never use the source phrase as a blind o: search.</x:v>
      </x:c>
      <x:c r="Q951" s="26" t="str">
        <x:v>https://scryfall.com/docs/syntax</x:v>
      </x:c>
      <x:c r="R951" s="26" t="str">
        <x:v>2026-08-21</x:v>
      </x:c>
    </x:row>
    <x:row r="952">
      <x:c r="A952" s="26" t="str">
        <x:v>ColorPie!A79:E79</x:v>
      </x:c>
      <x:c r="B952" s="26" t="str">
        <x:v>Color Pie Ability</x:v>
      </x:c>
      <x:c r="C952" s="26" t="str">
        <x:v>Direct damage, multiple targets</x:v>
      </x:c>
      <x:c r="D952" s="26" t="str">
        <x:v>Primary: Red | Secondary: White</x:v>
      </x:c>
      <x:c r="E952" s="26" t="str">
        <x:v>Red to all/subset; white to attackers/blockers</x:v>
      </x:c>
      <x:c r="F952" s="26" t="str">
        <x:v>o:"Direct damage, multiple targets"</x:v>
      </x:c>
      <x:c r="G952" s="26" t="str">
        <x:v>Needs refinement</x:v>
      </x:c>
      <x:c r="H952" s="26" t="str">
        <x:v>Color-pie semantic concept</x:v>
      </x:c>
      <x:c r="I952" s="26" t="str">
        <x:v>Oracle regex</x:v>
      </x:c>
      <x:c r="J952" s="26" t="str">
        <x:v>o:/deals?.*damage/</x:v>
      </x:c>
      <x:c r="K952" s="26" t="str"/>
      <x:c r="L952" s="26" t="str">
        <x:v>direct damage, multiple targets</x:v>
      </x:c>
      <x:c r="M952" s="26" t="str">
        <x:v>Use curated mapping; otherwise keep unresolved</x:v>
      </x:c>
      <x:c r="N952" s="26" t="str">
        <x:v>Review</x:v>
      </x:c>
      <x:c r="O952" s="43" t="n">
        <x:v>0.68</x:v>
      </x:c>
      <x:c r="P952" s="26" t="str">
        <x:v>Color Pie prose describes design space, not necessarily literal Oracle wording. Never use the source phrase as a blind o: search.</x:v>
      </x:c>
      <x:c r="Q952" s="26" t="str">
        <x:v>https://scryfall.com/docs/syntax</x:v>
      </x:c>
      <x:c r="R952" s="26" t="str">
        <x:v>2026-08-21</x:v>
      </x:c>
    </x:row>
    <x:row r="953">
      <x:c r="A953" s="26" t="str">
        <x:v>ColorPie!A80:E80</x:v>
      </x:c>
      <x:c r="B953" s="26" t="str">
        <x:v>Color Pie Ability</x:v>
      </x:c>
      <x:c r="C953" s="26" t="str">
        <x:v>Discard as a cost</x:v>
      </x:c>
      <x:c r="D953" s="26" t="str">
        <x:v>Primary: Black | Secondary: Red | Tertiary: White, Blue, Green</x:v>
      </x:c>
      <x:c r="E953" s="26" t="str">
        <x:v>Black most; red second most</x:v>
      </x:c>
      <x:c r="F953" s="26" t="str">
        <x:v>o:"Discard as a cost"</x:v>
      </x:c>
      <x:c r="G953" s="26" t="str">
        <x:v>Needs refinement</x:v>
      </x:c>
      <x:c r="H953" s="26" t="str">
        <x:v>Color-pie semantic concept</x:v>
      </x:c>
      <x:c r="I953" s="26" t="str">
        <x:v>Oracle text</x:v>
      </x:c>
      <x:c r="J953" s="26" t="str">
        <x:v>o:discard</x:v>
      </x:c>
      <x:c r="K953" s="26" t="str"/>
      <x:c r="L953" s="26" t="str">
        <x:v>discard as a cost</x:v>
      </x:c>
      <x:c r="M953" s="26" t="str">
        <x:v>Use curated mapping; otherwise keep unresolved</x:v>
      </x:c>
      <x:c r="N953" s="26" t="str">
        <x:v>Review</x:v>
      </x:c>
      <x:c r="O953" s="43" t="n">
        <x:v>0.68</x:v>
      </x:c>
      <x:c r="P953" s="26" t="str">
        <x:v>Color Pie prose describes design space, not necessarily literal Oracle wording. Never use the source phrase as a blind o: search.</x:v>
      </x:c>
      <x:c r="Q953" s="26" t="str">
        <x:v>https://scryfall.com/docs/syntax</x:v>
      </x:c>
      <x:c r="R953" s="26" t="str">
        <x:v>2026-08-21</x:v>
      </x:c>
    </x:row>
    <x:row r="954">
      <x:c r="A954" s="26" t="str">
        <x:v>ColorPie!A81:E81</x:v>
      </x:c>
      <x:c r="B954" s="26" t="str">
        <x:v>Color Pie Ability</x:v>
      </x:c>
      <x:c r="C954" s="26" t="str">
        <x:v>Discard as effect</x:v>
      </x:c>
      <x:c r="D954" s="26" t="str">
        <x:v>Primary: Black</x:v>
      </x:c>
      <x:c r="E954" s="26" t="str">
        <x:v>One of few abilities contained to just one color</x:v>
      </x:c>
      <x:c r="F954" s="26" t="str">
        <x:v>o:"Discard as effect"</x:v>
      </x:c>
      <x:c r="G954" s="26" t="str">
        <x:v>Needs refinement</x:v>
      </x:c>
      <x:c r="H954" s="26" t="str">
        <x:v>Color-pie semantic concept</x:v>
      </x:c>
      <x:c r="I954" s="26" t="str">
        <x:v>Oracle text</x:v>
      </x:c>
      <x:c r="J954" s="26" t="str">
        <x:v>o:discard</x:v>
      </x:c>
      <x:c r="K954" s="26" t="str"/>
      <x:c r="L954" s="26" t="str">
        <x:v>discard as effect</x:v>
      </x:c>
      <x:c r="M954" s="26" t="str">
        <x:v>Use curated mapping; otherwise keep unresolved</x:v>
      </x:c>
      <x:c r="N954" s="26" t="str">
        <x:v>Review</x:v>
      </x:c>
      <x:c r="O954" s="43" t="n">
        <x:v>0.68</x:v>
      </x:c>
      <x:c r="P954" s="26" t="str">
        <x:v>Color Pie prose describes design space, not necessarily literal Oracle wording. Never use the source phrase as a blind o: search.</x:v>
      </x:c>
      <x:c r="Q954" s="26" t="str">
        <x:v>https://scryfall.com/docs/syntax</x:v>
      </x:c>
      <x:c r="R954" s="26" t="str">
        <x:v>2026-08-21</x:v>
      </x:c>
    </x:row>
    <x:row r="955">
      <x:c r="A955" s="26" t="str">
        <x:v>ColorPie!A82:E82</x:v>
      </x:c>
      <x:c r="B955" s="26" t="str">
        <x:v>Color Pie Ability</x:v>
      </x:c>
      <x:c r="C955" s="26" t="str">
        <x:v>Double strike</x:v>
      </x:c>
      <x:c r="D955" s="26" t="str">
        <x:v>Primary: White, Red</x:v>
      </x:c>
      <x:c r="E955" s="26" t="str">
        <x:v>Primary colors for first strike; black doesn't get double strike</x:v>
      </x:c>
      <x:c r="F955" s="26" t="str">
        <x:v>o:"Double strike"</x:v>
      </x:c>
      <x:c r="G955" s="26" t="str">
        <x:v>Needs refinement</x:v>
      </x:c>
      <x:c r="H955" s="26" t="str">
        <x:v>Color-pie semantic concept</x:v>
      </x:c>
      <x:c r="I955" s="26" t="str">
        <x:v>Semantic concept</x:v>
      </x:c>
      <x:c r="J955" s="26" t="str"/>
      <x:c r="K955" s="26" t="str"/>
      <x:c r="L955" s="26" t="str">
        <x:v>double strike</x:v>
      </x:c>
      <x:c r="M955" s="26" t="str">
        <x:v>Use curated mapping; otherwise keep unresolved</x:v>
      </x:c>
      <x:c r="N955" s="26" t="str">
        <x:v>Semantic</x:v>
      </x:c>
      <x:c r="O955" s="43" t="n">
        <x:v>0.3</x:v>
      </x:c>
      <x:c r="P955" s="26" t="str">
        <x:v>Color Pie prose describes design space, not necessarily literal Oracle wording. Never use the source phrase as a blind o: search.</x:v>
      </x:c>
      <x:c r="Q955" s="26" t="str">
        <x:v>https://scryfall.com/docs/syntax</x:v>
      </x:c>
      <x:c r="R955" s="26" t="str">
        <x:v>2026-08-21</x:v>
      </x:c>
    </x:row>
    <x:row r="956">
      <x:c r="A956" s="26" t="str">
        <x:v>ColorPie!A83:E83</x:v>
      </x:c>
      <x:c r="B956" s="26" t="str">
        <x:v>Color Pie Ability</x:v>
      </x:c>
      <x:c r="C956" s="26" t="str">
        <x:v>"Drain life"</x:v>
      </x:c>
      <x:c r="D956" s="26" t="str">
        <x:v>Primary: Black | Tertiary: White</x:v>
      </x:c>
      <x:c r="E956" s="26" t="str">
        <x:v>Deal damage and gain life equal; white in Orzhov sets</x:v>
      </x:c>
      <x:c r="F956" s="26" t="str">
        <x:v>o:"\"Drain life\""</x:v>
      </x:c>
      <x:c r="G956" s="26" t="str">
        <x:v>Needs refinement</x:v>
      </x:c>
      <x:c r="H956" s="26" t="str">
        <x:v>Color-pie semantic concept</x:v>
      </x:c>
      <x:c r="I956" s="26" t="str">
        <x:v>Semantic concept</x:v>
      </x:c>
      <x:c r="J956" s="26" t="str"/>
      <x:c r="K956" s="26" t="str"/>
      <x:c r="L956" s="26" t="str">
        <x:v>"drain life"</x:v>
      </x:c>
      <x:c r="M956" s="26" t="str">
        <x:v>Use curated mapping; otherwise keep unresolved</x:v>
      </x:c>
      <x:c r="N956" s="26" t="str">
        <x:v>Semantic</x:v>
      </x:c>
      <x:c r="O956" s="43" t="n">
        <x:v>0.3</x:v>
      </x:c>
      <x:c r="P956" s="26" t="str">
        <x:v>Color Pie prose describes design space, not necessarily literal Oracle wording. Never use the source phrase as a blind o: search.</x:v>
      </x:c>
      <x:c r="Q956" s="26" t="str">
        <x:v>https://scryfall.com/docs/syntax</x:v>
      </x:c>
      <x:c r="R956" s="26" t="str">
        <x:v>2026-08-21</x:v>
      </x:c>
    </x:row>
    <x:row r="957">
      <x:c r="A957" s="26" t="str">
        <x:v>ColorPie!A84:E84</x:v>
      </x:c>
      <x:c r="B957" s="26" t="str">
        <x:v>Color Pie Ability</x:v>
      </x:c>
      <x:c r="C957" s="26" t="str">
        <x:v>Enchantment destruction</x:v>
      </x:c>
      <x:c r="D957" s="26" t="str">
        <x:v>Primary: White, Green | Secondary: Black</x:v>
      </x:c>
      <x:c r="E957" s="26" t="str">
        <x:v>Green usually also destroys artifacts; black lower power level</x:v>
      </x:c>
      <x:c r="F957" s="26" t="str">
        <x:v>o:"Enchantment destruction"</x:v>
      </x:c>
      <x:c r="G957" s="26" t="str">
        <x:v>Needs refinement</x:v>
      </x:c>
      <x:c r="H957" s="26" t="str">
        <x:v>Color-pie semantic concept</x:v>
      </x:c>
      <x:c r="I957" s="26" t="str">
        <x:v>Semantic concept</x:v>
      </x:c>
      <x:c r="J957" s="26" t="str"/>
      <x:c r="K957" s="26" t="str"/>
      <x:c r="L957" s="26" t="str">
        <x:v>enchantment destruction</x:v>
      </x:c>
      <x:c r="M957" s="26" t="str">
        <x:v>Use curated mapping; otherwise keep unresolved</x:v>
      </x:c>
      <x:c r="N957" s="26" t="str">
        <x:v>Semantic</x:v>
      </x:c>
      <x:c r="O957" s="43" t="n">
        <x:v>0.3</x:v>
      </x:c>
      <x:c r="P957" s="26" t="str">
        <x:v>Color Pie prose describes design space, not necessarily literal Oracle wording. Never use the source phrase as a blind o: search.</x:v>
      </x:c>
      <x:c r="Q957" s="26" t="str">
        <x:v>https://scryfall.com/docs/syntax</x:v>
      </x:c>
      <x:c r="R957" s="26" t="str">
        <x:v>2026-08-21</x:v>
      </x:c>
    </x:row>
    <x:row r="958">
      <x:c r="A958" s="26" t="str">
        <x:v>ColorPie!A85:E85</x:v>
      </x:c>
      <x:c r="B958" s="26" t="str">
        <x:v>Color Pie Ability</x:v>
      </x:c>
      <x:c r="C958" s="26" t="str">
        <x:v>"Enchantress" ability</x:v>
      </x:c>
      <x:c r="D958" s="26" t="str">
        <x:v>Primary: White, Green</x:v>
      </x:c>
      <x:c r="E958" s="26" t="str">
        <x:v>Whenever you play an enchantment, draw a card</x:v>
      </x:c>
      <x:c r="F958" s="26" t="str">
        <x:v>o:"\"Enchantress\" ability"</x:v>
      </x:c>
      <x:c r="G958" s="26" t="str">
        <x:v>Needs refinement</x:v>
      </x:c>
      <x:c r="H958" s="26" t="str">
        <x:v>Color-pie semantic concept</x:v>
      </x:c>
      <x:c r="I958" s="26" t="str">
        <x:v>Semantic concept</x:v>
      </x:c>
      <x:c r="J958" s="26" t="str"/>
      <x:c r="K958" s="26" t="str"/>
      <x:c r="L958" s="26" t="str">
        <x:v>"enchantress" ability</x:v>
      </x:c>
      <x:c r="M958" s="26" t="str">
        <x:v>Use curated mapping; otherwise keep unresolved</x:v>
      </x:c>
      <x:c r="N958" s="26" t="str">
        <x:v>Semantic</x:v>
      </x:c>
      <x:c r="O958" s="43" t="n">
        <x:v>0.3</x:v>
      </x:c>
      <x:c r="P958" s="26" t="str">
        <x:v>Color Pie prose describes design space, not necessarily literal Oracle wording. Never use the source phrase as a blind o: search.</x:v>
      </x:c>
      <x:c r="Q958" s="26" t="str">
        <x:v>https://scryfall.com/docs/syntax</x:v>
      </x:c>
      <x:c r="R958" s="26" t="str">
        <x:v>2026-08-21</x:v>
      </x:c>
    </x:row>
    <x:row r="959">
      <x:c r="A959" s="26" t="str">
        <x:v>ColorPie!A86:E86</x:v>
      </x:c>
      <x:c r="B959" s="26" t="str">
        <x:v>Color Pie Ability</x:v>
      </x:c>
      <x:c r="C959" s="26" t="str">
        <x:v>Exiling cards from graveyard</x:v>
      </x:c>
      <x:c r="D959" s="26" t="str">
        <x:v>Primary: Black | Secondary: White, Green</x:v>
      </x:c>
      <x:c r="E959" s="26" t="str">
        <x:v>Get rid of cards with effects/activations</x:v>
      </x:c>
      <x:c r="F959" s="26" t="str">
        <x:v>o:"Exiling cards from graveyard"</x:v>
      </x:c>
      <x:c r="G959" s="26" t="str">
        <x:v>Needs refinement</x:v>
      </x:c>
      <x:c r="H959" s="26" t="str">
        <x:v>Color-pie semantic concept</x:v>
      </x:c>
      <x:c r="I959" s="26" t="str">
        <x:v>Semantic concept</x:v>
      </x:c>
      <x:c r="J959" s="26" t="str"/>
      <x:c r="K959" s="26" t="str"/>
      <x:c r="L959" s="26" t="str">
        <x:v>exiling cards from graveyard</x:v>
      </x:c>
      <x:c r="M959" s="26" t="str">
        <x:v>Use curated mapping; otherwise keep unresolved</x:v>
      </x:c>
      <x:c r="N959" s="26" t="str">
        <x:v>Semantic</x:v>
      </x:c>
      <x:c r="O959" s="43" t="n">
        <x:v>0.3</x:v>
      </x:c>
      <x:c r="P959" s="26" t="str">
        <x:v>Color Pie prose describes design space, not necessarily literal Oracle wording. Never use the source phrase as a blind o: search.</x:v>
      </x:c>
      <x:c r="Q959" s="26" t="str">
        <x:v>https://scryfall.com/docs/syntax</x:v>
      </x:c>
      <x:c r="R959" s="26" t="str">
        <x:v>2026-08-21</x:v>
      </x:c>
    </x:row>
    <x:row r="960">
      <x:c r="A960" s="26" t="str">
        <x:v>ColorPie!A87:E87</x:v>
      </x:c>
      <x:c r="B960" s="26" t="str">
        <x:v>Color Pie Ability</x:v>
      </x:c>
      <x:c r="C960" s="26" t="str">
        <x:v>Extra attack</x:v>
      </x:c>
      <x:c r="D960" s="26" t="str">
        <x:v>Primary: Red | Tertiary: White</x:v>
      </x:c>
      <x:c r="E960" s="26" t="str">
        <x:v>Attacking twice; thematically makes sense for white</x:v>
      </x:c>
      <x:c r="F960" s="26" t="str">
        <x:v>o:"Extra attack"</x:v>
      </x:c>
      <x:c r="G960" s="26" t="str">
        <x:v>Needs refinement</x:v>
      </x:c>
      <x:c r="H960" s="26" t="str">
        <x:v>Color-pie semantic concept</x:v>
      </x:c>
      <x:c r="I960" s="26" t="str">
        <x:v>Semantic concept</x:v>
      </x:c>
      <x:c r="J960" s="26" t="str"/>
      <x:c r="K960" s="26" t="str"/>
      <x:c r="L960" s="26" t="str">
        <x:v>extra attack</x:v>
      </x:c>
      <x:c r="M960" s="26" t="str">
        <x:v>Use curated mapping; otherwise keep unresolved</x:v>
      </x:c>
      <x:c r="N960" s="26" t="str">
        <x:v>Semantic</x:v>
      </x:c>
      <x:c r="O960" s="43" t="n">
        <x:v>0.3</x:v>
      </x:c>
      <x:c r="P960" s="26" t="str">
        <x:v>Color Pie prose describes design space, not necessarily literal Oracle wording. Never use the source phrase as a blind o: search.</x:v>
      </x:c>
      <x:c r="Q960" s="26" t="str">
        <x:v>https://scryfall.com/docs/syntax</x:v>
      </x:c>
      <x:c r="R960" s="26" t="str">
        <x:v>2026-08-21</x:v>
      </x:c>
    </x:row>
    <x:row r="961">
      <x:c r="A961" s="26" t="str">
        <x:v>ColorPie!A88:E88</x:v>
      </x:c>
      <x:c r="B961" s="26" t="str">
        <x:v>Color Pie Ability</x:v>
      </x:c>
      <x:c r="C961" s="26" t="str">
        <x:v>Fight</x:v>
      </x:c>
      <x:c r="D961" s="26" t="str">
        <x:v>Primary: Green | Secondary: Red</x:v>
      </x:c>
      <x:c r="E961" s="26" t="str">
        <x:v>Green's primary creature destruction; red uses occasionally</x:v>
      </x:c>
      <x:c r="F961" s="26" t="str">
        <x:v>o:"Fight"</x:v>
      </x:c>
      <x:c r="G961" s="26" t="str">
        <x:v>Needs refinement</x:v>
      </x:c>
      <x:c r="H961" s="26" t="str">
        <x:v>Color-pie semantic concept</x:v>
      </x:c>
      <x:c r="I961" s="26" t="str">
        <x:v>Semantic concept</x:v>
      </x:c>
      <x:c r="J961" s="26" t="str"/>
      <x:c r="K961" s="26" t="str"/>
      <x:c r="L961" s="26" t="str">
        <x:v>fight</x:v>
      </x:c>
      <x:c r="M961" s="26" t="str">
        <x:v>Use curated mapping; otherwise keep unresolved</x:v>
      </x:c>
      <x:c r="N961" s="26" t="str">
        <x:v>Semantic</x:v>
      </x:c>
      <x:c r="O961" s="43" t="n">
        <x:v>0.3</x:v>
      </x:c>
      <x:c r="P961" s="26" t="str">
        <x:v>Color Pie prose describes design space, not necessarily literal Oracle wording. Never use the source phrase as a blind o: search.</x:v>
      </x:c>
      <x:c r="Q961" s="26" t="str">
        <x:v>https://scryfall.com/docs/syntax</x:v>
      </x:c>
      <x:c r="R961" s="26" t="str">
        <x:v>2026-08-21</x:v>
      </x:c>
    </x:row>
    <x:row r="962">
      <x:c r="A962" s="26" t="str">
        <x:v>ColorPie!A89:E89</x:v>
      </x:c>
      <x:c r="B962" s="26" t="str">
        <x:v>Color Pie Ability</x:v>
      </x:c>
      <x:c r="C962" s="26" t="str">
        <x:v>First strike</x:v>
      </x:c>
      <x:c r="D962" s="26" t="str">
        <x:v>Primary: White, Red | Tertiary: Black</x:v>
      </x:c>
      <x:c r="E962" s="26" t="str">
        <x:v>White has army; red impulsive fighters; black on Knights</x:v>
      </x:c>
      <x:c r="F962" s="26" t="str">
        <x:v>o:"First strike"</x:v>
      </x:c>
      <x:c r="G962" s="26" t="str">
        <x:v>Needs refinement</x:v>
      </x:c>
      <x:c r="H962" s="26" t="str">
        <x:v>Color-pie semantic concept</x:v>
      </x:c>
      <x:c r="I962" s="26" t="str">
        <x:v>Semantic concept</x:v>
      </x:c>
      <x:c r="J962" s="26" t="str"/>
      <x:c r="K962" s="26" t="str"/>
      <x:c r="L962" s="26" t="str">
        <x:v>first strike</x:v>
      </x:c>
      <x:c r="M962" s="26" t="str">
        <x:v>Use curated mapping; otherwise keep unresolved</x:v>
      </x:c>
      <x:c r="N962" s="26" t="str">
        <x:v>Semantic</x:v>
      </x:c>
      <x:c r="O962" s="43" t="n">
        <x:v>0.3</x:v>
      </x:c>
      <x:c r="P962" s="26" t="str">
        <x:v>Color Pie prose describes design space, not necessarily literal Oracle wording. Never use the source phrase as a blind o: search.</x:v>
      </x:c>
      <x:c r="Q962" s="26" t="str">
        <x:v>https://scryfall.com/docs/syntax</x:v>
      </x:c>
      <x:c r="R962" s="26" t="str">
        <x:v>2026-08-21</x:v>
      </x:c>
    </x:row>
    <x:row r="963">
      <x:c r="A963" s="26" t="str">
        <x:v>ColorPie!A90:E90</x:v>
      </x:c>
      <x:c r="B963" s="26" t="str">
        <x:v>Color Pie Ability</x:v>
      </x:c>
      <x:c r="C963" s="26" t="str">
        <x:v>Flash</x:v>
      </x:c>
      <x:c r="D963" s="26" t="str">
        <x:v>Primary: Blue | Secondary: White, Black, Green | Tertiary: Red</x:v>
      </x:c>
      <x:c r="E963" s="26" t="str">
        <x:v>Blue most reactive; white cheap/defensive; black surprise kill; green bigger</x:v>
      </x:c>
      <x:c r="F963" s="26" t="str">
        <x:v>o:"Flash"</x:v>
      </x:c>
      <x:c r="G963" s="26" t="str">
        <x:v>Needs refinement</x:v>
      </x:c>
      <x:c r="H963" s="26" t="str">
        <x:v>Color-pie semantic concept</x:v>
      </x:c>
      <x:c r="I963" s="26" t="str">
        <x:v>Semantic concept</x:v>
      </x:c>
      <x:c r="J963" s="26" t="str"/>
      <x:c r="K963" s="26" t="str"/>
      <x:c r="L963" s="26" t="str">
        <x:v>flash</x:v>
      </x:c>
      <x:c r="M963" s="26" t="str">
        <x:v>Use curated mapping; otherwise keep unresolved</x:v>
      </x:c>
      <x:c r="N963" s="26" t="str">
        <x:v>Semantic</x:v>
      </x:c>
      <x:c r="O963" s="43" t="n">
        <x:v>0.3</x:v>
      </x:c>
      <x:c r="P963" s="26" t="str">
        <x:v>Color Pie prose describes design space, not necessarily literal Oracle wording. Never use the source phrase as a blind o: search.</x:v>
      </x:c>
      <x:c r="Q963" s="26" t="str">
        <x:v>https://scryfall.com/docs/syntax</x:v>
      </x:c>
      <x:c r="R963" s="26" t="str">
        <x:v>2026-08-21</x:v>
      </x:c>
    </x:row>
    <x:row r="964">
      <x:c r="A964" s="26" t="str">
        <x:v>ColorPie!A91:E91</x:v>
      </x:c>
      <x:c r="B964" s="26" t="str">
        <x:v>Color Pie Ability</x:v>
      </x:c>
      <x:c r="C964" s="26" t="str">
        <x:v>"Flicker"</x:v>
      </x:c>
      <x:c r="D964" s="26" t="str">
        <x:v>Primary: White, Blue</x:v>
      </x:c>
      <x:c r="E964" s="26" t="str">
        <x:v>Exile creature/permanent, return to battlefield</x:v>
      </x:c>
      <x:c r="F964" s="26" t="str">
        <x:v>o:"\"Flicker\""</x:v>
      </x:c>
      <x:c r="G964" s="26" t="str">
        <x:v>Needs refinement</x:v>
      </x:c>
      <x:c r="H964" s="26" t="str">
        <x:v>Color-pie semantic concept</x:v>
      </x:c>
      <x:c r="I964" s="26" t="str">
        <x:v>Semantic concept</x:v>
      </x:c>
      <x:c r="J964" s="26" t="str"/>
      <x:c r="K964" s="26" t="str"/>
      <x:c r="L964" s="26" t="str">
        <x:v>"flicker"</x:v>
      </x:c>
      <x:c r="M964" s="26" t="str">
        <x:v>Use curated mapping; otherwise keep unresolved</x:v>
      </x:c>
      <x:c r="N964" s="26" t="str">
        <x:v>Semantic</x:v>
      </x:c>
      <x:c r="O964" s="43" t="n">
        <x:v>0.3</x:v>
      </x:c>
      <x:c r="P964" s="26" t="str">
        <x:v>Color Pie prose describes design space, not necessarily literal Oracle wording. Never use the source phrase as a blind o: search.</x:v>
      </x:c>
      <x:c r="Q964" s="26" t="str">
        <x:v>https://scryfall.com/docs/syntax</x:v>
      </x:c>
      <x:c r="R964" s="26" t="str">
        <x:v>2026-08-21</x:v>
      </x:c>
    </x:row>
    <x:row r="965">
      <x:c r="A965" s="26" t="str">
        <x:v>ColorPie!A92:E92</x:v>
      </x:c>
      <x:c r="B965" s="26" t="str">
        <x:v>Color Pie Ability</x:v>
      </x:c>
      <x:c r="C965" s="26" t="str">
        <x:v>Flying</x:v>
      </x:c>
      <x:c r="D965" s="26" t="str">
        <x:v>Primary: White, Blue | Secondary: Black, Red | Tertiary: Green</x:v>
      </x:c>
      <x:c r="E965" s="26" t="str">
        <x:v>Blue most fliers; white efficient small; red Dragons/Phoenixes; green very infrequent</x:v>
      </x:c>
      <x:c r="F965" s="26" t="str">
        <x:v>o:"Flying"</x:v>
      </x:c>
      <x:c r="G965" s="26" t="str">
        <x:v>Needs refinement</x:v>
      </x:c>
      <x:c r="H965" s="26" t="str">
        <x:v>Color-pie semantic concept</x:v>
      </x:c>
      <x:c r="I965" s="26" t="str">
        <x:v>Semantic concept</x:v>
      </x:c>
      <x:c r="J965" s="26" t="str"/>
      <x:c r="K965" s="26" t="str"/>
      <x:c r="L965" s="26" t="str">
        <x:v>flying</x:v>
      </x:c>
      <x:c r="M965" s="26" t="str">
        <x:v>Use curated mapping; otherwise keep unresolved</x:v>
      </x:c>
      <x:c r="N965" s="26" t="str">
        <x:v>Semantic</x:v>
      </x:c>
      <x:c r="O965" s="43" t="n">
        <x:v>0.3</x:v>
      </x:c>
      <x:c r="P965" s="26" t="str">
        <x:v>Color Pie prose describes design space, not necessarily literal Oracle wording. Never use the source phrase as a blind o: search.</x:v>
      </x:c>
      <x:c r="Q965" s="26" t="str">
        <x:v>https://scryfall.com/docs/syntax</x:v>
      </x:c>
      <x:c r="R965" s="26" t="str">
        <x:v>2026-08-21</x:v>
      </x:c>
    </x:row>
    <x:row r="966">
      <x:c r="A966" s="26" t="str">
        <x:v>ColorPie!A93:E93</x:v>
      </x:c>
      <x:c r="B966" s="26" t="str">
        <x:v>Color Pie Ability</x:v>
      </x:c>
      <x:c r="C966" s="26" t="str">
        <x:v>"Fog"</x:v>
      </x:c>
      <x:c r="D966" s="26" t="str">
        <x:v>Primary: Green | Tertiary: White</x:v>
      </x:c>
      <x:c r="E966" s="26" t="str">
        <x:v>Prevent all combat damage this turn</x:v>
      </x:c>
      <x:c r="F966" s="26" t="str">
        <x:v>o:"\"Fog\""</x:v>
      </x:c>
      <x:c r="G966" s="26" t="str">
        <x:v>Needs refinement</x:v>
      </x:c>
      <x:c r="H966" s="26" t="str">
        <x:v>Color-pie semantic concept</x:v>
      </x:c>
      <x:c r="I966" s="26" t="str">
        <x:v>Semantic concept</x:v>
      </x:c>
      <x:c r="J966" s="26" t="str"/>
      <x:c r="K966" s="26" t="str"/>
      <x:c r="L966" s="26" t="str">
        <x:v>"fog"</x:v>
      </x:c>
      <x:c r="M966" s="26" t="str">
        <x:v>Use curated mapping; otherwise keep unresolved</x:v>
      </x:c>
      <x:c r="N966" s="26" t="str">
        <x:v>Semantic</x:v>
      </x:c>
      <x:c r="O966" s="43" t="n">
        <x:v>0.3</x:v>
      </x:c>
      <x:c r="P966" s="26" t="str">
        <x:v>Color Pie prose describes design space, not necessarily literal Oracle wording. Never use the source phrase as a blind o: search.</x:v>
      </x:c>
      <x:c r="Q966" s="26" t="str">
        <x:v>https://scryfall.com/docs/syntax</x:v>
      </x:c>
      <x:c r="R966" s="26" t="str">
        <x:v>2026-08-21</x:v>
      </x:c>
    </x:row>
    <x:row r="967">
      <x:c r="A967" s="26" t="str">
        <x:v>ColorPie!A94:E94</x:v>
      </x:c>
      <x:c r="B967" s="26" t="str">
        <x:v>Color Pie Ability</x:v>
      </x:c>
      <x:c r="C967" s="26" t="str">
        <x:v>Forced attack</x:v>
      </x:c>
      <x:c r="D967" s="26" t="str">
        <x:v>Primary: Red | Secondary: Blue</x:v>
      </x:c>
      <x:c r="E967" s="26" t="str">
        <x:v>Red emotional tampering; blue mind control</x:v>
      </x:c>
      <x:c r="F967" s="26" t="str">
        <x:v>o:"Forced attack"</x:v>
      </x:c>
      <x:c r="G967" s="26" t="str">
        <x:v>Needs refinement</x:v>
      </x:c>
      <x:c r="H967" s="26" t="str">
        <x:v>Color-pie semantic concept</x:v>
      </x:c>
      <x:c r="I967" s="26" t="str">
        <x:v>Semantic concept</x:v>
      </x:c>
      <x:c r="J967" s="26" t="str"/>
      <x:c r="K967" s="26" t="str"/>
      <x:c r="L967" s="26" t="str">
        <x:v>forced attack</x:v>
      </x:c>
      <x:c r="M967" s="26" t="str">
        <x:v>Use curated mapping; otherwise keep unresolved</x:v>
      </x:c>
      <x:c r="N967" s="26" t="str">
        <x:v>Semantic</x:v>
      </x:c>
      <x:c r="O967" s="43" t="n">
        <x:v>0.3</x:v>
      </x:c>
      <x:c r="P967" s="26" t="str">
        <x:v>Color Pie prose describes design space, not necessarily literal Oracle wording. Never use the source phrase as a blind o: search.</x:v>
      </x:c>
      <x:c r="Q967" s="26" t="str">
        <x:v>https://scryfall.com/docs/syntax</x:v>
      </x:c>
      <x:c r="R967" s="26" t="str">
        <x:v>2026-08-21</x:v>
      </x:c>
    </x:row>
    <x:row r="968">
      <x:c r="A968" s="26" t="str">
        <x:v>ColorPie!A95:E95</x:v>
      </x:c>
      <x:c r="B968" s="26" t="str">
        <x:v>Color Pie Ability</x:v>
      </x:c>
      <x:c r="C968" s="26" t="str">
        <x:v>Forced block</x:v>
      </x:c>
      <x:c r="D968" s="26" t="str">
        <x:v>Primary: Green | Secondary: Red</x:v>
      </x:c>
      <x:c r="E968" s="26" t="str">
        <x:v>Target creature must block this turn</x:v>
      </x:c>
      <x:c r="F968" s="26" t="str">
        <x:v>o:"Forced block"</x:v>
      </x:c>
      <x:c r="G968" s="26" t="str">
        <x:v>Needs refinement</x:v>
      </x:c>
      <x:c r="H968" s="26" t="str">
        <x:v>Color-pie semantic concept</x:v>
      </x:c>
      <x:c r="I968" s="26" t="str">
        <x:v>Semantic concept</x:v>
      </x:c>
      <x:c r="J968" s="26" t="str"/>
      <x:c r="K968" s="26" t="str"/>
      <x:c r="L968" s="26" t="str">
        <x:v>forced block</x:v>
      </x:c>
      <x:c r="M968" s="26" t="str">
        <x:v>Use curated mapping; otherwise keep unresolved</x:v>
      </x:c>
      <x:c r="N968" s="26" t="str">
        <x:v>Semantic</x:v>
      </x:c>
      <x:c r="O968" s="43" t="n">
        <x:v>0.3</x:v>
      </x:c>
      <x:c r="P968" s="26" t="str">
        <x:v>Color Pie prose describes design space, not necessarily literal Oracle wording. Never use the source phrase as a blind o: search.</x:v>
      </x:c>
      <x:c r="Q968" s="26" t="str">
        <x:v>https://scryfall.com/docs/syntax</x:v>
      </x:c>
      <x:c r="R968" s="26" t="str">
        <x:v>2026-08-21</x:v>
      </x:c>
    </x:row>
    <x:row r="969">
      <x:c r="A969" s="26" t="str">
        <x:v>ColorPie!A96:E96</x:v>
      </x:c>
      <x:c r="B969" s="26" t="str">
        <x:v>Color Pie Ability</x:v>
      </x:c>
      <x:c r="C969" s="26" t="str">
        <x:v>Forced sacrifice, creature</x:v>
      </x:c>
      <x:c r="D969" s="26" t="str">
        <x:v>Primary: Black</x:v>
      </x:c>
      <x:c r="E969" s="26" t="str">
        <x:v>Sometimes black makes you sacrifice</x:v>
      </x:c>
      <x:c r="F969" s="26" t="str">
        <x:v>o:"Forced sacrifice, creature"</x:v>
      </x:c>
      <x:c r="G969" s="26" t="str">
        <x:v>Needs refinement</x:v>
      </x:c>
      <x:c r="H969" s="26" t="str">
        <x:v>Color-pie semantic concept</x:v>
      </x:c>
      <x:c r="I969" s="26" t="str">
        <x:v>Oracle text</x:v>
      </x:c>
      <x:c r="J969" s="26" t="str">
        <x:v>o:sacrifice</x:v>
      </x:c>
      <x:c r="K969" s="26" t="str"/>
      <x:c r="L969" s="26" t="str">
        <x:v>forced sacrifice, creature</x:v>
      </x:c>
      <x:c r="M969" s="26" t="str">
        <x:v>Use curated mapping; otherwise keep unresolved</x:v>
      </x:c>
      <x:c r="N969" s="26" t="str">
        <x:v>Review</x:v>
      </x:c>
      <x:c r="O969" s="43" t="n">
        <x:v>0.68</x:v>
      </x:c>
      <x:c r="P969" s="26" t="str">
        <x:v>Color Pie prose describes design space, not necessarily literal Oracle wording. Never use the source phrase as a blind o: search.</x:v>
      </x:c>
      <x:c r="Q969" s="26" t="str">
        <x:v>https://scryfall.com/docs/syntax</x:v>
      </x:c>
      <x:c r="R969" s="26" t="str">
        <x:v>2026-08-21</x:v>
      </x:c>
    </x:row>
    <x:row r="970">
      <x:c r="A970" s="26" t="str">
        <x:v>ColorPie!A97:E97</x:v>
      </x:c>
      <x:c r="B970" s="26" t="str">
        <x:v>Color Pie Ability</x:v>
      </x:c>
      <x:c r="C970" s="26" t="str">
        <x:v>Forced sacrifice, artifact</x:v>
      </x:c>
      <x:c r="D970" s="26" t="str">
        <x:v>Primary: Red</x:v>
      </x:c>
      <x:c r="E970" s="26" t="str">
        <x:v>Red can force you to sacrifice artifacts</x:v>
      </x:c>
      <x:c r="F970" s="26" t="str">
        <x:v>o:"Forced sacrifice, artifact"</x:v>
      </x:c>
      <x:c r="G970" s="26" t="str">
        <x:v>Needs refinement</x:v>
      </x:c>
      <x:c r="H970" s="26" t="str">
        <x:v>Color-pie semantic concept</x:v>
      </x:c>
      <x:c r="I970" s="26" t="str">
        <x:v>Oracle text</x:v>
      </x:c>
      <x:c r="J970" s="26" t="str">
        <x:v>o:sacrifice</x:v>
      </x:c>
      <x:c r="K970" s="26" t="str"/>
      <x:c r="L970" s="26" t="str">
        <x:v>forced sacrifice, artifact</x:v>
      </x:c>
      <x:c r="M970" s="26" t="str">
        <x:v>Use curated mapping; otherwise keep unresolved</x:v>
      </x:c>
      <x:c r="N970" s="26" t="str">
        <x:v>Review</x:v>
      </x:c>
      <x:c r="O970" s="43" t="n">
        <x:v>0.68</x:v>
      </x:c>
      <x:c r="P970" s="26" t="str">
        <x:v>Color Pie prose describes design space, not necessarily literal Oracle wording. Never use the source phrase as a blind o: search.</x:v>
      </x:c>
      <x:c r="Q970" s="26" t="str">
        <x:v>https://scryfall.com/docs/syntax</x:v>
      </x:c>
      <x:c r="R970" s="26" t="str">
        <x:v>2026-08-21</x:v>
      </x:c>
    </x:row>
    <x:row r="971">
      <x:c r="A971" s="26" t="str">
        <x:v>ColorPie!A98:E98</x:v>
      </x:c>
      <x:c r="B971" s="26" t="str">
        <x:v>Color Pie Ability</x:v>
      </x:c>
      <x:c r="C971" s="26" t="str">
        <x:v>Forced sacrifice, permanent</x:v>
      </x:c>
      <x:c r="D971" s="26" t="str">
        <x:v>Primary: Red | Secondary: Black</x:v>
      </x:c>
      <x:c r="E971" s="26" t="str">
        <x:v>Red can force any permanent; black doing more</x:v>
      </x:c>
      <x:c r="F971" s="26" t="str">
        <x:v>o:"Forced sacrifice, permanent"</x:v>
      </x:c>
      <x:c r="G971" s="26" t="str">
        <x:v>Needs refinement</x:v>
      </x:c>
      <x:c r="H971" s="26" t="str">
        <x:v>Color-pie semantic concept</x:v>
      </x:c>
      <x:c r="I971" s="26" t="str">
        <x:v>Oracle text</x:v>
      </x:c>
      <x:c r="J971" s="26" t="str">
        <x:v>o:sacrifice</x:v>
      </x:c>
      <x:c r="K971" s="26" t="str"/>
      <x:c r="L971" s="26" t="str">
        <x:v>forced sacrifice, permanent</x:v>
      </x:c>
      <x:c r="M971" s="26" t="str">
        <x:v>Use curated mapping; otherwise keep unresolved</x:v>
      </x:c>
      <x:c r="N971" s="26" t="str">
        <x:v>Review</x:v>
      </x:c>
      <x:c r="O971" s="43" t="n">
        <x:v>0.68</x:v>
      </x:c>
      <x:c r="P971" s="26" t="str">
        <x:v>Color Pie prose describes design space, not necessarily literal Oracle wording. Never use the source phrase as a blind o: search.</x:v>
      </x:c>
      <x:c r="Q971" s="26" t="str">
        <x:v>https://scryfall.com/docs/syntax</x:v>
      </x:c>
      <x:c r="R971" s="26" t="str">
        <x:v>2026-08-21</x:v>
      </x:c>
    </x:row>
    <x:row r="972">
      <x:c r="A972" s="26" t="str">
        <x:v>ColorPie!A99:E99</x:v>
      </x:c>
      <x:c r="B972" s="26" t="str">
        <x:v>Color Pie Ability</x:v>
      </x:c>
      <x:c r="C972" s="26" t="str">
        <x:v>"Freeze" creature</x:v>
      </x:c>
      <x:c r="D972" s="26" t="str">
        <x:v>Primary: Blue</x:v>
      </x:c>
      <x:c r="E972" s="26" t="str">
        <x:v>Tap target creature; doesn't untap during next untap step</x:v>
      </x:c>
      <x:c r="F972" s="26" t="str">
        <x:v>o:"\"Freeze\" creature"</x:v>
      </x:c>
      <x:c r="G972" s="26" t="str">
        <x:v>Needs refinement</x:v>
      </x:c>
      <x:c r="H972" s="26" t="str">
        <x:v>Color-pie semantic concept</x:v>
      </x:c>
      <x:c r="I972" s="26" t="str">
        <x:v>Semantic concept</x:v>
      </x:c>
      <x:c r="J972" s="26" t="str"/>
      <x:c r="K972" s="26" t="str"/>
      <x:c r="L972" s="26" t="str">
        <x:v>"freeze" creature</x:v>
      </x:c>
      <x:c r="M972" s="26" t="str">
        <x:v>Use curated mapping; otherwise keep unresolved</x:v>
      </x:c>
      <x:c r="N972" s="26" t="str">
        <x:v>Semantic</x:v>
      </x:c>
      <x:c r="O972" s="43" t="n">
        <x:v>0.3</x:v>
      </x:c>
      <x:c r="P972" s="26" t="str">
        <x:v>Color Pie prose describes design space, not necessarily literal Oracle wording. Never use the source phrase as a blind o: search.</x:v>
      </x:c>
      <x:c r="Q972" s="26" t="str">
        <x:v>https://scryfall.com/docs/syntax</x:v>
      </x:c>
      <x:c r="R972" s="26" t="str">
        <x:v>2026-08-21</x:v>
      </x:c>
    </x:row>
    <x:row r="973">
      <x:c r="A973" s="26" t="str">
        <x:v>ColorPie!A100:E100</x:v>
      </x:c>
      <x:c r="B973" s="26" t="str">
        <x:v>Color Pie Ability</x:v>
      </x:c>
      <x:c r="C973" s="26" t="str">
        <x:v>Friendly to artifacts</x:v>
      </x:c>
      <x:c r="D973" s="26" t="str">
        <x:v>Primary: White, Blue | Secondary: Red</x:v>
      </x:c>
      <x:c r="E973" s="26" t="str">
        <x:v>White/blue civilization colors; red Equipment/Vehicles</x:v>
      </x:c>
      <x:c r="F973" s="26" t="str">
        <x:v>o:"Friendly to artifacts"</x:v>
      </x:c>
      <x:c r="G973" s="26" t="str">
        <x:v>Needs refinement</x:v>
      </x:c>
      <x:c r="H973" s="26" t="str">
        <x:v>Color-pie semantic concept</x:v>
      </x:c>
      <x:c r="I973" s="26" t="str">
        <x:v>Semantic concept</x:v>
      </x:c>
      <x:c r="J973" s="26" t="str"/>
      <x:c r="K973" s="26" t="str"/>
      <x:c r="L973" s="26" t="str">
        <x:v>friendly to artifacts</x:v>
      </x:c>
      <x:c r="M973" s="26" t="str">
        <x:v>Use curated mapping; otherwise keep unresolved</x:v>
      </x:c>
      <x:c r="N973" s="26" t="str">
        <x:v>Semantic</x:v>
      </x:c>
      <x:c r="O973" s="43" t="n">
        <x:v>0.3</x:v>
      </x:c>
      <x:c r="P973" s="26" t="str">
        <x:v>Color Pie prose describes design space, not necessarily literal Oracle wording. Never use the source phrase as a blind o: search.</x:v>
      </x:c>
      <x:c r="Q973" s="26" t="str">
        <x:v>https://scryfall.com/docs/syntax</x:v>
      </x:c>
      <x:c r="R973" s="26" t="str">
        <x:v>2026-08-21</x:v>
      </x:c>
    </x:row>
    <x:row r="974">
      <x:c r="A974" s="26" t="str">
        <x:v>ColorPie!A101:E101</x:v>
      </x:c>
      <x:c r="B974" s="26" t="str">
        <x:v>Color Pie Ability</x:v>
      </x:c>
      <x:c r="C974" s="26" t="str">
        <x:v>Friendly to creatures</x:v>
      </x:c>
      <x:c r="D974" s="26" t="str">
        <x:v>Primary: Green | Secondary: White</x:v>
      </x:c>
      <x:c r="E974" s="26" t="str">
        <x:v>Green/white main creature colors</x:v>
      </x:c>
      <x:c r="F974" s="26" t="str">
        <x:v>o:"Friendly to creatures"</x:v>
      </x:c>
      <x:c r="G974" s="26" t="str">
        <x:v>Needs refinement</x:v>
      </x:c>
      <x:c r="H974" s="26" t="str">
        <x:v>Color-pie semantic concept</x:v>
      </x:c>
      <x:c r="I974" s="26" t="str">
        <x:v>Semantic concept</x:v>
      </x:c>
      <x:c r="J974" s="26" t="str"/>
      <x:c r="K974" s="26" t="str"/>
      <x:c r="L974" s="26" t="str">
        <x:v>friendly to creatures</x:v>
      </x:c>
      <x:c r="M974" s="26" t="str">
        <x:v>Use curated mapping; otherwise keep unresolved</x:v>
      </x:c>
      <x:c r="N974" s="26" t="str">
        <x:v>Semantic</x:v>
      </x:c>
      <x:c r="O974" s="43" t="n">
        <x:v>0.3</x:v>
      </x:c>
      <x:c r="P974" s="26" t="str">
        <x:v>Color Pie prose describes design space, not necessarily literal Oracle wording. Never use the source phrase as a blind o: search.</x:v>
      </x:c>
      <x:c r="Q974" s="26" t="str">
        <x:v>https://scryfall.com/docs/syntax</x:v>
      </x:c>
      <x:c r="R974" s="26" t="str">
        <x:v>2026-08-21</x:v>
      </x:c>
    </x:row>
    <x:row r="975">
      <x:c r="A975" s="26" t="str">
        <x:v>ColorPie!A102:E102</x:v>
      </x:c>
      <x:c r="B975" s="26" t="str">
        <x:v>Color Pie Ability</x:v>
      </x:c>
      <x:c r="C975" s="26" t="str">
        <x:v>Friendly to enchantments</x:v>
      </x:c>
      <x:c r="D975" s="26" t="str">
        <x:v>Primary: White, Green | Tertiary: Black</x:v>
      </x:c>
      <x:c r="E975" s="26" t="str">
        <x:v>Black sometimes in enchantment-themed sets</x:v>
      </x:c>
      <x:c r="F975" s="26" t="str">
        <x:v>o:"Friendly to enchantments"</x:v>
      </x:c>
      <x:c r="G975" s="26" t="str">
        <x:v>Needs refinement</x:v>
      </x:c>
      <x:c r="H975" s="26" t="str">
        <x:v>Color-pie semantic concept</x:v>
      </x:c>
      <x:c r="I975" s="26" t="str">
        <x:v>Semantic concept</x:v>
      </x:c>
      <x:c r="J975" s="26" t="str"/>
      <x:c r="K975" s="26" t="str"/>
      <x:c r="L975" s="26" t="str">
        <x:v>friendly to enchantments</x:v>
      </x:c>
      <x:c r="M975" s="26" t="str">
        <x:v>Use curated mapping; otherwise keep unresolved</x:v>
      </x:c>
      <x:c r="N975" s="26" t="str">
        <x:v>Semantic</x:v>
      </x:c>
      <x:c r="O975" s="43" t="n">
        <x:v>0.3</x:v>
      </x:c>
      <x:c r="P975" s="26" t="str">
        <x:v>Color Pie prose describes design space, not necessarily literal Oracle wording. Never use the source phrase as a blind o: search.</x:v>
      </x:c>
      <x:c r="Q975" s="26" t="str">
        <x:v>https://scryfall.com/docs/syntax</x:v>
      </x:c>
      <x:c r="R975" s="26" t="str">
        <x:v>2026-08-21</x:v>
      </x:c>
    </x:row>
    <x:row r="976">
      <x:c r="A976" s="26" t="str">
        <x:v>ColorPie!A103:E103</x:v>
      </x:c>
      <x:c r="B976" s="26" t="str">
        <x:v>Color Pie Ability</x:v>
      </x:c>
      <x:c r="C976" s="26" t="str">
        <x:v>Friendly to instants and sorceries</x:v>
      </x:c>
      <x:c r="D976" s="26" t="str">
        <x:v>Primary: Blue | Secondary: Red</x:v>
      </x:c>
      <x:c r="E976" s="26" t="str">
        <x:v>Spell colors like instants and sorceries</x:v>
      </x:c>
      <x:c r="F976" s="26" t="str">
        <x:v>o:"Friendly to instants and sorceries"</x:v>
      </x:c>
      <x:c r="G976" s="26" t="str">
        <x:v>Needs refinement</x:v>
      </x:c>
      <x:c r="H976" s="26" t="str">
        <x:v>Color-pie semantic concept</x:v>
      </x:c>
      <x:c r="I976" s="26" t="str">
        <x:v>Semantic concept</x:v>
      </x:c>
      <x:c r="J976" s="26" t="str"/>
      <x:c r="K976" s="26" t="str"/>
      <x:c r="L976" s="26" t="str">
        <x:v>friendly to instants and sorceries</x:v>
      </x:c>
      <x:c r="M976" s="26" t="str">
        <x:v>Use curated mapping; otherwise keep unresolved</x:v>
      </x:c>
      <x:c r="N976" s="26" t="str">
        <x:v>Semantic</x:v>
      </x:c>
      <x:c r="O976" s="43" t="n">
        <x:v>0.3</x:v>
      </x:c>
      <x:c r="P976" s="26" t="str">
        <x:v>Color Pie prose describes design space, not necessarily literal Oracle wording. Never use the source phrase as a blind o: search.</x:v>
      </x:c>
      <x:c r="Q976" s="26" t="str">
        <x:v>https://scryfall.com/docs/syntax</x:v>
      </x:c>
      <x:c r="R976" s="26" t="str">
        <x:v>2026-08-21</x:v>
      </x:c>
    </x:row>
    <x:row r="977">
      <x:c r="A977" s="26" t="str">
        <x:v>ColorPie!A104:E104</x:v>
      </x:c>
      <x:c r="B977" s="26" t="str">
        <x:v>Color Pie Ability</x:v>
      </x:c>
      <x:c r="C977" s="26" t="str">
        <x:v>Friendly to lands</x:v>
      </x:c>
      <x:c r="D977" s="26" t="str">
        <x:v>Primary: Green | Secondary: White, Blue, Black, Red</x:v>
      </x:c>
      <x:c r="E977" s="26" t="str">
        <x:v>Green loves lands most; every color loves its basic land type</x:v>
      </x:c>
      <x:c r="F977" s="26" t="str">
        <x:v>o:"Friendly to lands"</x:v>
      </x:c>
      <x:c r="G977" s="26" t="str">
        <x:v>Needs refinement</x:v>
      </x:c>
      <x:c r="H977" s="26" t="str">
        <x:v>Color-pie semantic concept</x:v>
      </x:c>
      <x:c r="I977" s="26" t="str">
        <x:v>Semantic concept</x:v>
      </x:c>
      <x:c r="J977" s="26" t="str"/>
      <x:c r="K977" s="26" t="str"/>
      <x:c r="L977" s="26" t="str">
        <x:v>friendly to lands</x:v>
      </x:c>
      <x:c r="M977" s="26" t="str">
        <x:v>Use curated mapping; otherwise keep unresolved</x:v>
      </x:c>
      <x:c r="N977" s="26" t="str">
        <x:v>Semantic</x:v>
      </x:c>
      <x:c r="O977" s="43" t="n">
        <x:v>0.3</x:v>
      </x:c>
      <x:c r="P977" s="26" t="str">
        <x:v>Color Pie prose describes design space, not necessarily literal Oracle wording. Never use the source phrase as a blind o: search.</x:v>
      </x:c>
      <x:c r="Q977" s="26" t="str">
        <x:v>https://scryfall.com/docs/syntax</x:v>
      </x:c>
      <x:c r="R977" s="26" t="str">
        <x:v>2026-08-21</x:v>
      </x:c>
    </x:row>
    <x:row r="978">
      <x:c r="A978" s="26" t="str">
        <x:v>ColorPie!A105:E105</x:v>
      </x:c>
      <x:c r="B978" s="26" t="str">
        <x:v>Color Pie Ability</x:v>
      </x:c>
      <x:c r="C978" s="26" t="str">
        <x:v>Friendly to planeswalkers</x:v>
      </x:c>
      <x:c r="D978" s="26" t="str">
        <x:v>Primary: White</x:v>
      </x:c>
      <x:c r="E978" s="26" t="str">
        <x:v>White searches/returns planeswalkers</x:v>
      </x:c>
      <x:c r="F978" s="26" t="str">
        <x:v>o:"Friendly to planeswalkers"</x:v>
      </x:c>
      <x:c r="G978" s="26" t="str">
        <x:v>Needs refinement</x:v>
      </x:c>
      <x:c r="H978" s="26" t="str">
        <x:v>Color-pie semantic concept</x:v>
      </x:c>
      <x:c r="I978" s="26" t="str">
        <x:v>Semantic concept</x:v>
      </x:c>
      <x:c r="J978" s="26" t="str"/>
      <x:c r="K978" s="26" t="str"/>
      <x:c r="L978" s="26" t="str">
        <x:v>friendly to planeswalkers</x:v>
      </x:c>
      <x:c r="M978" s="26" t="str">
        <x:v>Use curated mapping; otherwise keep unresolved</x:v>
      </x:c>
      <x:c r="N978" s="26" t="str">
        <x:v>Semantic</x:v>
      </x:c>
      <x:c r="O978" s="43" t="n">
        <x:v>0.3</x:v>
      </x:c>
      <x:c r="P978" s="26" t="str">
        <x:v>Color Pie prose describes design space, not necessarily literal Oracle wording. Never use the source phrase as a blind o: search.</x:v>
      </x:c>
      <x:c r="Q978" s="26" t="str">
        <x:v>https://scryfall.com/docs/syntax</x:v>
      </x:c>
      <x:c r="R978" s="26" t="str">
        <x:v>2026-08-21</x:v>
      </x:c>
    </x:row>
    <x:row r="979">
      <x:c r="A979" s="26" t="str">
        <x:v>ColorPie!A106:E106</x:v>
      </x:c>
      <x:c r="B979" s="26" t="str">
        <x:v>Color Pie Ability</x:v>
      </x:c>
      <x:c r="C979" s="26" t="str">
        <x:v>Friendly to legendary permanents</x:v>
      </x:c>
      <x:c r="D979" s="26" t="str">
        <x:v>Primary: White</x:v>
      </x:c>
      <x:c r="E979" s="26" t="str">
        <x:v>White searches/returns legendary permanents</x:v>
      </x:c>
      <x:c r="F979" s="26" t="str">
        <x:v>o:"Friendly to legendary permanents"</x:v>
      </x:c>
      <x:c r="G979" s="26" t="str">
        <x:v>Needs refinement</x:v>
      </x:c>
      <x:c r="H979" s="26" t="str">
        <x:v>Color-pie semantic concept</x:v>
      </x:c>
      <x:c r="I979" s="26" t="str">
        <x:v>Semantic concept</x:v>
      </x:c>
      <x:c r="J979" s="26" t="str"/>
      <x:c r="K979" s="26" t="str"/>
      <x:c r="L979" s="26" t="str">
        <x:v>friendly to legendary permanents</x:v>
      </x:c>
      <x:c r="M979" s="26" t="str">
        <x:v>Use curated mapping; otherwise keep unresolved</x:v>
      </x:c>
      <x:c r="N979" s="26" t="str">
        <x:v>Semantic</x:v>
      </x:c>
      <x:c r="O979" s="43" t="n">
        <x:v>0.3</x:v>
      </x:c>
      <x:c r="P979" s="26" t="str">
        <x:v>Color Pie prose describes design space, not necessarily literal Oracle wording. Never use the source phrase as a blind o: search.</x:v>
      </x:c>
      <x:c r="Q979" s="26" t="str">
        <x:v>https://scryfall.com/docs/syntax</x:v>
      </x:c>
      <x:c r="R979" s="26" t="str">
        <x:v>2026-08-21</x:v>
      </x:c>
    </x:row>
    <x:row r="980">
      <x:c r="A980" s="26" t="str">
        <x:v>ColorPie!A107:E107</x:v>
      </x:c>
      <x:c r="B980" s="26" t="str">
        <x:v>Color Pie Ability</x:v>
      </x:c>
      <x:c r="C980" s="26" t="str">
        <x:v>Friendly to low mana value cards</x:v>
      </x:c>
      <x:c r="D980" s="26" t="str">
        <x:v>Primary: White</x:v>
      </x:c>
      <x:c r="E980" s="26" t="str">
        <x:v>White interacts with mana value 3 or less cards</x:v>
      </x:c>
      <x:c r="F980" s="26" t="str">
        <x:v>o:"Friendly to low mana value cards"</x:v>
      </x:c>
      <x:c r="G980" s="26" t="str">
        <x:v>Needs refinement</x:v>
      </x:c>
      <x:c r="H980" s="26" t="str">
        <x:v>Color-pie semantic concept</x:v>
      </x:c>
      <x:c r="I980" s="26" t="str">
        <x:v>Semantic concept</x:v>
      </x:c>
      <x:c r="J980" s="26" t="str"/>
      <x:c r="K980" s="26" t="str"/>
      <x:c r="L980" s="26" t="str">
        <x:v>friendly to low mana value cards</x:v>
      </x:c>
      <x:c r="M980" s="26" t="str">
        <x:v>Use curated mapping; otherwise keep unresolved</x:v>
      </x:c>
      <x:c r="N980" s="26" t="str">
        <x:v>Semantic</x:v>
      </x:c>
      <x:c r="O980" s="43" t="n">
        <x:v>0.3</x:v>
      </x:c>
      <x:c r="P980" s="26" t="str">
        <x:v>Color Pie prose describes design space, not necessarily literal Oracle wording. Never use the source phrase as a blind o: search.</x:v>
      </x:c>
      <x:c r="Q980" s="26" t="str">
        <x:v>https://scryfall.com/docs/syntax</x:v>
      </x:c>
      <x:c r="R980" s="26" t="str">
        <x:v>2026-08-21</x:v>
      </x:c>
    </x:row>
    <x:row r="981">
      <x:c r="A981" s="26" t="str">
        <x:v>ColorPie!A108:E108</x:v>
      </x:c>
      <x:c r="B981" s="26" t="str">
        <x:v>Color Pie Ability</x:v>
      </x:c>
      <x:c r="C981" s="26" t="str">
        <x:v>Gain control of target player's turn</x:v>
      </x:c>
      <x:c r="D981" s="26" t="str">
        <x:v>Primary: Black</x:v>
      </x:c>
      <x:c r="E981" s="26" t="str">
        <x:v>Most often colorless; black in color pie</x:v>
      </x:c>
      <x:c r="F981" s="26" t="str">
        <x:v>o:"Gain control of target player's turn"</x:v>
      </x:c>
      <x:c r="G981" s="26" t="str">
        <x:v>Needs refinement</x:v>
      </x:c>
      <x:c r="H981" s="26" t="str">
        <x:v>Color-pie semantic concept</x:v>
      </x:c>
      <x:c r="I981" s="26" t="str">
        <x:v>Semantic concept</x:v>
      </x:c>
      <x:c r="J981" s="26" t="str"/>
      <x:c r="K981" s="26" t="str"/>
      <x:c r="L981" s="26" t="str">
        <x:v>gain control of target player's turn</x:v>
      </x:c>
      <x:c r="M981" s="26" t="str">
        <x:v>Use curated mapping; otherwise keep unresolved</x:v>
      </x:c>
      <x:c r="N981" s="26" t="str">
        <x:v>Semantic</x:v>
      </x:c>
      <x:c r="O981" s="43" t="n">
        <x:v>0.3</x:v>
      </x:c>
      <x:c r="P981" s="26" t="str">
        <x:v>Color Pie prose describes design space, not necessarily literal Oracle wording. Never use the source phrase as a blind o: search.</x:v>
      </x:c>
      <x:c r="Q981" s="26" t="str">
        <x:v>https://scryfall.com/docs/syntax</x:v>
      </x:c>
      <x:c r="R981" s="26" t="str">
        <x:v>2026-08-21</x:v>
      </x:c>
    </x:row>
    <x:row r="982">
      <x:c r="A982" s="26" t="str">
        <x:v>ColorPie!A109:E109</x:v>
      </x:c>
      <x:c r="B982" s="26" t="str">
        <x:v>Color Pie Ability</x:v>
      </x:c>
      <x:c r="C982" s="26" t="str">
        <x:v>"Gaseous Form"</x:v>
      </x:c>
      <x:c r="D982" s="26" t="str">
        <x:v>Primary: White | Secondary: Blue</x:v>
      </x:c>
      <x:c r="E982" s="26" t="str">
        <x:v>Creature neither deals nor receives damage</x:v>
      </x:c>
      <x:c r="F982" s="26" t="str">
        <x:v>o:"\"Gaseous Form\""</x:v>
      </x:c>
      <x:c r="G982" s="26" t="str">
        <x:v>Needs refinement</x:v>
      </x:c>
      <x:c r="H982" s="26" t="str">
        <x:v>Color-pie semantic concept</x:v>
      </x:c>
      <x:c r="I982" s="26" t="str">
        <x:v>Semantic concept</x:v>
      </x:c>
      <x:c r="J982" s="26" t="str"/>
      <x:c r="K982" s="26" t="str"/>
      <x:c r="L982" s="26" t="str">
        <x:v>"gaseous form"</x:v>
      </x:c>
      <x:c r="M982" s="26" t="str">
        <x:v>Use curated mapping; otherwise keep unresolved</x:v>
      </x:c>
      <x:c r="N982" s="26" t="str">
        <x:v>Semantic</x:v>
      </x:c>
      <x:c r="O982" s="43" t="n">
        <x:v>0.3</x:v>
      </x:c>
      <x:c r="P982" s="26" t="str">
        <x:v>Color Pie prose describes design space, not necessarily literal Oracle wording. Never use the source phrase as a blind o: search.</x:v>
      </x:c>
      <x:c r="Q982" s="26" t="str">
        <x:v>https://scryfall.com/docs/syntax</x:v>
      </x:c>
      <x:c r="R982" s="26" t="str">
        <x:v>2026-08-21</x:v>
      </x:c>
    </x:row>
    <x:row r="983">
      <x:c r="A983" s="26" t="str">
        <x:v>ColorPie!A110:E110</x:v>
      </x:c>
      <x:c r="B983" s="26" t="str">
        <x:v>Color Pie Ability</x:v>
      </x:c>
      <x:c r="C983" s="26" t="str">
        <x:v>Haste</x:v>
      </x:c>
      <x:c r="D983" s="26" t="str">
        <x:v>Primary: Red | Secondary: Black, Green</x:v>
      </x:c>
      <x:c r="E983" s="26" t="str">
        <x:v>Red most often; green moved to second; black less often</x:v>
      </x:c>
      <x:c r="F983" s="26" t="str">
        <x:v>o:"Haste"</x:v>
      </x:c>
      <x:c r="G983" s="26" t="str">
        <x:v>Needs refinement</x:v>
      </x:c>
      <x:c r="H983" s="26" t="str">
        <x:v>Color-pie semantic concept</x:v>
      </x:c>
      <x:c r="I983" s="26" t="str">
        <x:v>Semantic concept</x:v>
      </x:c>
      <x:c r="J983" s="26" t="str"/>
      <x:c r="K983" s="26" t="str"/>
      <x:c r="L983" s="26" t="str">
        <x:v>haste</x:v>
      </x:c>
      <x:c r="M983" s="26" t="str">
        <x:v>Use curated mapping; otherwise keep unresolved</x:v>
      </x:c>
      <x:c r="N983" s="26" t="str">
        <x:v>Semantic</x:v>
      </x:c>
      <x:c r="O983" s="43" t="n">
        <x:v>0.3</x:v>
      </x:c>
      <x:c r="P983" s="26" t="str">
        <x:v>Color Pie prose describes design space, not necessarily literal Oracle wording. Never use the source phrase as a blind o: search.</x:v>
      </x:c>
      <x:c r="Q983" s="26" t="str">
        <x:v>https://scryfall.com/docs/syntax</x:v>
      </x:c>
      <x:c r="R983" s="26" t="str">
        <x:v>2026-08-21</x:v>
      </x:c>
    </x:row>
    <x:row r="984">
      <x:c r="A984" s="26" t="str">
        <x:v>ColorPie!A111:E111</x:v>
      </x:c>
      <x:c r="B984" s="26" t="str">
        <x:v>Color Pie Ability</x:v>
      </x:c>
      <x:c r="C984" s="26" t="str">
        <x:v>Hexproof</x:v>
      </x:c>
      <x:c r="D984" s="26" t="str">
        <x:v>Primary: Blue | Secondary: Green | Tertiary: White</x:v>
      </x:c>
      <x:c r="E984" s="26" t="str">
        <x:v>Blue most often grants; green on larger creatures; white infrequently</x:v>
      </x:c>
      <x:c r="F984" s="26" t="str">
        <x:v>o:"Hexproof"</x:v>
      </x:c>
      <x:c r="G984" s="26" t="str">
        <x:v>Needs refinement</x:v>
      </x:c>
      <x:c r="H984" s="26" t="str">
        <x:v>Color-pie semantic concept</x:v>
      </x:c>
      <x:c r="I984" s="26" t="str">
        <x:v>Semantic concept</x:v>
      </x:c>
      <x:c r="J984" s="26" t="str"/>
      <x:c r="K984" s="26" t="str"/>
      <x:c r="L984" s="26" t="str">
        <x:v>hexproof</x:v>
      </x:c>
      <x:c r="M984" s="26" t="str">
        <x:v>Use curated mapping; otherwise keep unresolved</x:v>
      </x:c>
      <x:c r="N984" s="26" t="str">
        <x:v>Semantic</x:v>
      </x:c>
      <x:c r="O984" s="43" t="n">
        <x:v>0.3</x:v>
      </x:c>
      <x:c r="P984" s="26" t="str">
        <x:v>Color Pie prose describes design space, not necessarily literal Oracle wording. Never use the source phrase as a blind o: search.</x:v>
      </x:c>
      <x:c r="Q984" s="26" t="str">
        <x:v>https://scryfall.com/docs/syntax</x:v>
      </x:c>
      <x:c r="R984" s="26" t="str">
        <x:v>2026-08-21</x:v>
      </x:c>
    </x:row>
    <x:row r="985">
      <x:c r="A985" s="26" t="str">
        <x:v>ColorPie!A112:E112</x:v>
      </x:c>
      <x:c r="B985" s="26" t="str">
        <x:v>Color Pie Ability</x:v>
      </x:c>
      <x:c r="C985" s="26" t="str">
        <x:v>"Illusion ability"</x:v>
      </x:c>
      <x:c r="D985" s="26" t="str">
        <x:v>Primary: Blue</x:v>
      </x:c>
      <x:c r="E985" s="26" t="str">
        <x:v>Sacrifice creature if targeted by a spell</x:v>
      </x:c>
      <x:c r="F985" s="26" t="str">
        <x:v>o:"\"Illusion ability\""</x:v>
      </x:c>
      <x:c r="G985" s="26" t="str">
        <x:v>Needs refinement</x:v>
      </x:c>
      <x:c r="H985" s="26" t="str">
        <x:v>Color-pie semantic concept</x:v>
      </x:c>
      <x:c r="I985" s="26" t="str">
        <x:v>Semantic concept</x:v>
      </x:c>
      <x:c r="J985" s="26" t="str"/>
      <x:c r="K985" s="26" t="str"/>
      <x:c r="L985" s="26" t="str">
        <x:v>"illusion ability"</x:v>
      </x:c>
      <x:c r="M985" s="26" t="str">
        <x:v>Use curated mapping; otherwise keep unresolved</x:v>
      </x:c>
      <x:c r="N985" s="26" t="str">
        <x:v>Semantic</x:v>
      </x:c>
      <x:c r="O985" s="43" t="n">
        <x:v>0.3</x:v>
      </x:c>
      <x:c r="P985" s="26" t="str">
        <x:v>Color Pie prose describes design space, not necessarily literal Oracle wording. Never use the source phrase as a blind o: search.</x:v>
      </x:c>
      <x:c r="Q985" s="26" t="str">
        <x:v>https://scryfall.com/docs/syntax</x:v>
      </x:c>
      <x:c r="R985" s="26" t="str">
        <x:v>2026-08-21</x:v>
      </x:c>
    </x:row>
    <x:row r="986">
      <x:c r="A986" s="26" t="str">
        <x:v>ColorPie!A113:E113</x:v>
      </x:c>
      <x:c r="B986" s="26" t="str">
        <x:v>Color Pie Ability</x:v>
      </x:c>
      <x:c r="C986" s="26" t="str">
        <x:v>"Impulsive draw"</x:v>
      </x:c>
      <x:c r="D986" s="26" t="str">
        <x:v>Primary: Red</x:v>
      </x:c>
      <x:c r="E986" s="26" t="str">
        <x:v>Exile top N cards; may play until end of turn</x:v>
      </x:c>
      <x:c r="F986" s="26" t="str">
        <x:v>o:"\"Impulsive draw\""</x:v>
      </x:c>
      <x:c r="G986" s="26" t="str">
        <x:v>Needs refinement</x:v>
      </x:c>
      <x:c r="H986" s="26" t="str">
        <x:v>Color-pie semantic concept</x:v>
      </x:c>
      <x:c r="I986" s="26" t="str">
        <x:v>Semantic concept</x:v>
      </x:c>
      <x:c r="J986" s="26" t="str"/>
      <x:c r="K986" s="26" t="str"/>
      <x:c r="L986" s="26" t="str">
        <x:v>"impulsive draw"</x:v>
      </x:c>
      <x:c r="M986" s="26" t="str">
        <x:v>Use curated mapping; otherwise keep unresolved</x:v>
      </x:c>
      <x:c r="N986" s="26" t="str">
        <x:v>Semantic</x:v>
      </x:c>
      <x:c r="O986" s="43" t="n">
        <x:v>0.3</x:v>
      </x:c>
      <x:c r="P986" s="26" t="str">
        <x:v>Color Pie prose describes design space, not necessarily literal Oracle wording. Never use the source phrase as a blind o: search.</x:v>
      </x:c>
      <x:c r="Q986" s="26" t="str">
        <x:v>https://scryfall.com/docs/syntax</x:v>
      </x:c>
      <x:c r="R986" s="26" t="str">
        <x:v>2026-08-21</x:v>
      </x:c>
    </x:row>
    <x:row r="987">
      <x:c r="A987" s="26" t="str">
        <x:v>ColorPie!A114:E114</x:v>
      </x:c>
      <x:c r="B987" s="26" t="str">
        <x:v>Color Pie Ability</x:v>
      </x:c>
      <x:c r="C987" s="26" t="str">
        <x:v>Increasing counters and/or tokens</x:v>
      </x:c>
      <x:c r="D987" s="26" t="str">
        <x:v>Primary: Blue, Green | Secondary: White</x:v>
      </x:c>
      <x:c r="E987" s="26" t="str">
        <x:v>Makes more counters/tokens as made or after</x:v>
      </x:c>
      <x:c r="F987" s="26" t="str">
        <x:v>o:"Increasing counters and/or tokens"</x:v>
      </x:c>
      <x:c r="G987" s="26" t="str">
        <x:v>Needs refinement</x:v>
      </x:c>
      <x:c r="H987" s="26" t="str">
        <x:v>Color-pie semantic concept</x:v>
      </x:c>
      <x:c r="I987" s="26" t="str">
        <x:v>Oracle regex</x:v>
      </x:c>
      <x:c r="J987" s="26" t="str">
        <x:v>o:/create.*token/</x:v>
      </x:c>
      <x:c r="K987" s="26" t="str"/>
      <x:c r="L987" s="26" t="str">
        <x:v>increasing counters and/or tokens</x:v>
      </x:c>
      <x:c r="M987" s="26" t="str">
        <x:v>Use curated mapping; otherwise keep unresolved</x:v>
      </x:c>
      <x:c r="N987" s="26" t="str">
        <x:v>Review</x:v>
      </x:c>
      <x:c r="O987" s="43" t="n">
        <x:v>0.68</x:v>
      </x:c>
      <x:c r="P987" s="26" t="str">
        <x:v>Color Pie prose describes design space, not necessarily literal Oracle wording. Never use the source phrase as a blind o: search.</x:v>
      </x:c>
      <x:c r="Q987" s="26" t="str">
        <x:v>https://scryfall.com/docs/syntax</x:v>
      </x:c>
      <x:c r="R987" s="26" t="str">
        <x:v>2026-08-21</x:v>
      </x:c>
    </x:row>
    <x:row r="988">
      <x:c r="A988" s="26" t="str">
        <x:v>ColorPie!A115:E115</x:v>
      </x:c>
      <x:c r="B988" s="26" t="str">
        <x:v>Color Pie Ability</x:v>
      </x:c>
      <x:c r="C988" s="26" t="str">
        <x:v>Indestructible</x:v>
      </x:c>
      <x:c r="D988" s="26" t="str">
        <x:v>Primary: White | Secondary: Black, Green | Tertiary: Blue, Red</x:v>
      </x:c>
      <x:c r="E988" s="26" t="str">
        <x:v>White/green naturally; black/green replacement for regeneration</x:v>
      </x:c>
      <x:c r="F988" s="26" t="str">
        <x:v>o:"Indestructible"</x:v>
      </x:c>
      <x:c r="G988" s="26" t="str">
        <x:v>Needs refinement</x:v>
      </x:c>
      <x:c r="H988" s="26" t="str">
        <x:v>Color-pie semantic concept</x:v>
      </x:c>
      <x:c r="I988" s="26" t="str">
        <x:v>Semantic concept</x:v>
      </x:c>
      <x:c r="J988" s="26" t="str"/>
      <x:c r="K988" s="26" t="str"/>
      <x:c r="L988" s="26" t="str">
        <x:v>indestructible</x:v>
      </x:c>
      <x:c r="M988" s="26" t="str">
        <x:v>Use curated mapping; otherwise keep unresolved</x:v>
      </x:c>
      <x:c r="N988" s="26" t="str">
        <x:v>Semantic</x:v>
      </x:c>
      <x:c r="O988" s="43" t="n">
        <x:v>0.3</x:v>
      </x:c>
      <x:c r="P988" s="26" t="str">
        <x:v>Color Pie prose describes design space, not necessarily literal Oracle wording. Never use the source phrase as a blind o: search.</x:v>
      </x:c>
      <x:c r="Q988" s="26" t="str">
        <x:v>https://scryfall.com/docs/syntax</x:v>
      </x:c>
      <x:c r="R988" s="26" t="str">
        <x:v>2026-08-21</x:v>
      </x:c>
    </x:row>
    <x:row r="989">
      <x:c r="A989" s="26" t="str">
        <x:v>ColorPie!A116:E116</x:v>
      </x:c>
      <x:c r="B989" s="26" t="str">
        <x:v>Color Pie Ability</x:v>
      </x:c>
      <x:c r="C989" s="26" t="str">
        <x:v>Instant/sorcery triggers</x:v>
      </x:c>
      <x:c r="D989" s="26" t="str">
        <x:v>Primary: Blue, Red</x:v>
      </x:c>
      <x:c r="E989" s="26" t="str">
        <x:v>Whenever you cast an instant and/or sorcery</x:v>
      </x:c>
      <x:c r="F989" s="26" t="str">
        <x:v>o:"Instant/sorcery triggers"</x:v>
      </x:c>
      <x:c r="G989" s="26" t="str">
        <x:v>Needs refinement</x:v>
      </x:c>
      <x:c r="H989" s="26" t="str">
        <x:v>Color-pie semantic concept</x:v>
      </x:c>
      <x:c r="I989" s="26" t="str">
        <x:v>Semantic concept</x:v>
      </x:c>
      <x:c r="J989" s="26" t="str"/>
      <x:c r="K989" s="26" t="str"/>
      <x:c r="L989" s="26" t="str">
        <x:v>instant/sorcery triggers</x:v>
      </x:c>
      <x:c r="M989" s="26" t="str">
        <x:v>Use curated mapping; otherwise keep unresolved</x:v>
      </x:c>
      <x:c r="N989" s="26" t="str">
        <x:v>Semantic</x:v>
      </x:c>
      <x:c r="O989" s="43" t="n">
        <x:v>0.3</x:v>
      </x:c>
      <x:c r="P989" s="26" t="str">
        <x:v>Color Pie prose describes design space, not necessarily literal Oracle wording. Never use the source phrase as a blind o: search.</x:v>
      </x:c>
      <x:c r="Q989" s="26" t="str">
        <x:v>https://scryfall.com/docs/syntax</x:v>
      </x:c>
      <x:c r="R989" s="26" t="str">
        <x:v>2026-08-21</x:v>
      </x:c>
    </x:row>
    <x:row r="990">
      <x:c r="A990" s="26" t="str">
        <x:v>ColorPie!A117:E117</x:v>
      </x:c>
      <x:c r="B990" s="26" t="str">
        <x:v>Color Pie Ability</x:v>
      </x:c>
      <x:c r="C990" s="26" t="str">
        <x:v>Land destruction</x:v>
      </x:c>
      <x:c r="D990" s="26" t="str">
        <x:v>Primary: Red | Tertiary: Black, Green</x:v>
      </x:c>
      <x:c r="E990" s="26" t="str">
        <x:v>Red regularly; black/green very infrequently</x:v>
      </x:c>
      <x:c r="F990" s="26" t="str">
        <x:v>o:"Land destruction"</x:v>
      </x:c>
      <x:c r="G990" s="26" t="str">
        <x:v>Needs refinement</x:v>
      </x:c>
      <x:c r="H990" s="26" t="str">
        <x:v>Color-pie semantic concept</x:v>
      </x:c>
      <x:c r="I990" s="26" t="str">
        <x:v>Semantic concept</x:v>
      </x:c>
      <x:c r="J990" s="26" t="str"/>
      <x:c r="K990" s="26" t="str"/>
      <x:c r="L990" s="26" t="str">
        <x:v>land destruction</x:v>
      </x:c>
      <x:c r="M990" s="26" t="str">
        <x:v>Use curated mapping; otherwise keep unresolved</x:v>
      </x:c>
      <x:c r="N990" s="26" t="str">
        <x:v>Semantic</x:v>
      </x:c>
      <x:c r="O990" s="43" t="n">
        <x:v>0.3</x:v>
      </x:c>
      <x:c r="P990" s="26" t="str">
        <x:v>Color Pie prose describes design space, not necessarily literal Oracle wording. Never use the source phrase as a blind o: search.</x:v>
      </x:c>
      <x:c r="Q990" s="26" t="str">
        <x:v>https://scryfall.com/docs/syntax</x:v>
      </x:c>
      <x:c r="R990" s="26" t="str">
        <x:v>2026-08-21</x:v>
      </x:c>
    </x:row>
    <x:row r="991">
      <x:c r="A991" s="26" t="str">
        <x:v>ColorPie!A118:E118</x:v>
      </x:c>
      <x:c r="B991" s="26" t="str">
        <x:v>Color Pie Ability</x:v>
      </x:c>
      <x:c r="C991" s="26" t="str">
        <x:v>"Lhurgoyf"</x:v>
      </x:c>
      <x:c r="D991" s="26" t="str">
        <x:v>Primary: Green | Secondary: Black | Tertiary: White, Blue, Red</x:v>
      </x:c>
      <x:c r="E991" s="26" t="str">
        <x:v>Power/toughness equal to cards in graveyards</x:v>
      </x:c>
      <x:c r="F991" s="26" t="str">
        <x:v>o:"\"Lhurgoyf\""</x:v>
      </x:c>
      <x:c r="G991" s="26" t="str">
        <x:v>Needs refinement</x:v>
      </x:c>
      <x:c r="H991" s="26" t="str">
        <x:v>Color-pie semantic concept</x:v>
      </x:c>
      <x:c r="I991" s="26" t="str">
        <x:v>Semantic concept</x:v>
      </x:c>
      <x:c r="J991" s="26" t="str"/>
      <x:c r="K991" s="26" t="str"/>
      <x:c r="L991" s="26" t="str">
        <x:v>"lhurgoyf"</x:v>
      </x:c>
      <x:c r="M991" s="26" t="str">
        <x:v>Use curated mapping; otherwise keep unresolved</x:v>
      </x:c>
      <x:c r="N991" s="26" t="str">
        <x:v>Semantic</x:v>
      </x:c>
      <x:c r="O991" s="43" t="n">
        <x:v>0.3</x:v>
      </x:c>
      <x:c r="P991" s="26" t="str">
        <x:v>Color Pie prose describes design space, not necessarily literal Oracle wording. Never use the source phrase as a blind o: search.</x:v>
      </x:c>
      <x:c r="Q991" s="26" t="str">
        <x:v>https://scryfall.com/docs/syntax</x:v>
      </x:c>
      <x:c r="R991" s="26" t="str">
        <x:v>2026-08-21</x:v>
      </x:c>
    </x:row>
    <x:row r="992">
      <x:c r="A992" s="26" t="str">
        <x:v>ColorPie!A119:E119</x:v>
      </x:c>
      <x:c r="B992" s="26" t="str">
        <x:v>Color Pie Ability</x:v>
      </x:c>
      <x:c r="C992" s="26" t="str">
        <x:v>Life gain</x:v>
      </x:c>
      <x:c r="D992" s="26" t="str">
        <x:v>Primary: White, Green | Secondary: Black</x:v>
      </x:c>
      <x:c r="E992" s="26" t="str">
        <x:v>White/green simply gain; black only with sacrifice/lifelink/damage</x:v>
      </x:c>
      <x:c r="F992" s="26" t="str">
        <x:v>o:"Life gain"</x:v>
      </x:c>
      <x:c r="G992" s="26" t="str">
        <x:v>Needs refinement</x:v>
      </x:c>
      <x:c r="H992" s="26" t="str">
        <x:v>Color-pie semantic concept</x:v>
      </x:c>
      <x:c r="I992" s="26" t="str">
        <x:v>Oracle regex</x:v>
      </x:c>
      <x:c r="J992" s="26" t="str">
        <x:v>o:/gain.*life/</x:v>
      </x:c>
      <x:c r="K992" s="26" t="str"/>
      <x:c r="L992" s="26" t="str">
        <x:v>life gain</x:v>
      </x:c>
      <x:c r="M992" s="26" t="str">
        <x:v>Use curated mapping; otherwise keep unresolved</x:v>
      </x:c>
      <x:c r="N992" s="26" t="str">
        <x:v>Review</x:v>
      </x:c>
      <x:c r="O992" s="43" t="n">
        <x:v>0.68</x:v>
      </x:c>
      <x:c r="P992" s="26" t="str">
        <x:v>Color Pie prose describes design space, not necessarily literal Oracle wording. Never use the source phrase as a blind o: search.</x:v>
      </x:c>
      <x:c r="Q992" s="26" t="str">
        <x:v>https://scryfall.com/docs/syntax</x:v>
      </x:c>
      <x:c r="R992" s="26" t="str">
        <x:v>2026-08-21</x:v>
      </x:c>
    </x:row>
    <x:row r="993">
      <x:c r="A993" s="26" t="str">
        <x:v>ColorPie!A120:E120</x:v>
      </x:c>
      <x:c r="B993" s="26" t="str">
        <x:v>Color Pie Ability</x:v>
      </x:c>
      <x:c r="C993" s="26" t="str">
        <x:v>Life loss as an effect</x:v>
      </x:c>
      <x:c r="D993" s="26" t="str">
        <x:v>Primary: Black</x:v>
      </x:c>
      <x:c r="E993" s="26" t="str">
        <x:v>Black makes players lose life without drain</x:v>
      </x:c>
      <x:c r="F993" s="26" t="str">
        <x:v>o:"Life loss as an effect"</x:v>
      </x:c>
      <x:c r="G993" s="26" t="str">
        <x:v>Needs refinement</x:v>
      </x:c>
      <x:c r="H993" s="26" t="str">
        <x:v>Color-pie semantic concept</x:v>
      </x:c>
      <x:c r="I993" s="26" t="str">
        <x:v>Semantic concept</x:v>
      </x:c>
      <x:c r="J993" s="26" t="str"/>
      <x:c r="K993" s="26" t="str"/>
      <x:c r="L993" s="26" t="str">
        <x:v>life loss as an effect</x:v>
      </x:c>
      <x:c r="M993" s="26" t="str">
        <x:v>Use curated mapping; otherwise keep unresolved</x:v>
      </x:c>
      <x:c r="N993" s="26" t="str">
        <x:v>Semantic</x:v>
      </x:c>
      <x:c r="O993" s="43" t="n">
        <x:v>0.3</x:v>
      </x:c>
      <x:c r="P993" s="26" t="str">
        <x:v>Color Pie prose describes design space, not necessarily literal Oracle wording. Never use the source phrase as a blind o: search.</x:v>
      </x:c>
      <x:c r="Q993" s="26" t="str">
        <x:v>https://scryfall.com/docs/syntax</x:v>
      </x:c>
      <x:c r="R993" s="26" t="str">
        <x:v>2026-08-21</x:v>
      </x:c>
    </x:row>
    <x:row r="994">
      <x:c r="A994" s="26" t="str">
        <x:v>ColorPie!A121:E121</x:v>
      </x:c>
      <x:c r="B994" s="26" t="str">
        <x:v>Color Pie Ability</x:v>
      </x:c>
      <x:c r="C994" s="26" t="str">
        <x:v>Life loss as a cost</x:v>
      </x:c>
      <x:c r="D994" s="26" t="str">
        <x:v>Primary: Black | Tertiary: White, Blue, Red, Green</x:v>
      </x:c>
      <x:c r="E994" s="26" t="str">
        <x:v>Black most often; all colors rare access</x:v>
      </x:c>
      <x:c r="F994" s="26" t="str">
        <x:v>o:"Life loss as a cost"</x:v>
      </x:c>
      <x:c r="G994" s="26" t="str">
        <x:v>Needs refinement</x:v>
      </x:c>
      <x:c r="H994" s="26" t="str">
        <x:v>Color-pie semantic concept</x:v>
      </x:c>
      <x:c r="I994" s="26" t="str">
        <x:v>Semantic concept</x:v>
      </x:c>
      <x:c r="J994" s="26" t="str"/>
      <x:c r="K994" s="26" t="str"/>
      <x:c r="L994" s="26" t="str">
        <x:v>life loss as a cost</x:v>
      </x:c>
      <x:c r="M994" s="26" t="str">
        <x:v>Use curated mapping; otherwise keep unresolved</x:v>
      </x:c>
      <x:c r="N994" s="26" t="str">
        <x:v>Semantic</x:v>
      </x:c>
      <x:c r="O994" s="43" t="n">
        <x:v>0.3</x:v>
      </x:c>
      <x:c r="P994" s="26" t="str">
        <x:v>Color Pie prose describes design space, not necessarily literal Oracle wording. Never use the source phrase as a blind o: search.</x:v>
      </x:c>
      <x:c r="Q994" s="26" t="str">
        <x:v>https://scryfall.com/docs/syntax</x:v>
      </x:c>
      <x:c r="R994" s="26" t="str">
        <x:v>2026-08-21</x:v>
      </x:c>
    </x:row>
    <x:row r="995">
      <x:c r="A995" s="26" t="str">
        <x:v>ColorPie!A122:E122</x:v>
      </x:c>
      <x:c r="B995" s="26" t="str">
        <x:v>Color Pie Ability</x:v>
      </x:c>
      <x:c r="C995" s="26" t="str">
        <x:v>Lifelink</x:v>
      </x:c>
      <x:c r="D995" s="26" t="str">
        <x:v>Primary: White, Black</x:v>
      </x:c>
      <x:c r="E995" s="26" t="str">
        <x:v>Different flavor rationales; both use almost every set</x:v>
      </x:c>
      <x:c r="F995" s="26" t="str">
        <x:v>o:"Lifelink"</x:v>
      </x:c>
      <x:c r="G995" s="26" t="str">
        <x:v>Needs refinement</x:v>
      </x:c>
      <x:c r="H995" s="26" t="str">
        <x:v>Color-pie semantic concept</x:v>
      </x:c>
      <x:c r="I995" s="26" t="str">
        <x:v>Semantic concept</x:v>
      </x:c>
      <x:c r="J995" s="26" t="str"/>
      <x:c r="K995" s="26" t="str"/>
      <x:c r="L995" s="26" t="str">
        <x:v>lifelink</x:v>
      </x:c>
      <x:c r="M995" s="26" t="str">
        <x:v>Use curated mapping; otherwise keep unresolved</x:v>
      </x:c>
      <x:c r="N995" s="26" t="str">
        <x:v>Semantic</x:v>
      </x:c>
      <x:c r="O995" s="43" t="n">
        <x:v>0.3</x:v>
      </x:c>
      <x:c r="P995" s="26" t="str">
        <x:v>Color Pie prose describes design space, not necessarily literal Oracle wording. Never use the source phrase as a blind o: search.</x:v>
      </x:c>
      <x:c r="Q995" s="26" t="str">
        <x:v>https://scryfall.com/docs/syntax</x:v>
      </x:c>
      <x:c r="R995" s="26" t="str">
        <x:v>2026-08-21</x:v>
      </x:c>
    </x:row>
    <x:row r="996">
      <x:c r="A996" s="26" t="str">
        <x:v>ColorPie!A123:E123</x:v>
      </x:c>
      <x:c r="B996" s="26" t="str">
        <x:v>Color Pie Ability</x:v>
      </x:c>
      <x:c r="C996" s="26" t="str">
        <x:v>"Lockdown"</x:v>
      </x:c>
      <x:c r="D996" s="26" t="str">
        <x:v>Primary: Blue</x:v>
      </x:c>
      <x:c r="E996" s="26" t="str">
        <x:v>Enchanted creature doesn't untap; usually on Auras</x:v>
      </x:c>
      <x:c r="F996" s="26" t="str">
        <x:v>o:"\"Lockdown\""</x:v>
      </x:c>
      <x:c r="G996" s="26" t="str">
        <x:v>Needs refinement</x:v>
      </x:c>
      <x:c r="H996" s="26" t="str">
        <x:v>Color-pie semantic concept</x:v>
      </x:c>
      <x:c r="I996" s="26" t="str">
        <x:v>Semantic concept</x:v>
      </x:c>
      <x:c r="J996" s="26" t="str"/>
      <x:c r="K996" s="26" t="str"/>
      <x:c r="L996" s="26" t="str">
        <x:v>"lockdown"</x:v>
      </x:c>
      <x:c r="M996" s="26" t="str">
        <x:v>Use curated mapping; otherwise keep unresolved</x:v>
      </x:c>
      <x:c r="N996" s="26" t="str">
        <x:v>Semantic</x:v>
      </x:c>
      <x:c r="O996" s="43" t="n">
        <x:v>0.3</x:v>
      </x:c>
      <x:c r="P996" s="26" t="str">
        <x:v>Color Pie prose describes design space, not necessarily literal Oracle wording. Never use the source phrase as a blind o: search.</x:v>
      </x:c>
      <x:c r="Q996" s="26" t="str">
        <x:v>https://scryfall.com/docs/syntax</x:v>
      </x:c>
      <x:c r="R996" s="26" t="str">
        <x:v>2026-08-21</x:v>
      </x:c>
    </x:row>
    <x:row r="997">
      <x:c r="A997" s="26" t="str">
        <x:v>ColorPie!A124:E124</x:v>
      </x:c>
      <x:c r="B997" s="26" t="str">
        <x:v>Color Pie Ability</x:v>
      </x:c>
      <x:c r="C997" s="26" t="str">
        <x:v>"Lobotomy"</x:v>
      </x:c>
      <x:c r="D997" s="26" t="str">
        <x:v>Primary: Black</x:v>
      </x:c>
      <x:c r="E997" s="26" t="str">
        <x:v>Search player's graveyard, hand, library for named card and exile</x:v>
      </x:c>
      <x:c r="F997" s="26" t="str">
        <x:v>o:"\"Lobotomy\""</x:v>
      </x:c>
      <x:c r="G997" s="26" t="str">
        <x:v>Needs refinement</x:v>
      </x:c>
      <x:c r="H997" s="26" t="str">
        <x:v>Color-pie semantic concept</x:v>
      </x:c>
      <x:c r="I997" s="26" t="str">
        <x:v>Semantic concept</x:v>
      </x:c>
      <x:c r="J997" s="26" t="str"/>
      <x:c r="K997" s="26" t="str"/>
      <x:c r="L997" s="26" t="str">
        <x:v>"lobotomy"</x:v>
      </x:c>
      <x:c r="M997" s="26" t="str">
        <x:v>Use curated mapping; otherwise keep unresolved</x:v>
      </x:c>
      <x:c r="N997" s="26" t="str">
        <x:v>Semantic</x:v>
      </x:c>
      <x:c r="O997" s="43" t="n">
        <x:v>0.3</x:v>
      </x:c>
      <x:c r="P997" s="26" t="str">
        <x:v>Color Pie prose describes design space, not necessarily literal Oracle wording. Never use the source phrase as a blind o: search.</x:v>
      </x:c>
      <x:c r="Q997" s="26" t="str">
        <x:v>https://scryfall.com/docs/syntax</x:v>
      </x:c>
      <x:c r="R997" s="26" t="str">
        <x:v>2026-08-21</x:v>
      </x:c>
    </x:row>
    <x:row r="998">
      <x:c r="A998" s="26" t="str">
        <x:v>ColorPie!A125:E125</x:v>
      </x:c>
      <x:c r="B998" s="26" t="str">
        <x:v>Color Pie Ability</x:v>
      </x:c>
      <x:c r="C998" s="26" t="str">
        <x:v>Looking at opponent's hand</x:v>
      </x:c>
      <x:c r="D998" s="26" t="str">
        <x:v>Primary: Blue | Secondary: Black</x:v>
      </x:c>
      <x:c r="E998" s="26" t="str">
        <x:v>Blue simply does it; black with discard choice</x:v>
      </x:c>
      <x:c r="F998" s="26" t="str">
        <x:v>o:"Looking at opponent's hand"</x:v>
      </x:c>
      <x:c r="G998" s="26" t="str">
        <x:v>Needs refinement</x:v>
      </x:c>
      <x:c r="H998" s="26" t="str">
        <x:v>Color-pie semantic concept</x:v>
      </x:c>
      <x:c r="I998" s="26" t="str">
        <x:v>Semantic concept</x:v>
      </x:c>
      <x:c r="J998" s="26" t="str"/>
      <x:c r="K998" s="26" t="str"/>
      <x:c r="L998" s="26" t="str">
        <x:v>looking at opponent's hand</x:v>
      </x:c>
      <x:c r="M998" s="26" t="str">
        <x:v>Use curated mapping; otherwise keep unresolved</x:v>
      </x:c>
      <x:c r="N998" s="26" t="str">
        <x:v>Semantic</x:v>
      </x:c>
      <x:c r="O998" s="43" t="n">
        <x:v>0.3</x:v>
      </x:c>
      <x:c r="P998" s="26" t="str">
        <x:v>Color Pie prose describes design space, not necessarily literal Oracle wording. Never use the source phrase as a blind o: search.</x:v>
      </x:c>
      <x:c r="Q998" s="26" t="str">
        <x:v>https://scryfall.com/docs/syntax</x:v>
      </x:c>
      <x:c r="R998" s="26" t="str">
        <x:v>2026-08-21</x:v>
      </x:c>
    </x:row>
    <x:row r="999">
      <x:c r="A999" s="26" t="str">
        <x:v>ColorPie!A126:E126</x:v>
      </x:c>
      <x:c r="B999" s="26" t="str">
        <x:v>Color Pie Ability</x:v>
      </x:c>
      <x:c r="C999" s="26" t="str">
        <x:v>"Looting"</x:v>
      </x:c>
      <x:c r="D999" s="26" t="str">
        <x:v>Primary: Blue</x:v>
      </x:c>
      <x:c r="E999" s="26" t="str">
        <x:v>Draw a card and discard a card</x:v>
      </x:c>
      <x:c r="F999" s="26" t="str">
        <x:v>o:"\"Looting\""</x:v>
      </x:c>
      <x:c r="G999" s="26" t="str">
        <x:v>Needs refinement</x:v>
      </x:c>
      <x:c r="H999" s="26" t="str">
        <x:v>Color-pie semantic concept</x:v>
      </x:c>
      <x:c r="I999" s="26" t="str">
        <x:v>Semantic concept</x:v>
      </x:c>
      <x:c r="J999" s="26" t="str"/>
      <x:c r="K999" s="26" t="str"/>
      <x:c r="L999" s="26" t="str">
        <x:v>"looting"</x:v>
      </x:c>
      <x:c r="M999" s="26" t="str">
        <x:v>Use curated mapping; otherwise keep unresolved</x:v>
      </x:c>
      <x:c r="N999" s="26" t="str">
        <x:v>Semantic</x:v>
      </x:c>
      <x:c r="O999" s="43" t="n">
        <x:v>0.3</x:v>
      </x:c>
      <x:c r="P999" s="26" t="str">
        <x:v>Color Pie prose describes design space, not necessarily literal Oracle wording. Never use the source phrase as a blind o: search.</x:v>
      </x:c>
      <x:c r="Q999" s="26" t="str">
        <x:v>https://scryfall.com/docs/syntax</x:v>
      </x:c>
      <x:c r="R999" s="26" t="str">
        <x:v>2026-08-21</x:v>
      </x:c>
    </x:row>
    <x:row r="1000">
      <x:c r="A1000" s="26" t="str">
        <x:v>ColorPie!A127:E127</x:v>
      </x:c>
      <x:c r="B1000" s="26" t="str">
        <x:v>Color Pie Ability</x:v>
      </x:c>
      <x:c r="C1000" s="26" t="str">
        <x:v>"Lure"</x:v>
      </x:c>
      <x:c r="D1000" s="26" t="str">
        <x:v>Primary: Green</x:v>
      </x:c>
      <x:c r="E1000" s="26" t="str">
        <x:v>All creatures able to block this creature must do so</x:v>
      </x:c>
      <x:c r="F1000" s="26" t="str">
        <x:v>o:"\"Lure\""</x:v>
      </x:c>
      <x:c r="G1000" s="26" t="str">
        <x:v>Needs refinement</x:v>
      </x:c>
      <x:c r="H1000" s="26" t="str">
        <x:v>Color-pie semantic concept</x:v>
      </x:c>
      <x:c r="I1000" s="26" t="str">
        <x:v>Semantic concept</x:v>
      </x:c>
      <x:c r="J1000" s="26" t="str"/>
      <x:c r="K1000" s="26" t="str"/>
      <x:c r="L1000" s="26" t="str">
        <x:v>"lure"</x:v>
      </x:c>
      <x:c r="M1000" s="26" t="str">
        <x:v>Use curated mapping; otherwise keep unresolved</x:v>
      </x:c>
      <x:c r="N1000" s="26" t="str">
        <x:v>Semantic</x:v>
      </x:c>
      <x:c r="O1000" s="43" t="n">
        <x:v>0.3</x:v>
      </x:c>
      <x:c r="P1000" s="26" t="str">
        <x:v>Color Pie prose describes design space, not necessarily literal Oracle wording. Never use the source phrase as a blind o: search.</x:v>
      </x:c>
      <x:c r="Q1000" s="26" t="str">
        <x:v>https://scryfall.com/docs/syntax</x:v>
      </x:c>
      <x:c r="R1000" s="26" t="str">
        <x:v>2026-08-21</x:v>
      </x:c>
    </x:row>
    <x:row r="1001">
      <x:c r="A1001" s="26" t="str">
        <x:v>ColorPie!A128:E128</x:v>
      </x:c>
      <x:c r="B1001" s="26" t="str">
        <x:v>Color Pie Ability</x:v>
      </x:c>
      <x:c r="C1001" s="26" t="str">
        <x:v>"Lure," limited</x:v>
      </x:c>
      <x:c r="D1001" s="26" t="str">
        <x:v>Primary: Green | Secondary: Red</x:v>
      </x:c>
      <x:c r="E1001" s="26" t="str">
        <x:v>This creature must be blocked this turn if able</x:v>
      </x:c>
      <x:c r="F1001" s="26" t="str">
        <x:v>o:"\"Lure,\" limited"</x:v>
      </x:c>
      <x:c r="G1001" s="26" t="str">
        <x:v>Needs refinement</x:v>
      </x:c>
      <x:c r="H1001" s="26" t="str">
        <x:v>Color-pie semantic concept</x:v>
      </x:c>
      <x:c r="I1001" s="26" t="str">
        <x:v>Semantic concept</x:v>
      </x:c>
      <x:c r="J1001" s="26" t="str"/>
      <x:c r="K1001" s="26" t="str"/>
      <x:c r="L1001" s="26" t="str">
        <x:v>"lure," limited</x:v>
      </x:c>
      <x:c r="M1001" s="26" t="str">
        <x:v>Use curated mapping; otherwise keep unresolved</x:v>
      </x:c>
      <x:c r="N1001" s="26" t="str">
        <x:v>Semantic</x:v>
      </x:c>
      <x:c r="O1001" s="43" t="n">
        <x:v>0.3</x:v>
      </x:c>
      <x:c r="P1001" s="26" t="str">
        <x:v>Color Pie prose describes design space, not necessarily literal Oracle wording. Never use the source phrase as a blind o: search.</x:v>
      </x:c>
      <x:c r="Q1001" s="26" t="str">
        <x:v>https://scryfall.com/docs/syntax</x:v>
      </x:c>
      <x:c r="R1001" s="26" t="str">
        <x:v>2026-08-21</x:v>
      </x:c>
    </x:row>
    <x:row r="1002">
      <x:c r="A1002" s="26" t="str">
        <x:v>ColorPie!A129:E129</x:v>
      </x:c>
      <x:c r="B1002" s="26" t="str">
        <x:v>Color Pie Ability</x:v>
      </x:c>
      <x:c r="C1002" s="26" t="str">
        <x:v>Mana production, permanent</x:v>
      </x:c>
      <x:c r="D1002" s="26" t="str">
        <x:v>Primary: Green | Secondary: Blue | Tertiary: Black</x:v>
      </x:c>
      <x:c r="E1002" s="26" t="str">
        <x:v>Green ramps; black pays cost; blue colorless</x:v>
      </x:c>
      <x:c r="F1002" s="26" t="str">
        <x:v>o:"Mana production, permanent"</x:v>
      </x:c>
      <x:c r="G1002" s="26" t="str">
        <x:v>Needs refinement</x:v>
      </x:c>
      <x:c r="H1002" s="26" t="str">
        <x:v>Color-pie semantic concept</x:v>
      </x:c>
      <x:c r="I1002" s="26" t="str">
        <x:v>Semantic concept</x:v>
      </x:c>
      <x:c r="J1002" s="26" t="str"/>
      <x:c r="K1002" s="26" t="str"/>
      <x:c r="L1002" s="26" t="str">
        <x:v>mana production, permanent</x:v>
      </x:c>
      <x:c r="M1002" s="26" t="str">
        <x:v>Use curated mapping; otherwise keep unresolved</x:v>
      </x:c>
      <x:c r="N1002" s="26" t="str">
        <x:v>Semantic</x:v>
      </x:c>
      <x:c r="O1002" s="43" t="n">
        <x:v>0.3</x:v>
      </x:c>
      <x:c r="P1002" s="26" t="str">
        <x:v>Color Pie prose describes design space, not necessarily literal Oracle wording. Never use the source phrase as a blind o: search.</x:v>
      </x:c>
      <x:c r="Q1002" s="26" t="str">
        <x:v>https://scryfall.com/docs/syntax</x:v>
      </x:c>
      <x:c r="R1002" s="26" t="str">
        <x:v>2026-08-21</x:v>
      </x:c>
    </x:row>
    <x:row r="1003">
      <x:c r="A1003" s="26" t="str">
        <x:v>ColorPie!A130:E130</x:v>
      </x:c>
      <x:c r="B1003" s="26" t="str">
        <x:v>Color Pie Ability</x:v>
      </x:c>
      <x:c r="C1003" s="26" t="str">
        <x:v>Mana production, temporary</x:v>
      </x:c>
      <x:c r="D1003" s="26" t="str">
        <x:v>Primary: Red | Secondary: Black</x:v>
      </x:c>
      <x:c r="E1003" s="26" t="str">
        <x:v>Red bursts; black requires cost usually sacrifice</x:v>
      </x:c>
      <x:c r="F1003" s="26" t="str">
        <x:v>o:"Mana production, temporary"</x:v>
      </x:c>
      <x:c r="G1003" s="26" t="str">
        <x:v>Needs refinement</x:v>
      </x:c>
      <x:c r="H1003" s="26" t="str">
        <x:v>Color-pie semantic concept</x:v>
      </x:c>
      <x:c r="I1003" s="26" t="str">
        <x:v>Semantic concept</x:v>
      </x:c>
      <x:c r="J1003" s="26" t="str"/>
      <x:c r="K1003" s="26" t="str"/>
      <x:c r="L1003" s="26" t="str">
        <x:v>mana production, temporary</x:v>
      </x:c>
      <x:c r="M1003" s="26" t="str">
        <x:v>Use curated mapping; otherwise keep unresolved</x:v>
      </x:c>
      <x:c r="N1003" s="26" t="str">
        <x:v>Semantic</x:v>
      </x:c>
      <x:c r="O1003" s="43" t="n">
        <x:v>0.3</x:v>
      </x:c>
      <x:c r="P1003" s="26" t="str">
        <x:v>Color Pie prose describes design space, not necessarily literal Oracle wording. Never use the source phrase as a blind o: search.</x:v>
      </x:c>
      <x:c r="Q1003" s="26" t="str">
        <x:v>https://scryfall.com/docs/syntax</x:v>
      </x:c>
      <x:c r="R1003" s="26" t="str">
        <x:v>2026-08-21</x:v>
      </x:c>
    </x:row>
    <x:row r="1004">
      <x:c r="A1004" s="26" t="str">
        <x:v>ColorPie!A131:E131</x:v>
      </x:c>
      <x:c r="B1004" s="26" t="str">
        <x:v>Color Pie Ability</x:v>
      </x:c>
      <x:c r="C1004" s="26" t="str">
        <x:v>"Manipulate time"</x:v>
      </x:c>
      <x:c r="D1004" s="26" t="str">
        <x:v>Primary: Blue | Tertiary: Red</x:v>
      </x:c>
      <x:c r="E1004" s="26" t="str">
        <x:v>End the turn; red with lose at end rider</x:v>
      </x:c>
      <x:c r="F1004" s="26" t="str">
        <x:v>o:"\"Manipulate time\""</x:v>
      </x:c>
      <x:c r="G1004" s="26" t="str">
        <x:v>Needs refinement</x:v>
      </x:c>
      <x:c r="H1004" s="26" t="str">
        <x:v>Color-pie semantic concept</x:v>
      </x:c>
      <x:c r="I1004" s="26" t="str">
        <x:v>Semantic concept</x:v>
      </x:c>
      <x:c r="J1004" s="26" t="str"/>
      <x:c r="K1004" s="26" t="str"/>
      <x:c r="L1004" s="26" t="str">
        <x:v>"manipulate time"</x:v>
      </x:c>
      <x:c r="M1004" s="26" t="str">
        <x:v>Use curated mapping; otherwise keep unresolved</x:v>
      </x:c>
      <x:c r="N1004" s="26" t="str">
        <x:v>Semantic</x:v>
      </x:c>
      <x:c r="O1004" s="43" t="n">
        <x:v>0.3</x:v>
      </x:c>
      <x:c r="P1004" s="26" t="str">
        <x:v>Color Pie prose describes design space, not necessarily literal Oracle wording. Never use the source phrase as a blind o: search.</x:v>
      </x:c>
      <x:c r="Q1004" s="26" t="str">
        <x:v>https://scryfall.com/docs/syntax</x:v>
      </x:c>
      <x:c r="R1004" s="26" t="str">
        <x:v>2026-08-21</x:v>
      </x:c>
    </x:row>
    <x:row r="1005">
      <x:c r="A1005" s="26" t="str">
        <x:v>ColorPie!A132:E132</x:v>
      </x:c>
      <x:c r="B1005" s="26" t="str">
        <x:v>Color Pie Ability</x:v>
      </x:c>
      <x:c r="C1005" s="26" t="str">
        <x:v>"Maro" ability</x:v>
      </x:c>
      <x:c r="D1005" s="26" t="str">
        <x:v>Primary: Blue | Secondary: Green</x:v>
      </x:c>
      <x:c r="E1005" s="26" t="str">
        <x:v>Power/toughness equal to cards in hand</x:v>
      </x:c>
      <x:c r="F1005" s="26" t="str">
        <x:v>o:"\"Maro\" ability"</x:v>
      </x:c>
      <x:c r="G1005" s="26" t="str">
        <x:v>Needs refinement</x:v>
      </x:c>
      <x:c r="H1005" s="26" t="str">
        <x:v>Color-pie semantic concept</x:v>
      </x:c>
      <x:c r="I1005" s="26" t="str">
        <x:v>Semantic concept</x:v>
      </x:c>
      <x:c r="J1005" s="26" t="str"/>
      <x:c r="K1005" s="26" t="str"/>
      <x:c r="L1005" s="26" t="str">
        <x:v>"maro" ability</x:v>
      </x:c>
      <x:c r="M1005" s="26" t="str">
        <x:v>Use curated mapping; otherwise keep unresolved</x:v>
      </x:c>
      <x:c r="N1005" s="26" t="str">
        <x:v>Semantic</x:v>
      </x:c>
      <x:c r="O1005" s="43" t="n">
        <x:v>0.3</x:v>
      </x:c>
      <x:c r="P1005" s="26" t="str">
        <x:v>Color Pie prose describes design space, not necessarily literal Oracle wording. Never use the source phrase as a blind o: search.</x:v>
      </x:c>
      <x:c r="Q1005" s="26" t="str">
        <x:v>https://scryfall.com/docs/syntax</x:v>
      </x:c>
      <x:c r="R1005" s="26" t="str">
        <x:v>2026-08-21</x:v>
      </x:c>
    </x:row>
    <x:row r="1006">
      <x:c r="A1006" s="26" t="str">
        <x:v>ColorPie!A133:E133</x:v>
      </x:c>
      <x:c r="B1006" s="26" t="str">
        <x:v>Color Pie Ability</x:v>
      </x:c>
      <x:c r="C1006" s="26" t="str">
        <x:v>"Meddling"</x:v>
      </x:c>
      <x:c r="D1006" s="26" t="str">
        <x:v>Primary: White</x:v>
      </x:c>
      <x:c r="E1006" s="26" t="str">
        <x:v>Name a spell that can't be played while permanent on battlefield</x:v>
      </x:c>
      <x:c r="F1006" s="26" t="str">
        <x:v>o:"\"Meddling\""</x:v>
      </x:c>
      <x:c r="G1006" s="26" t="str">
        <x:v>Needs refinement</x:v>
      </x:c>
      <x:c r="H1006" s="26" t="str">
        <x:v>Color-pie semantic concept</x:v>
      </x:c>
      <x:c r="I1006" s="26" t="str">
        <x:v>Semantic concept</x:v>
      </x:c>
      <x:c r="J1006" s="26" t="str"/>
      <x:c r="K1006" s="26" t="str"/>
      <x:c r="L1006" s="26" t="str">
        <x:v>"meddling"</x:v>
      </x:c>
      <x:c r="M1006" s="26" t="str">
        <x:v>Use curated mapping; otherwise keep unresolved</x:v>
      </x:c>
      <x:c r="N1006" s="26" t="str">
        <x:v>Semantic</x:v>
      </x:c>
      <x:c r="O1006" s="43" t="n">
        <x:v>0.3</x:v>
      </x:c>
      <x:c r="P1006" s="26" t="str">
        <x:v>Color Pie prose describes design space, not necessarily literal Oracle wording. Never use the source phrase as a blind o: search.</x:v>
      </x:c>
      <x:c r="Q1006" s="26" t="str">
        <x:v>https://scryfall.com/docs/syntax</x:v>
      </x:c>
      <x:c r="R1006" s="26" t="str">
        <x:v>2026-08-21</x:v>
      </x:c>
    </x:row>
    <x:row r="1007">
      <x:c r="A1007" s="26" t="str">
        <x:v>ColorPie!A134:E134</x:v>
      </x:c>
      <x:c r="B1007" s="26" t="str">
        <x:v>Color Pie Ability</x:v>
      </x:c>
      <x:c r="C1007" s="26" t="str">
        <x:v>Menace</x:v>
      </x:c>
      <x:c r="D1007" s="26" t="str">
        <x:v>Primary: Black, Red</x:v>
      </x:c>
      <x:c r="E1007" s="26" t="str">
        <x:v>Started in red; added to black when intimidate gone</x:v>
      </x:c>
      <x:c r="F1007" s="26" t="str">
        <x:v>o:"Menace"</x:v>
      </x:c>
      <x:c r="G1007" s="26" t="str">
        <x:v>Needs refinement</x:v>
      </x:c>
      <x:c r="H1007" s="26" t="str">
        <x:v>Color-pie semantic concept</x:v>
      </x:c>
      <x:c r="I1007" s="26" t="str">
        <x:v>Semantic concept</x:v>
      </x:c>
      <x:c r="J1007" s="26" t="str"/>
      <x:c r="K1007" s="26" t="str"/>
      <x:c r="L1007" s="26" t="str">
        <x:v>menace</x:v>
      </x:c>
      <x:c r="M1007" s="26" t="str">
        <x:v>Use curated mapping; otherwise keep unresolved</x:v>
      </x:c>
      <x:c r="N1007" s="26" t="str">
        <x:v>Semantic</x:v>
      </x:c>
      <x:c r="O1007" s="43" t="n">
        <x:v>0.3</x:v>
      </x:c>
      <x:c r="P1007" s="26" t="str">
        <x:v>Color Pie prose describes design space, not necessarily literal Oracle wording. Never use the source phrase as a blind o: search.</x:v>
      </x:c>
      <x:c r="Q1007" s="26" t="str">
        <x:v>https://scryfall.com/docs/syntax</x:v>
      </x:c>
      <x:c r="R1007" s="26" t="str">
        <x:v>2026-08-21</x:v>
      </x:c>
    </x:row>
    <x:row r="1008">
      <x:c r="A1008" s="26" t="str">
        <x:v>ColorPie!A135:E135</x:v>
      </x:c>
      <x:c r="B1008" s="26" t="str">
        <x:v>Color Pie Ability</x:v>
      </x:c>
      <x:c r="C1008" s="26" t="str">
        <x:v>Milling</x:v>
      </x:c>
      <x:c r="D1008" s="26" t="str">
        <x:v>Primary: Blue | Secondary: Black</x:v>
      </x:c>
      <x:c r="E1008" s="26" t="str">
        <x:v>Put top N cards from library into graveyard</x:v>
      </x:c>
      <x:c r="F1008" s="26" t="str">
        <x:v>o:"Milling"</x:v>
      </x:c>
      <x:c r="G1008" s="26" t="str">
        <x:v>Needs refinement</x:v>
      </x:c>
      <x:c r="H1008" s="26" t="str">
        <x:v>Color-pie semantic concept</x:v>
      </x:c>
      <x:c r="I1008" s="26" t="str">
        <x:v>Semantic concept</x:v>
      </x:c>
      <x:c r="J1008" s="26" t="str"/>
      <x:c r="K1008" s="26" t="str"/>
      <x:c r="L1008" s="26" t="str">
        <x:v>milling</x:v>
      </x:c>
      <x:c r="M1008" s="26" t="str">
        <x:v>Use curated mapping; otherwise keep unresolved</x:v>
      </x:c>
      <x:c r="N1008" s="26" t="str">
        <x:v>Semantic</x:v>
      </x:c>
      <x:c r="O1008" s="43" t="n">
        <x:v>0.3</x:v>
      </x:c>
      <x:c r="P1008" s="26" t="str">
        <x:v>Color Pie prose describes design space, not necessarily literal Oracle wording. Never use the source phrase as a blind o: search.</x:v>
      </x:c>
      <x:c r="Q1008" s="26" t="str">
        <x:v>https://scryfall.com/docs/syntax</x:v>
      </x:c>
      <x:c r="R1008" s="26" t="str">
        <x:v>2026-08-21</x:v>
      </x:c>
    </x:row>
    <x:row r="1009">
      <x:c r="A1009" s="26" t="str">
        <x:v>ColorPie!A136:E136</x:v>
      </x:c>
      <x:c r="B1009" s="26" t="str">
        <x:v>Color Pie Ability</x:v>
      </x:c>
      <x:c r="C1009" s="26" t="str">
        <x:v>Moving enchantments/counters</x:v>
      </x:c>
      <x:c r="D1009" s="26" t="str">
        <x:v>Primary: Blue</x:v>
      </x:c>
      <x:c r="E1009" s="26" t="str">
        <x:v>Blue moves attached things</x:v>
      </x:c>
      <x:c r="F1009" s="26" t="str">
        <x:v>o:"Moving enchantments/counters"</x:v>
      </x:c>
      <x:c r="G1009" s="26" t="str">
        <x:v>Needs refinement</x:v>
      </x:c>
      <x:c r="H1009" s="26" t="str">
        <x:v>Color-pie semantic concept</x:v>
      </x:c>
      <x:c r="I1009" s="26" t="str">
        <x:v>Semantic concept</x:v>
      </x:c>
      <x:c r="J1009" s="26" t="str"/>
      <x:c r="K1009" s="26" t="str"/>
      <x:c r="L1009" s="26" t="str">
        <x:v>moving enchantments/counters</x:v>
      </x:c>
      <x:c r="M1009" s="26" t="str">
        <x:v>Use curated mapping; otherwise keep unresolved</x:v>
      </x:c>
      <x:c r="N1009" s="26" t="str">
        <x:v>Semantic</x:v>
      </x:c>
      <x:c r="O1009" s="43" t="n">
        <x:v>0.3</x:v>
      </x:c>
      <x:c r="P1009" s="26" t="str">
        <x:v>Color Pie prose describes design space, not necessarily literal Oracle wording. Never use the source phrase as a blind o: search.</x:v>
      </x:c>
      <x:c r="Q1009" s="26" t="str">
        <x:v>https://scryfall.com/docs/syntax</x:v>
      </x:c>
      <x:c r="R1009" s="26" t="str">
        <x:v>2026-08-21</x:v>
      </x:c>
    </x:row>
    <x:row r="1010">
      <x:c r="A1010" s="26" t="str">
        <x:v>ColorPie!A137:E137</x:v>
      </x:c>
      <x:c r="B1010" s="26" t="str">
        <x:v>Color Pie Ability</x:v>
      </x:c>
      <x:c r="C1010" s="26" t="str">
        <x:v>Must attack</x:v>
      </x:c>
      <x:c r="D1010" s="26" t="str">
        <x:v>Primary: Red</x:v>
      </x:c>
      <x:c r="E1010" s="26" t="str">
        <x:v>Flavor great but gameplay not always; doing less</x:v>
      </x:c>
      <x:c r="F1010" s="26" t="str">
        <x:v>o:"Must attack"</x:v>
      </x:c>
      <x:c r="G1010" s="26" t="str">
        <x:v>Needs refinement</x:v>
      </x:c>
      <x:c r="H1010" s="26" t="str">
        <x:v>Color-pie semantic concept</x:v>
      </x:c>
      <x:c r="I1010" s="26" t="str">
        <x:v>Semantic concept</x:v>
      </x:c>
      <x:c r="J1010" s="26" t="str"/>
      <x:c r="K1010" s="26" t="str"/>
      <x:c r="L1010" s="26" t="str">
        <x:v>must attack</x:v>
      </x:c>
      <x:c r="M1010" s="26" t="str">
        <x:v>Use curated mapping; otherwise keep unresolved</x:v>
      </x:c>
      <x:c r="N1010" s="26" t="str">
        <x:v>Semantic</x:v>
      </x:c>
      <x:c r="O1010" s="43" t="n">
        <x:v>0.3</x:v>
      </x:c>
      <x:c r="P1010" s="26" t="str">
        <x:v>Color Pie prose describes design space, not necessarily literal Oracle wording. Never use the source phrase as a blind o: search.</x:v>
      </x:c>
      <x:c r="Q1010" s="26" t="str">
        <x:v>https://scryfall.com/docs/syntax</x:v>
      </x:c>
      <x:c r="R1010" s="26" t="str">
        <x:v>2026-08-21</x:v>
      </x:c>
    </x:row>
    <x:row r="1011">
      <x:c r="A1011" s="26" t="str">
        <x:v>ColorPie!A138:E138</x:v>
      </x:c>
      <x:c r="B1011" s="26" t="str">
        <x:v>Color Pie Ability</x:v>
      </x:c>
      <x:c r="C1011" s="26" t="str">
        <x:v>Pacifism-like effect</x:v>
      </x:c>
      <x:c r="D1011" s="26" t="str">
        <x:v>Primary: White</x:v>
      </x:c>
      <x:c r="E1011" s="26" t="str">
        <x:v>Enchanted creature cannot attack or block</x:v>
      </x:c>
      <x:c r="F1011" s="26" t="str">
        <x:v>o:"Pacifism-like effect"</x:v>
      </x:c>
      <x:c r="G1011" s="26" t="str">
        <x:v>Needs refinement</x:v>
      </x:c>
      <x:c r="H1011" s="26" t="str">
        <x:v>Color-pie semantic concept</x:v>
      </x:c>
      <x:c r="I1011" s="26" t="str">
        <x:v>Semantic concept</x:v>
      </x:c>
      <x:c r="J1011" s="26" t="str"/>
      <x:c r="K1011" s="26" t="str"/>
      <x:c r="L1011" s="26" t="str">
        <x:v>pacifism-like effect</x:v>
      </x:c>
      <x:c r="M1011" s="26" t="str">
        <x:v>Use curated mapping; otherwise keep unresolved</x:v>
      </x:c>
      <x:c r="N1011" s="26" t="str">
        <x:v>Semantic</x:v>
      </x:c>
      <x:c r="O1011" s="43" t="n">
        <x:v>0.3</x:v>
      </x:c>
      <x:c r="P1011" s="26" t="str">
        <x:v>Color Pie prose describes design space, not necessarily literal Oracle wording. Never use the source phrase as a blind o: search.</x:v>
      </x:c>
      <x:c r="Q1011" s="26" t="str">
        <x:v>https://scryfall.com/docs/syntax</x:v>
      </x:c>
      <x:c r="R1011" s="26" t="str">
        <x:v>2026-08-21</x:v>
      </x:c>
    </x:row>
    <x:row r="1012">
      <x:c r="A1012" s="26" t="str">
        <x:v>ColorPie!A139:E139</x:v>
      </x:c>
      <x:c r="B1012" s="26" t="str">
        <x:v>Color Pie Ability</x:v>
      </x:c>
      <x:c r="C1012" s="26" t="str">
        <x:v>"Panic"</x:v>
      </x:c>
      <x:c r="D1012" s="26" t="str">
        <x:v>Primary: Red</x:v>
      </x:c>
      <x:c r="E1012" s="26" t="str">
        <x:v>Target creature can't block this turn</x:v>
      </x:c>
      <x:c r="F1012" s="26" t="str">
        <x:v>o:"\"Panic\""</x:v>
      </x:c>
      <x:c r="G1012" s="26" t="str">
        <x:v>Needs refinement</x:v>
      </x:c>
      <x:c r="H1012" s="26" t="str">
        <x:v>Color-pie semantic concept</x:v>
      </x:c>
      <x:c r="I1012" s="26" t="str">
        <x:v>Semantic concept</x:v>
      </x:c>
      <x:c r="J1012" s="26" t="str"/>
      <x:c r="K1012" s="26" t="str"/>
      <x:c r="L1012" s="26" t="str">
        <x:v>"panic"</x:v>
      </x:c>
      <x:c r="M1012" s="26" t="str">
        <x:v>Use curated mapping; otherwise keep unresolved</x:v>
      </x:c>
      <x:c r="N1012" s="26" t="str">
        <x:v>Semantic</x:v>
      </x:c>
      <x:c r="O1012" s="43" t="n">
        <x:v>0.3</x:v>
      </x:c>
      <x:c r="P1012" s="26" t="str">
        <x:v>Color Pie prose describes design space, not necessarily literal Oracle wording. Never use the source phrase as a blind o: search.</x:v>
      </x:c>
      <x:c r="Q1012" s="26" t="str">
        <x:v>https://scryfall.com/docs/syntax</x:v>
      </x:c>
      <x:c r="R1012" s="26" t="str">
        <x:v>2026-08-21</x:v>
      </x:c>
    </x:row>
    <x:row r="1013">
      <x:c r="A1013" s="26" t="str">
        <x:v>ColorPie!A140:E140</x:v>
      </x:c>
      <x:c r="B1013" s="26" t="str">
        <x:v>Color Pie Ability</x:v>
      </x:c>
      <x:c r="C1013" s="26" t="str">
        <x:v>Planeswalker destruction</x:v>
      </x:c>
      <x:c r="D1013" s="26" t="str">
        <x:v>Primary: Black | Tertiary: Green</x:v>
      </x:c>
      <x:c r="E1013" s="26" t="str">
        <x:v>Black destroys; green destroy noncreature; red uses damage</x:v>
      </x:c>
      <x:c r="F1013" s="26" t="str">
        <x:v>o:"Planeswalker destruction"</x:v>
      </x:c>
      <x:c r="G1013" s="26" t="str">
        <x:v>Needs refinement</x:v>
      </x:c>
      <x:c r="H1013" s="26" t="str">
        <x:v>Color-pie semantic concept</x:v>
      </x:c>
      <x:c r="I1013" s="26" t="str">
        <x:v>Semantic concept</x:v>
      </x:c>
      <x:c r="J1013" s="26" t="str"/>
      <x:c r="K1013" s="26" t="str"/>
      <x:c r="L1013" s="26" t="str">
        <x:v>planeswalker destruction</x:v>
      </x:c>
      <x:c r="M1013" s="26" t="str">
        <x:v>Use curated mapping; otherwise keep unresolved</x:v>
      </x:c>
      <x:c r="N1013" s="26" t="str">
        <x:v>Semantic</x:v>
      </x:c>
      <x:c r="O1013" s="43" t="n">
        <x:v>0.3</x:v>
      </x:c>
      <x:c r="P1013" s="26" t="str">
        <x:v>Color Pie prose describes design space, not necessarily literal Oracle wording. Never use the source phrase as a blind o: search.</x:v>
      </x:c>
      <x:c r="Q1013" s="26" t="str">
        <x:v>https://scryfall.com/docs/syntax</x:v>
      </x:c>
      <x:c r="R1013" s="26" t="str">
        <x:v>2026-08-21</x:v>
      </x:c>
    </x:row>
    <x:row r="1014">
      <x:c r="A1014" s="26" t="str">
        <x:v>ColorPie!A141:E141</x:v>
      </x:c>
      <x:c r="B1014" s="26" t="str">
        <x:v>Color Pie Ability</x:v>
      </x:c>
      <x:c r="C1014" s="26" t="str">
        <x:v>Playing cards off top of library (paying cost)</x:v>
      </x:c>
      <x:c r="D1014" s="26" t="str">
        <x:v>Secondary: White, Blue, Black, Red, Green</x:v>
      </x:c>
      <x:c r="E1014" s="26" t="str">
        <x:v>No primary; any color subset that makes sense; blue any card</x:v>
      </x:c>
      <x:c r="F1014" s="26" t="str">
        <x:v>o:"Playing cards off top of library (paying cost)"</x:v>
      </x:c>
      <x:c r="G1014" s="26" t="str">
        <x:v>Needs refinement</x:v>
      </x:c>
      <x:c r="H1014" s="26" t="str">
        <x:v>Color-pie semantic concept</x:v>
      </x:c>
      <x:c r="I1014" s="26" t="str">
        <x:v>Semantic concept</x:v>
      </x:c>
      <x:c r="J1014" s="26" t="str"/>
      <x:c r="K1014" s="26" t="str"/>
      <x:c r="L1014" s="26" t="str">
        <x:v>playing cards off top of library (paying cost)</x:v>
      </x:c>
      <x:c r="M1014" s="26" t="str">
        <x:v>Use curated mapping; otherwise keep unresolved</x:v>
      </x:c>
      <x:c r="N1014" s="26" t="str">
        <x:v>Semantic</x:v>
      </x:c>
      <x:c r="O1014" s="43" t="n">
        <x:v>0.3</x:v>
      </x:c>
      <x:c r="P1014" s="26" t="str">
        <x:v>Color Pie prose describes design space, not necessarily literal Oracle wording. Never use the source phrase as a blind o: search.</x:v>
      </x:c>
      <x:c r="Q1014" s="26" t="str">
        <x:v>https://scryfall.com/docs/syntax</x:v>
      </x:c>
      <x:c r="R1014" s="26" t="str">
        <x:v>2026-08-21</x:v>
      </x:c>
    </x:row>
    <x:row r="1015">
      <x:c r="A1015" s="26" t="str">
        <x:v>ColorPie!A142:E142</x:v>
      </x:c>
      <x:c r="B1015" s="26" t="str">
        <x:v>Color Pie Ability</x:v>
      </x:c>
      <x:c r="C1015" s="26" t="str">
        <x:v>Playing cards off top of library (for free)</x:v>
      </x:c>
      <x:c r="D1015" s="26" t="str">
        <x:v>Primary: Red</x:v>
      </x:c>
      <x:c r="E1015" s="26" t="str">
        <x:v>Moved from blue; chaotic feel</x:v>
      </x:c>
      <x:c r="F1015" s="26" t="str">
        <x:v>o:"Playing cards off top of library (for free)"</x:v>
      </x:c>
      <x:c r="G1015" s="26" t="str">
        <x:v>Needs refinement</x:v>
      </x:c>
      <x:c r="H1015" s="26" t="str">
        <x:v>Color-pie semantic concept</x:v>
      </x:c>
      <x:c r="I1015" s="26" t="str">
        <x:v>Semantic concept</x:v>
      </x:c>
      <x:c r="J1015" s="26" t="str"/>
      <x:c r="K1015" s="26" t="str"/>
      <x:c r="L1015" s="26" t="str">
        <x:v>playing cards off top of library (for free)</x:v>
      </x:c>
      <x:c r="M1015" s="26" t="str">
        <x:v>Use curated mapping; otherwise keep unresolved</x:v>
      </x:c>
      <x:c r="N1015" s="26" t="str">
        <x:v>Semantic</x:v>
      </x:c>
      <x:c r="O1015" s="43" t="n">
        <x:v>0.3</x:v>
      </x:c>
      <x:c r="P1015" s="26" t="str">
        <x:v>Color Pie prose describes design space, not necessarily literal Oracle wording. Never use the source phrase as a blind o: search.</x:v>
      </x:c>
      <x:c r="Q1015" s="26" t="str">
        <x:v>https://scryfall.com/docs/syntax</x:v>
      </x:c>
      <x:c r="R1015" s="26" t="str">
        <x:v>2026-08-21</x:v>
      </x:c>
    </x:row>
    <x:row r="1016">
      <x:c r="A1016" s="26" t="str">
        <x:v>ColorPie!A143:E143</x:v>
      </x:c>
      <x:c r="B1016" s="26" t="str">
        <x:v>Color Pie Ability</x:v>
      </x:c>
      <x:c r="C1016" s="26" t="str">
        <x:v>Playing cards off top of opponent's library</x:v>
      </x:c>
      <x:c r="D1016" s="26" t="str">
        <x:v>Primary: Blue, Black | Secondary: Red</x:v>
      </x:c>
      <x:c r="E1016" s="26" t="str">
        <x:v>Blue/black sneaky; red short duration</x:v>
      </x:c>
      <x:c r="F1016" s="26" t="str">
        <x:v>o:"Playing cards off top of opponent's library"</x:v>
      </x:c>
      <x:c r="G1016" s="26" t="str">
        <x:v>Needs refinement</x:v>
      </x:c>
      <x:c r="H1016" s="26" t="str">
        <x:v>Color-pie semantic concept</x:v>
      </x:c>
      <x:c r="I1016" s="26" t="str">
        <x:v>Semantic concept</x:v>
      </x:c>
      <x:c r="J1016" s="26" t="str"/>
      <x:c r="K1016" s="26" t="str"/>
      <x:c r="L1016" s="26" t="str">
        <x:v>playing cards off top of opponent's library</x:v>
      </x:c>
      <x:c r="M1016" s="26" t="str">
        <x:v>Use curated mapping; otherwise keep unresolved</x:v>
      </x:c>
      <x:c r="N1016" s="26" t="str">
        <x:v>Semantic</x:v>
      </x:c>
      <x:c r="O1016" s="43" t="n">
        <x:v>0.3</x:v>
      </x:c>
      <x:c r="P1016" s="26" t="str">
        <x:v>Color Pie prose describes design space, not necessarily literal Oracle wording. Never use the source phrase as a blind o: search.</x:v>
      </x:c>
      <x:c r="Q1016" s="26" t="str">
        <x:v>https://scryfall.com/docs/syntax</x:v>
      </x:c>
      <x:c r="R1016" s="26" t="str">
        <x:v>2026-08-21</x:v>
      </x:c>
    </x:row>
    <x:row r="1017">
      <x:c r="A1017" s="26" t="str">
        <x:v>ColorPie!A144:E144</x:v>
      </x:c>
      <x:c r="B1017" s="26" t="str">
        <x:v>Color Pie Ability</x:v>
      </x:c>
      <x:c r="C1017" s="26" t="str">
        <x:v>Play extra lands</x:v>
      </x:c>
      <x:c r="D1017" s="26" t="str">
        <x:v>Primary: Green</x:v>
      </x:c>
      <x:c r="E1017" s="26" t="str">
        <x:v>Put a land from hand onto the battlefield</x:v>
      </x:c>
      <x:c r="F1017" s="26" t="str">
        <x:v>o:"Play extra lands"</x:v>
      </x:c>
      <x:c r="G1017" s="26" t="str">
        <x:v>Needs refinement</x:v>
      </x:c>
      <x:c r="H1017" s="26" t="str">
        <x:v>Color-pie semantic concept</x:v>
      </x:c>
      <x:c r="I1017" s="26" t="str">
        <x:v>Semantic concept</x:v>
      </x:c>
      <x:c r="J1017" s="26" t="str"/>
      <x:c r="K1017" s="26" t="str"/>
      <x:c r="L1017" s="26" t="str">
        <x:v>play extra lands</x:v>
      </x:c>
      <x:c r="M1017" s="26" t="str">
        <x:v>Use curated mapping; otherwise keep unresolved</x:v>
      </x:c>
      <x:c r="N1017" s="26" t="str">
        <x:v>Semantic</x:v>
      </x:c>
      <x:c r="O1017" s="43" t="n">
        <x:v>0.3</x:v>
      </x:c>
      <x:c r="P1017" s="26" t="str">
        <x:v>Color Pie prose describes design space, not necessarily literal Oracle wording. Never use the source phrase as a blind o: search.</x:v>
      </x:c>
      <x:c r="Q1017" s="26" t="str">
        <x:v>https://scryfall.com/docs/syntax</x:v>
      </x:c>
      <x:c r="R1017" s="26" t="str">
        <x:v>2026-08-21</x:v>
      </x:c>
    </x:row>
    <x:row r="1018">
      <x:c r="A1018" s="26" t="str">
        <x:v>ColorPie!A145:E145</x:v>
      </x:c>
      <x:c r="B1018" s="26" t="str">
        <x:v>Color Pie Ability</x:v>
      </x:c>
      <x:c r="C1018" s="26" t="str">
        <x:v>"Polymorph"</x:v>
      </x:c>
      <x:c r="D1018" s="26" t="str">
        <x:v>Primary: Red | Secondary: Blue</x:v>
      </x:c>
      <x:c r="E1018" s="26" t="str">
        <x:v>Red random outcome; blue known outcome</x:v>
      </x:c>
      <x:c r="F1018" s="26" t="str">
        <x:v>o:"\"Polymorph\""</x:v>
      </x:c>
      <x:c r="G1018" s="26" t="str">
        <x:v>Needs refinement</x:v>
      </x:c>
      <x:c r="H1018" s="26" t="str">
        <x:v>Color-pie semantic concept</x:v>
      </x:c>
      <x:c r="I1018" s="26" t="str">
        <x:v>Semantic concept</x:v>
      </x:c>
      <x:c r="J1018" s="26" t="str"/>
      <x:c r="K1018" s="26" t="str"/>
      <x:c r="L1018" s="26" t="str">
        <x:v>"polymorph"</x:v>
      </x:c>
      <x:c r="M1018" s="26" t="str">
        <x:v>Use curated mapping; otherwise keep unresolved</x:v>
      </x:c>
      <x:c r="N1018" s="26" t="str">
        <x:v>Semantic</x:v>
      </x:c>
      <x:c r="O1018" s="43" t="n">
        <x:v>0.3</x:v>
      </x:c>
      <x:c r="P1018" s="26" t="str">
        <x:v>Color Pie prose describes design space, not necessarily literal Oracle wording. Never use the source phrase as a blind o: search.</x:v>
      </x:c>
      <x:c r="Q1018" s="26" t="str">
        <x:v>https://scryfall.com/docs/syntax</x:v>
      </x:c>
      <x:c r="R1018" s="26" t="str">
        <x:v>2026-08-21</x:v>
      </x:c>
    </x:row>
    <x:row r="1019">
      <x:c r="A1019" s="26" t="str">
        <x:v>ColorPie!A146:E146</x:v>
      </x:c>
      <x:c r="B1019" s="26" t="str">
        <x:v>Color Pie Ability</x:v>
      </x:c>
      <x:c r="C1019" s="26" t="str">
        <x:v>Preventing actions</x:v>
      </x:c>
      <x:c r="D1019" s="26" t="str">
        <x:v>Primary: White</x:v>
      </x:c>
      <x:c r="E1019" s="26" t="str">
        <x:v>Your opponents can't cast spells this turn</x:v>
      </x:c>
      <x:c r="F1019" s="26" t="str">
        <x:v>o:"Preventing actions"</x:v>
      </x:c>
      <x:c r="G1019" s="26" t="str">
        <x:v>Needs refinement</x:v>
      </x:c>
      <x:c r="H1019" s="26" t="str">
        <x:v>Color-pie semantic concept</x:v>
      </x:c>
      <x:c r="I1019" s="26" t="str">
        <x:v>Semantic concept</x:v>
      </x:c>
      <x:c r="J1019" s="26" t="str"/>
      <x:c r="K1019" s="26" t="str"/>
      <x:c r="L1019" s="26" t="str">
        <x:v>preventing actions</x:v>
      </x:c>
      <x:c r="M1019" s="26" t="str">
        <x:v>Use curated mapping; otherwise keep unresolved</x:v>
      </x:c>
      <x:c r="N1019" s="26" t="str">
        <x:v>Semantic</x:v>
      </x:c>
      <x:c r="O1019" s="43" t="n">
        <x:v>0.3</x:v>
      </x:c>
      <x:c r="P1019" s="26" t="str">
        <x:v>Color Pie prose describes design space, not necessarily literal Oracle wording. Never use the source phrase as a blind o: search.</x:v>
      </x:c>
      <x:c r="Q1019" s="26" t="str">
        <x:v>https://scryfall.com/docs/syntax</x:v>
      </x:c>
      <x:c r="R1019" s="26" t="str">
        <x:v>2026-08-21</x:v>
      </x:c>
    </x:row>
    <x:row r="1020">
      <x:c r="A1020" s="26" t="str">
        <x:v>ColorPie!A147:E147</x:v>
      </x:c>
      <x:c r="B1020" s="26" t="str">
        <x:v>Color Pie Ability</x:v>
      </x:c>
      <x:c r="C1020" s="26" t="str">
        <x:v>Protection</x:v>
      </x:c>
      <x:c r="D1020" s="26" t="str">
        <x:v>Primary: White | Tertiary: Blue, Black, Red, Green</x:v>
      </x:c>
      <x:c r="E1020" s="26" t="str">
        <x:v>Mostly white; others from disliked things</x:v>
      </x:c>
      <x:c r="F1020" s="26" t="str">
        <x:v>o:"Protection"</x:v>
      </x:c>
      <x:c r="G1020" s="26" t="str">
        <x:v>Needs refinement</x:v>
      </x:c>
      <x:c r="H1020" s="26" t="str">
        <x:v>Color-pie semantic concept</x:v>
      </x:c>
      <x:c r="I1020" s="26" t="str">
        <x:v>Semantic concept</x:v>
      </x:c>
      <x:c r="J1020" s="26" t="str"/>
      <x:c r="K1020" s="26" t="str"/>
      <x:c r="L1020" s="26" t="str">
        <x:v>protection</x:v>
      </x:c>
      <x:c r="M1020" s="26" t="str">
        <x:v>Use curated mapping; otherwise keep unresolved</x:v>
      </x:c>
      <x:c r="N1020" s="26" t="str">
        <x:v>Semantic</x:v>
      </x:c>
      <x:c r="O1020" s="43" t="n">
        <x:v>0.3</x:v>
      </x:c>
      <x:c r="P1020" s="26" t="str">
        <x:v>Color Pie prose describes design space, not necessarily literal Oracle wording. Never use the source phrase as a blind o: search.</x:v>
      </x:c>
      <x:c r="Q1020" s="26" t="str">
        <x:v>https://scryfall.com/docs/syntax</x:v>
      </x:c>
      <x:c r="R1020" s="26" t="str">
        <x:v>2026-08-21</x:v>
      </x:c>
    </x:row>
    <x:row r="1021">
      <x:c r="A1021" s="26" t="str">
        <x:v>ColorPie!A148:E148</x:v>
      </x:c>
      <x:c r="B1021" s="26" t="str">
        <x:v>Color Pie Ability</x:v>
      </x:c>
      <x:c r="C1021" s="26" t="str">
        <x:v>Prowess</x:v>
      </x:c>
      <x:c r="D1021" s="26" t="str">
        <x:v>Primary: Blue | Secondary: Red | Tertiary: White</x:v>
      </x:c>
      <x:c r="E1021" s="26" t="str">
        <x:v>Started Jeskai; deciduous now</x:v>
      </x:c>
      <x:c r="F1021" s="26" t="str">
        <x:v>o:"Prowess"</x:v>
      </x:c>
      <x:c r="G1021" s="26" t="str">
        <x:v>Needs refinement</x:v>
      </x:c>
      <x:c r="H1021" s="26" t="str">
        <x:v>Color-pie semantic concept</x:v>
      </x:c>
      <x:c r="I1021" s="26" t="str">
        <x:v>Semantic concept</x:v>
      </x:c>
      <x:c r="J1021" s="26" t="str"/>
      <x:c r="K1021" s="26" t="str"/>
      <x:c r="L1021" s="26" t="str">
        <x:v>prowess</x:v>
      </x:c>
      <x:c r="M1021" s="26" t="str">
        <x:v>Use curated mapping; otherwise keep unresolved</x:v>
      </x:c>
      <x:c r="N1021" s="26" t="str">
        <x:v>Semantic</x:v>
      </x:c>
      <x:c r="O1021" s="43" t="n">
        <x:v>0.3</x:v>
      </x:c>
      <x:c r="P1021" s="26" t="str">
        <x:v>Color Pie prose describes design space, not necessarily literal Oracle wording. Never use the source phrase as a blind o: search.</x:v>
      </x:c>
      <x:c r="Q1021" s="26" t="str">
        <x:v>https://scryfall.com/docs/syntax</x:v>
      </x:c>
      <x:c r="R1021" s="26" t="str">
        <x:v>2026-08-21</x:v>
      </x:c>
    </x:row>
    <x:row r="1022">
      <x:c r="A1022" s="26" t="str">
        <x:v>ColorPie!A149:E149</x:v>
      </x:c>
      <x:c r="B1022" s="26" t="str">
        <x:v>Color Pie Ability</x:v>
      </x:c>
      <x:c r="C1022" s="26" t="str">
        <x:v>"Punisher" effects</x:v>
      </x:c>
      <x:c r="D1022" s="26" t="str">
        <x:v>Primary: Red | Secondary: Black</x:v>
      </x:c>
      <x:c r="E1022" s="26" t="str">
        <x:v>Opponent chooses: thing X or Y happens</x:v>
      </x:c>
      <x:c r="F1022" s="26" t="str">
        <x:v>o:"\"Punisher\" effects"</x:v>
      </x:c>
      <x:c r="G1022" s="26" t="str">
        <x:v>Needs refinement</x:v>
      </x:c>
      <x:c r="H1022" s="26" t="str">
        <x:v>Color-pie semantic concept</x:v>
      </x:c>
      <x:c r="I1022" s="26" t="str">
        <x:v>Semantic concept</x:v>
      </x:c>
      <x:c r="J1022" s="26" t="str"/>
      <x:c r="K1022" s="26" t="str"/>
      <x:c r="L1022" s="26" t="str">
        <x:v>"punisher" effects</x:v>
      </x:c>
      <x:c r="M1022" s="26" t="str">
        <x:v>Use curated mapping; otherwise keep unresolved</x:v>
      </x:c>
      <x:c r="N1022" s="26" t="str">
        <x:v>Semantic</x:v>
      </x:c>
      <x:c r="O1022" s="43" t="n">
        <x:v>0.3</x:v>
      </x:c>
      <x:c r="P1022" s="26" t="str">
        <x:v>Color Pie prose describes design space, not necessarily literal Oracle wording. Never use the source phrase as a blind o: search.</x:v>
      </x:c>
      <x:c r="Q1022" s="26" t="str">
        <x:v>https://scryfall.com/docs/syntax</x:v>
      </x:c>
      <x:c r="R1022" s="26" t="str">
        <x:v>2026-08-21</x:v>
      </x:c>
    </x:row>
    <x:row r="1023">
      <x:c r="A1023" s="26" t="str">
        <x:v>ColorPie!A150:E150</x:v>
      </x:c>
      <x:c r="B1023" s="26" t="str">
        <x:v>Color Pie Ability</x:v>
      </x:c>
      <x:c r="C1023" s="26" t="str">
        <x:v>Putting artifacts from hand onto battlefield</x:v>
      </x:c>
      <x:c r="D1023" s="26" t="str">
        <x:v>Primary: Blue | Secondary: White</x:v>
      </x:c>
      <x:c r="E1023" s="26" t="str">
        <x:v>Blue friendly to artifacts; white Equipment</x:v>
      </x:c>
      <x:c r="F1023" s="26" t="str">
        <x:v>o:"Putting artifacts from hand onto battlefield"</x:v>
      </x:c>
      <x:c r="G1023" s="26" t="str">
        <x:v>Needs refinement</x:v>
      </x:c>
      <x:c r="H1023" s="26" t="str">
        <x:v>Color-pie semantic concept</x:v>
      </x:c>
      <x:c r="I1023" s="26" t="str">
        <x:v>Semantic concept</x:v>
      </x:c>
      <x:c r="J1023" s="26" t="str"/>
      <x:c r="K1023" s="26" t="str"/>
      <x:c r="L1023" s="26" t="str">
        <x:v>putting artifacts from hand onto battlefield</x:v>
      </x:c>
      <x:c r="M1023" s="26" t="str">
        <x:v>Use curated mapping; otherwise keep unresolved</x:v>
      </x:c>
      <x:c r="N1023" s="26" t="str">
        <x:v>Semantic</x:v>
      </x:c>
      <x:c r="O1023" s="43" t="n">
        <x:v>0.3</x:v>
      </x:c>
      <x:c r="P1023" s="26" t="str">
        <x:v>Color Pie prose describes design space, not necessarily literal Oracle wording. Never use the source phrase as a blind o: search.</x:v>
      </x:c>
      <x:c r="Q1023" s="26" t="str">
        <x:v>https://scryfall.com/docs/syntax</x:v>
      </x:c>
      <x:c r="R1023" s="26" t="str">
        <x:v>2026-08-21</x:v>
      </x:c>
    </x:row>
    <x:row r="1024">
      <x:c r="A1024" s="26" t="str">
        <x:v>ColorPie!A151:E151</x:v>
      </x:c>
      <x:c r="B1024" s="26" t="str">
        <x:v>Color Pie Ability</x:v>
      </x:c>
      <x:c r="C1024" s="26" t="str">
        <x:v>Putting creatures from hand onto battlefield</x:v>
      </x:c>
      <x:c r="D1024" s="26" t="str">
        <x:v>Primary: Green | Secondary: Blue, Red | Tertiary: White, Black</x:v>
      </x:c>
      <x:c r="E1024" s="26" t="str">
        <x:v>Green most; blue transformation; red sacrifices at end</x:v>
      </x:c>
      <x:c r="F1024" s="26" t="str">
        <x:v>o:"Putting creatures from hand onto battlefield"</x:v>
      </x:c>
      <x:c r="G1024" s="26" t="str">
        <x:v>Needs refinement</x:v>
      </x:c>
      <x:c r="H1024" s="26" t="str">
        <x:v>Color-pie semantic concept</x:v>
      </x:c>
      <x:c r="I1024" s="26" t="str">
        <x:v>Semantic concept</x:v>
      </x:c>
      <x:c r="J1024" s="26" t="str"/>
      <x:c r="K1024" s="26" t="str"/>
      <x:c r="L1024" s="26" t="str">
        <x:v>putting creatures from hand onto battlefield</x:v>
      </x:c>
      <x:c r="M1024" s="26" t="str">
        <x:v>Use curated mapping; otherwise keep unresolved</x:v>
      </x:c>
      <x:c r="N1024" s="26" t="str">
        <x:v>Semantic</x:v>
      </x:c>
      <x:c r="O1024" s="43" t="n">
        <x:v>0.3</x:v>
      </x:c>
      <x:c r="P1024" s="26" t="str">
        <x:v>Color Pie prose describes design space, not necessarily literal Oracle wording. Never use the source phrase as a blind o: search.</x:v>
      </x:c>
      <x:c r="Q1024" s="26" t="str">
        <x:v>https://scryfall.com/docs/syntax</x:v>
      </x:c>
      <x:c r="R1024" s="26" t="str">
        <x:v>2026-08-21</x:v>
      </x:c>
    </x:row>
    <x:row r="1025">
      <x:c r="A1025" s="26" t="str">
        <x:v>ColorPie!A152:E152</x:v>
      </x:c>
      <x:c r="B1025" s="26" t="str">
        <x:v>Color Pie Ability</x:v>
      </x:c>
      <x:c r="C1025" s="26" t="str">
        <x:v>Putting enchantments from hand onto battlefield</x:v>
      </x:c>
      <x:c r="D1025" s="26" t="str">
        <x:v>Primary: White | Secondary: Green | Tertiary: Blue</x:v>
      </x:c>
      <x:c r="E1025" s="26" t="str">
        <x:v>White/blue tied to Auras; green any enchantment</x:v>
      </x:c>
      <x:c r="F1025" s="26" t="str">
        <x:v>o:"Putting enchantments from hand onto battlefield"</x:v>
      </x:c>
      <x:c r="G1025" s="26" t="str">
        <x:v>Needs refinement</x:v>
      </x:c>
      <x:c r="H1025" s="26" t="str">
        <x:v>Color-pie semantic concept</x:v>
      </x:c>
      <x:c r="I1025" s="26" t="str">
        <x:v>Semantic concept</x:v>
      </x:c>
      <x:c r="J1025" s="26" t="str"/>
      <x:c r="K1025" s="26" t="str"/>
      <x:c r="L1025" s="26" t="str">
        <x:v>putting enchantments from hand onto battlefield</x:v>
      </x:c>
      <x:c r="M1025" s="26" t="str">
        <x:v>Use curated mapping; otherwise keep unresolved</x:v>
      </x:c>
      <x:c r="N1025" s="26" t="str">
        <x:v>Semantic</x:v>
      </x:c>
      <x:c r="O1025" s="43" t="n">
        <x:v>0.3</x:v>
      </x:c>
      <x:c r="P1025" s="26" t="str">
        <x:v>Color Pie prose describes design space, not necessarily literal Oracle wording. Never use the source phrase as a blind o: search.</x:v>
      </x:c>
      <x:c r="Q1025" s="26" t="str">
        <x:v>https://scryfall.com/docs/syntax</x:v>
      </x:c>
      <x:c r="R1025" s="26" t="str">
        <x:v>2026-08-21</x:v>
      </x:c>
    </x:row>
    <x:row r="1026">
      <x:c r="A1026" s="26" t="str">
        <x:v>ColorPie!A153:E153</x:v>
      </x:c>
      <x:c r="B1026" s="26" t="str">
        <x:v>Color Pie Ability</x:v>
      </x:c>
      <x:c r="C1026" s="26" t="str">
        <x:v>Putting lands from hand onto battlefield</x:v>
      </x:c>
      <x:c r="D1026" s="26" t="str">
        <x:v>Primary: Green</x:v>
      </x:c>
      <x:c r="E1026" s="26" t="str">
        <x:v>Green still does it but not as often</x:v>
      </x:c>
      <x:c r="F1026" s="26" t="str">
        <x:v>o:"Putting lands from hand onto battlefield"</x:v>
      </x:c>
      <x:c r="G1026" s="26" t="str">
        <x:v>Needs refinement</x:v>
      </x:c>
      <x:c r="H1026" s="26" t="str">
        <x:v>Color-pie semantic concept</x:v>
      </x:c>
      <x:c r="I1026" s="26" t="str">
        <x:v>Semantic concept</x:v>
      </x:c>
      <x:c r="J1026" s="26" t="str"/>
      <x:c r="K1026" s="26" t="str"/>
      <x:c r="L1026" s="26" t="str">
        <x:v>putting lands from hand onto battlefield</x:v>
      </x:c>
      <x:c r="M1026" s="26" t="str">
        <x:v>Use curated mapping; otherwise keep unresolved</x:v>
      </x:c>
      <x:c r="N1026" s="26" t="str">
        <x:v>Semantic</x:v>
      </x:c>
      <x:c r="O1026" s="43" t="n">
        <x:v>0.3</x:v>
      </x:c>
      <x:c r="P1026" s="26" t="str">
        <x:v>Color Pie prose describes design space, not necessarily literal Oracle wording. Never use the source phrase as a blind o: search.</x:v>
      </x:c>
      <x:c r="Q1026" s="26" t="str">
        <x:v>https://scryfall.com/docs/syntax</x:v>
      </x:c>
      <x:c r="R1026" s="26" t="str">
        <x:v>2026-08-21</x:v>
      </x:c>
    </x:row>
    <x:row r="1027">
      <x:c r="A1027" s="26" t="str">
        <x:v>ColorPie!A154:E154</x:v>
      </x:c>
      <x:c r="B1027" s="26" t="str">
        <x:v>Color Pie Ability</x:v>
      </x:c>
      <x:c r="C1027" s="26" t="str">
        <x:v>Putting planeswalkers from hand onto battlefield</x:v>
      </x:c>
      <x:c r="D1027" s="26" t="str">
        <x:v>Primary: White</x:v>
      </x:c>
      <x:c r="E1027" s="26" t="str">
        <x:v>Not yet done; best guess is white</x:v>
      </x:c>
      <x:c r="F1027" s="26" t="str">
        <x:v>o:"Putting planeswalkers from hand onto battlefield"</x:v>
      </x:c>
      <x:c r="G1027" s="26" t="str">
        <x:v>Needs refinement</x:v>
      </x:c>
      <x:c r="H1027" s="26" t="str">
        <x:v>Color-pie semantic concept</x:v>
      </x:c>
      <x:c r="I1027" s="26" t="str">
        <x:v>Semantic concept</x:v>
      </x:c>
      <x:c r="J1027" s="26" t="str"/>
      <x:c r="K1027" s="26" t="str"/>
      <x:c r="L1027" s="26" t="str">
        <x:v>putting planeswalkers from hand onto battlefield</x:v>
      </x:c>
      <x:c r="M1027" s="26" t="str">
        <x:v>Use curated mapping; otherwise keep unresolved</x:v>
      </x:c>
      <x:c r="N1027" s="26" t="str">
        <x:v>Semantic</x:v>
      </x:c>
      <x:c r="O1027" s="43" t="n">
        <x:v>0.3</x:v>
      </x:c>
      <x:c r="P1027" s="26" t="str">
        <x:v>Color Pie prose describes design space, not necessarily literal Oracle wording. Never use the source phrase as a blind o: search.</x:v>
      </x:c>
      <x:c r="Q1027" s="26" t="str">
        <x:v>https://scryfall.com/docs/syntax</x:v>
      </x:c>
      <x:c r="R1027" s="26" t="str">
        <x:v>2026-08-21</x:v>
      </x:c>
    </x:row>
    <x:row r="1028">
      <x:c r="A1028" s="26" t="str">
        <x:v>ColorPie!A155:E155</x:v>
      </x:c>
      <x:c r="B1028" s="26" t="str">
        <x:v>Color Pie Ability</x:v>
      </x:c>
      <x:c r="C1028" s="26" t="str">
        <x:v>Random destruction effects</x:v>
      </x:c>
      <x:c r="D1028" s="26" t="str">
        <x:v>Primary: Red</x:v>
      </x:c>
      <x:c r="E1028" s="26" t="str">
        <x:v>Color of chaos; random nonenchantment permanents</x:v>
      </x:c>
      <x:c r="F1028" s="26" t="str">
        <x:v>o:"Random destruction effects"</x:v>
      </x:c>
      <x:c r="G1028" s="26" t="str">
        <x:v>Needs refinement</x:v>
      </x:c>
      <x:c r="H1028" s="26" t="str">
        <x:v>Color-pie semantic concept</x:v>
      </x:c>
      <x:c r="I1028" s="26" t="str">
        <x:v>Semantic concept</x:v>
      </x:c>
      <x:c r="J1028" s="26" t="str"/>
      <x:c r="K1028" s="26" t="str"/>
      <x:c r="L1028" s="26" t="str">
        <x:v>random destruction effects</x:v>
      </x:c>
      <x:c r="M1028" s="26" t="str">
        <x:v>Use curated mapping; otherwise keep unresolved</x:v>
      </x:c>
      <x:c r="N1028" s="26" t="str">
        <x:v>Semantic</x:v>
      </x:c>
      <x:c r="O1028" s="43" t="n">
        <x:v>0.3</x:v>
      </x:c>
      <x:c r="P1028" s="26" t="str">
        <x:v>Color Pie prose describes design space, not necessarily literal Oracle wording. Never use the source phrase as a blind o: search.</x:v>
      </x:c>
      <x:c r="Q1028" s="26" t="str">
        <x:v>https://scryfall.com/docs/syntax</x:v>
      </x:c>
      <x:c r="R1028" s="26" t="str">
        <x:v>2026-08-21</x:v>
      </x:c>
    </x:row>
    <x:row r="1029">
      <x:c r="A1029" s="26" t="str">
        <x:v>ColorPie!A156:E156</x:v>
      </x:c>
      <x:c r="B1029" s="26" t="str">
        <x:v>Color Pie Ability</x:v>
      </x:c>
      <x:c r="C1029" s="26" t="str">
        <x:v>Reach</x:v>
      </x:c>
      <x:c r="D1029" s="26" t="str">
        <x:v>Primary: Green | Secondary: Red | Tertiary: White</x:v>
      </x:c>
      <x:c r="E1029" s="26" t="str">
        <x:v>Green no flying tool; recently secondary in red; white archers</x:v>
      </x:c>
      <x:c r="F1029" s="26" t="str">
        <x:v>o:"Reach"</x:v>
      </x:c>
      <x:c r="G1029" s="26" t="str">
        <x:v>Needs refinement</x:v>
      </x:c>
      <x:c r="H1029" s="26" t="str">
        <x:v>Color-pie semantic concept</x:v>
      </x:c>
      <x:c r="I1029" s="26" t="str">
        <x:v>Semantic concept</x:v>
      </x:c>
      <x:c r="J1029" s="26" t="str"/>
      <x:c r="K1029" s="26" t="str"/>
      <x:c r="L1029" s="26" t="str">
        <x:v>reach</x:v>
      </x:c>
      <x:c r="M1029" s="26" t="str">
        <x:v>Use curated mapping; otherwise keep unresolved</x:v>
      </x:c>
      <x:c r="N1029" s="26" t="str">
        <x:v>Semantic</x:v>
      </x:c>
      <x:c r="O1029" s="43" t="n">
        <x:v>0.3</x:v>
      </x:c>
      <x:c r="P1029" s="26" t="str">
        <x:v>Color Pie prose describes design space, not necessarily literal Oracle wording. Never use the source phrase as a blind o: search.</x:v>
      </x:c>
      <x:c r="Q1029" s="26" t="str">
        <x:v>https://scryfall.com/docs/syntax</x:v>
      </x:c>
      <x:c r="R1029" s="26" t="str">
        <x:v>2026-08-21</x:v>
      </x:c>
    </x:row>
    <x:row r="1030">
      <x:c r="A1030" s="26" t="str">
        <x:v>ColorPie!A157:E157</x:v>
      </x:c>
      <x:c r="B1030" s="26" t="str">
        <x:v>Color Pie Ability</x:v>
      </x:c>
      <x:c r="C1030" s="26" t="str">
        <x:v>"Reanimate" permanent</x:v>
      </x:c>
      <x:c r="D1030" s="26" t="str">
        <x:v>Primary: White</x:v>
      </x:c>
      <x:c r="E1030" s="26" t="str">
        <x:v>White can reanimate any permanent type</x:v>
      </x:c>
      <x:c r="F1030" s="26" t="str">
        <x:v>o:"\"Reanimate\" permanent"</x:v>
      </x:c>
      <x:c r="G1030" s="26" t="str">
        <x:v>Needs refinement</x:v>
      </x:c>
      <x:c r="H1030" s="26" t="str">
        <x:v>Color-pie semantic concept</x:v>
      </x:c>
      <x:c r="I1030" s="26" t="str">
        <x:v>Semantic concept</x:v>
      </x:c>
      <x:c r="J1030" s="26" t="str"/>
      <x:c r="K1030" s="26" t="str"/>
      <x:c r="L1030" s="26" t="str">
        <x:v>"reanimate" permanent</x:v>
      </x:c>
      <x:c r="M1030" s="26" t="str">
        <x:v>Use curated mapping; otherwise keep unresolved</x:v>
      </x:c>
      <x:c r="N1030" s="26" t="str">
        <x:v>Semantic</x:v>
      </x:c>
      <x:c r="O1030" s="43" t="n">
        <x:v>0.3</x:v>
      </x:c>
      <x:c r="P1030" s="26" t="str">
        <x:v>Color Pie prose describes design space, not necessarily literal Oracle wording. Never use the source phrase as a blind o: search.</x:v>
      </x:c>
      <x:c r="Q1030" s="26" t="str">
        <x:v>https://scryfall.com/docs/syntax</x:v>
      </x:c>
      <x:c r="R1030" s="26" t="str">
        <x:v>2026-08-21</x:v>
      </x:c>
    </x:row>
    <x:row r="1031">
      <x:c r="A1031" s="26" t="str">
        <x:v>ColorPie!A158:E158</x:v>
      </x:c>
      <x:c r="B1031" s="26" t="str">
        <x:v>Color Pie Ability</x:v>
      </x:c>
      <x:c r="C1031" s="26" t="str">
        <x:v>"Reanimation" (creatures)</x:v>
      </x:c>
      <x:c r="D1031" s="26" t="str">
        <x:v>Primary: White, Black | Secondary: Red, Green</x:v>
      </x:c>
      <x:c r="E1031" s="26" t="str">
        <x:v>Black no restrictions; white smaller; red Phoenixes; green self</x:v>
      </x:c>
      <x:c r="F1031" s="26" t="str">
        <x:v>o:"\"Reanimation\" (creatures)"</x:v>
      </x:c>
      <x:c r="G1031" s="26" t="str">
        <x:v>Needs refinement</x:v>
      </x:c>
      <x:c r="H1031" s="26" t="str">
        <x:v>Color-pie semantic concept</x:v>
      </x:c>
      <x:c r="I1031" s="26" t="str">
        <x:v>Semantic concept</x:v>
      </x:c>
      <x:c r="J1031" s="26" t="str"/>
      <x:c r="K1031" s="26" t="str"/>
      <x:c r="L1031" s="26" t="str">
        <x:v>"reanimation" (creatures)</x:v>
      </x:c>
      <x:c r="M1031" s="26" t="str">
        <x:v>Use curated mapping; otherwise keep unresolved</x:v>
      </x:c>
      <x:c r="N1031" s="26" t="str">
        <x:v>Semantic</x:v>
      </x:c>
      <x:c r="O1031" s="43" t="n">
        <x:v>0.3</x:v>
      </x:c>
      <x:c r="P1031" s="26" t="str">
        <x:v>Color Pie prose describes design space, not necessarily literal Oracle wording. Never use the source phrase as a blind o: search.</x:v>
      </x:c>
      <x:c r="Q1031" s="26" t="str">
        <x:v>https://scryfall.com/docs/syntax</x:v>
      </x:c>
      <x:c r="R1031" s="26" t="str">
        <x:v>2026-08-21</x:v>
      </x:c>
    </x:row>
    <x:row r="1032">
      <x:c r="A1032" s="26" t="str">
        <x:v>ColorPie!A159:E159</x:v>
      </x:c>
      <x:c r="B1032" s="26" t="str">
        <x:v>Color Pie Ability</x:v>
      </x:c>
      <x:c r="C1032" s="26" t="str">
        <x:v>Removing counters</x:v>
      </x:c>
      <x:c r="D1032" s="26" t="str">
        <x:v>Primary: Black</x:v>
      </x:c>
      <x:c r="E1032" s="26" t="str">
        <x:v>Gets rid of counters from battlefield permanents</x:v>
      </x:c>
      <x:c r="F1032" s="26" t="str">
        <x:v>o:"Removing counters"</x:v>
      </x:c>
      <x:c r="G1032" s="26" t="str">
        <x:v>Needs refinement</x:v>
      </x:c>
      <x:c r="H1032" s="26" t="str">
        <x:v>Color-pie semantic concept</x:v>
      </x:c>
      <x:c r="I1032" s="26" t="str">
        <x:v>Semantic concept</x:v>
      </x:c>
      <x:c r="J1032" s="26" t="str"/>
      <x:c r="K1032" s="26" t="str"/>
      <x:c r="L1032" s="26" t="str">
        <x:v>removing counters</x:v>
      </x:c>
      <x:c r="M1032" s="26" t="str">
        <x:v>Use curated mapping; otherwise keep unresolved</x:v>
      </x:c>
      <x:c r="N1032" s="26" t="str">
        <x:v>Semantic</x:v>
      </x:c>
      <x:c r="O1032" s="43" t="n">
        <x:v>0.3</x:v>
      </x:c>
      <x:c r="P1032" s="26" t="str">
        <x:v>Color Pie prose describes design space, not necessarily literal Oracle wording. Never use the source phrase as a blind o: search.</x:v>
      </x:c>
      <x:c r="Q1032" s="26" t="str">
        <x:v>https://scryfall.com/docs/syntax</x:v>
      </x:c>
      <x:c r="R1032" s="26" t="str">
        <x:v>2026-08-21</x:v>
      </x:c>
    </x:row>
    <x:row r="1033">
      <x:c r="A1033" s="26" t="str">
        <x:v>ColorPie!A160:E160</x:v>
      </x:c>
      <x:c r="B1033" s="26" t="str">
        <x:v>Color Pie Ability</x:v>
      </x:c>
      <x:c r="C1033" s="26" t="str">
        <x:v>"Restocking"</x:v>
      </x:c>
      <x:c r="D1033" s="26" t="str">
        <x:v>Primary: Green, Blue</x:v>
      </x:c>
      <x:c r="E1033" s="26" t="str">
        <x:v>Putting cards from graveyard back into library</x:v>
      </x:c>
      <x:c r="F1033" s="26" t="str">
        <x:v>o:"\"Restocking\""</x:v>
      </x:c>
      <x:c r="G1033" s="26" t="str">
        <x:v>Needs refinement</x:v>
      </x:c>
      <x:c r="H1033" s="26" t="str">
        <x:v>Color-pie semantic concept</x:v>
      </x:c>
      <x:c r="I1033" s="26" t="str">
        <x:v>Semantic concept</x:v>
      </x:c>
      <x:c r="J1033" s="26" t="str"/>
      <x:c r="K1033" s="26" t="str"/>
      <x:c r="L1033" s="26" t="str">
        <x:v>"restocking"</x:v>
      </x:c>
      <x:c r="M1033" s="26" t="str">
        <x:v>Use curated mapping; otherwise keep unresolved</x:v>
      </x:c>
      <x:c r="N1033" s="26" t="str">
        <x:v>Semantic</x:v>
      </x:c>
      <x:c r="O1033" s="43" t="n">
        <x:v>0.3</x:v>
      </x:c>
      <x:c r="P1033" s="26" t="str">
        <x:v>Color Pie prose describes design space, not necessarily literal Oracle wording. Never use the source phrase as a blind o: search.</x:v>
      </x:c>
      <x:c r="Q1033" s="26" t="str">
        <x:v>https://scryfall.com/docs/syntax</x:v>
      </x:c>
      <x:c r="R1033" s="26" t="str">
        <x:v>2026-08-21</x:v>
      </x:c>
    </x:row>
    <x:row r="1034">
      <x:c r="A1034" s="26" t="str">
        <x:v>ColorPie!A161:E161</x:v>
      </x:c>
      <x:c r="B1034" s="26" t="str">
        <x:v>Color Pie Ability</x:v>
      </x:c>
      <x:c r="C1034" s="26" t="str">
        <x:v>Return target card from graveyard to hand</x:v>
      </x:c>
      <x:c r="D1034" s="26" t="str">
        <x:v>Primary: Green</x:v>
      </x:c>
      <x:c r="E1034" s="26" t="str">
        <x:v>Any card; uncommon or higher</x:v>
      </x:c>
      <x:c r="F1034" s="26" t="str">
        <x:v>o:"Return target card from graveyard to hand"</x:v>
      </x:c>
      <x:c r="G1034" s="26" t="str">
        <x:v>Needs refinement</x:v>
      </x:c>
      <x:c r="H1034" s="26" t="str">
        <x:v>Color-pie semantic concept</x:v>
      </x:c>
      <x:c r="I1034" s="26" t="str">
        <x:v>Oracle regex</x:v>
      </x:c>
      <x:c r="J1034" s="26" t="str">
        <x:v>o:/return.*graveyard/</x:v>
      </x:c>
      <x:c r="K1034" s="26" t="str"/>
      <x:c r="L1034" s="26" t="str">
        <x:v>return target card from graveyard to hand</x:v>
      </x:c>
      <x:c r="M1034" s="26" t="str">
        <x:v>Use curated mapping; otherwise keep unresolved</x:v>
      </x:c>
      <x:c r="N1034" s="26" t="str">
        <x:v>Review</x:v>
      </x:c>
      <x:c r="O1034" s="43" t="n">
        <x:v>0.68</x:v>
      </x:c>
      <x:c r="P1034" s="26" t="str">
        <x:v>Color Pie prose describes design space, not necessarily literal Oracle wording. Never use the source phrase as a blind o: search.</x:v>
      </x:c>
      <x:c r="Q1034" s="26" t="str">
        <x:v>https://scryfall.com/docs/syntax</x:v>
      </x:c>
      <x:c r="R1034" s="26" t="str">
        <x:v>2026-08-21</x:v>
      </x:c>
    </x:row>
    <x:row r="1035">
      <x:c r="A1035" s="26" t="str">
        <x:v>ColorPie!A162:E162</x:v>
      </x:c>
      <x:c r="B1035" s="26" t="str">
        <x:v>Color Pie Ability</x:v>
      </x:c>
      <x:c r="C1035" s="26" t="str">
        <x:v>Return target artifact from graveyard to hand</x:v>
      </x:c>
      <x:c r="D1035" s="26" t="str">
        <x:v>Primary: White</x:v>
      </x:c>
      <x:c r="E1035" s="26" t="str">
        <x:v>Moved from blue to white</x:v>
      </x:c>
      <x:c r="F1035" s="26" t="str">
        <x:v>o:"Return target artifact from graveyard to hand"</x:v>
      </x:c>
      <x:c r="G1035" s="26" t="str">
        <x:v>Needs refinement</x:v>
      </x:c>
      <x:c r="H1035" s="26" t="str">
        <x:v>Color-pie semantic concept</x:v>
      </x:c>
      <x:c r="I1035" s="26" t="str">
        <x:v>Oracle regex</x:v>
      </x:c>
      <x:c r="J1035" s="26" t="str">
        <x:v>o:/return.*graveyard/</x:v>
      </x:c>
      <x:c r="K1035" s="26" t="str"/>
      <x:c r="L1035" s="26" t="str">
        <x:v>return target artifact from graveyard to hand</x:v>
      </x:c>
      <x:c r="M1035" s="26" t="str">
        <x:v>Use curated mapping; otherwise keep unresolved</x:v>
      </x:c>
      <x:c r="N1035" s="26" t="str">
        <x:v>Review</x:v>
      </x:c>
      <x:c r="O1035" s="43" t="n">
        <x:v>0.68</x:v>
      </x:c>
      <x:c r="P1035" s="26" t="str">
        <x:v>Color Pie prose describes design space, not necessarily literal Oracle wording. Never use the source phrase as a blind o: search.</x:v>
      </x:c>
      <x:c r="Q1035" s="26" t="str">
        <x:v>https://scryfall.com/docs/syntax</x:v>
      </x:c>
      <x:c r="R1035" s="26" t="str">
        <x:v>2026-08-21</x:v>
      </x:c>
    </x:row>
    <x:row r="1036">
      <x:c r="A1036" s="26" t="str">
        <x:v>ColorPie!A163:E163</x:v>
      </x:c>
      <x:c r="B1036" s="26" t="str">
        <x:v>Color Pie Ability</x:v>
      </x:c>
      <x:c r="C1036" s="26" t="str">
        <x:v>Return target creature from graveyard to hand</x:v>
      </x:c>
      <x:c r="D1036" s="26" t="str">
        <x:v>Primary: Black | Secondary: White</x:v>
      </x:c>
      <x:c r="E1036" s="26" t="str">
        <x:v>Black any creature; white smaller mana costs</x:v>
      </x:c>
      <x:c r="F1036" s="26" t="str">
        <x:v>o:"Return target creature from graveyard to hand"</x:v>
      </x:c>
      <x:c r="G1036" s="26" t="str">
        <x:v>Needs refinement</x:v>
      </x:c>
      <x:c r="H1036" s="26" t="str">
        <x:v>Color-pie semantic concept</x:v>
      </x:c>
      <x:c r="I1036" s="26" t="str">
        <x:v>Oracle regex</x:v>
      </x:c>
      <x:c r="J1036" s="26" t="str">
        <x:v>o:/return.*graveyard/</x:v>
      </x:c>
      <x:c r="K1036" s="26" t="str"/>
      <x:c r="L1036" s="26" t="str">
        <x:v>return target creature from graveyard to hand</x:v>
      </x:c>
      <x:c r="M1036" s="26" t="str">
        <x:v>Use curated mapping; otherwise keep unresolved</x:v>
      </x:c>
      <x:c r="N1036" s="26" t="str">
        <x:v>Review</x:v>
      </x:c>
      <x:c r="O1036" s="43" t="n">
        <x:v>0.68</x:v>
      </x:c>
      <x:c r="P1036" s="26" t="str">
        <x:v>Color Pie prose describes design space, not necessarily literal Oracle wording. Never use the source phrase as a blind o: search.</x:v>
      </x:c>
      <x:c r="Q1036" s="26" t="str">
        <x:v>https://scryfall.com/docs/syntax</x:v>
      </x:c>
      <x:c r="R1036" s="26" t="str">
        <x:v>2026-08-21</x:v>
      </x:c>
    </x:row>
    <x:row r="1037">
      <x:c r="A1037" s="26" t="str">
        <x:v>ColorPie!A164:E164</x:v>
      </x:c>
      <x:c r="B1037" s="26" t="str">
        <x:v>Color Pie Ability</x:v>
      </x:c>
      <x:c r="C1037" s="26" t="str">
        <x:v>Return target enchantment from graveyard to hand</x:v>
      </x:c>
      <x:c r="D1037" s="26" t="str">
        <x:v>Primary: White</x:v>
      </x:c>
      <x:c r="E1037" s="26" t="str">
        <x:v>Getting back enchantments primarily white</x:v>
      </x:c>
      <x:c r="F1037" s="26" t="str">
        <x:v>o:"Return target enchantment from graveyard to hand"</x:v>
      </x:c>
      <x:c r="G1037" s="26" t="str">
        <x:v>Needs refinement</x:v>
      </x:c>
      <x:c r="H1037" s="26" t="str">
        <x:v>Color-pie semantic concept</x:v>
      </x:c>
      <x:c r="I1037" s="26" t="str">
        <x:v>Oracle regex</x:v>
      </x:c>
      <x:c r="J1037" s="26" t="str">
        <x:v>o:/return.*graveyard/</x:v>
      </x:c>
      <x:c r="K1037" s="26" t="str"/>
      <x:c r="L1037" s="26" t="str">
        <x:v>return target enchantment from graveyard to hand</x:v>
      </x:c>
      <x:c r="M1037" s="26" t="str">
        <x:v>Use curated mapping; otherwise keep unresolved</x:v>
      </x:c>
      <x:c r="N1037" s="26" t="str">
        <x:v>Review</x:v>
      </x:c>
      <x:c r="O1037" s="43" t="n">
        <x:v>0.68</x:v>
      </x:c>
      <x:c r="P1037" s="26" t="str">
        <x:v>Color Pie prose describes design space, not necessarily literal Oracle wording. Never use the source phrase as a blind o: search.</x:v>
      </x:c>
      <x:c r="Q1037" s="26" t="str">
        <x:v>https://scryfall.com/docs/syntax</x:v>
      </x:c>
      <x:c r="R1037" s="26" t="str">
        <x:v>2026-08-21</x:v>
      </x:c>
    </x:row>
    <x:row r="1038">
      <x:c r="A1038" s="26" t="str">
        <x:v>ColorPie!A165:E165</x:v>
      </x:c>
      <x:c r="B1038" s="26" t="str">
        <x:v>Color Pie Ability</x:v>
      </x:c>
      <x:c r="C1038" s="26" t="str">
        <x:v>Return target instant from graveyard to hand</x:v>
      </x:c>
      <x:c r="D1038" s="26" t="str">
        <x:v>Primary: Blue | Secondary: Red</x:v>
      </x:c>
      <x:c r="E1038" s="26" t="str">
        <x:v>Spell colors; blue leans instants</x:v>
      </x:c>
      <x:c r="F1038" s="26" t="str">
        <x:v>o:"Return target instant from graveyard to hand"</x:v>
      </x:c>
      <x:c r="G1038" s="26" t="str">
        <x:v>Needs refinement</x:v>
      </x:c>
      <x:c r="H1038" s="26" t="str">
        <x:v>Color-pie semantic concept</x:v>
      </x:c>
      <x:c r="I1038" s="26" t="str">
        <x:v>Oracle regex</x:v>
      </x:c>
      <x:c r="J1038" s="26" t="str">
        <x:v>o:/return.*graveyard/</x:v>
      </x:c>
      <x:c r="K1038" s="26" t="str"/>
      <x:c r="L1038" s="26" t="str">
        <x:v>return target instant from graveyard to hand</x:v>
      </x:c>
      <x:c r="M1038" s="26" t="str">
        <x:v>Use curated mapping; otherwise keep unresolved</x:v>
      </x:c>
      <x:c r="N1038" s="26" t="str">
        <x:v>Review</x:v>
      </x:c>
      <x:c r="O1038" s="43" t="n">
        <x:v>0.68</x:v>
      </x:c>
      <x:c r="P1038" s="26" t="str">
        <x:v>Color Pie prose describes design space, not necessarily literal Oracle wording. Never use the source phrase as a blind o: search.</x:v>
      </x:c>
      <x:c r="Q1038" s="26" t="str">
        <x:v>https://scryfall.com/docs/syntax</x:v>
      </x:c>
      <x:c r="R1038" s="26" t="str">
        <x:v>2026-08-21</x:v>
      </x:c>
    </x:row>
    <x:row r="1039">
      <x:c r="A1039" s="26" t="str">
        <x:v>ColorPie!A166:E166</x:v>
      </x:c>
      <x:c r="B1039" s="26" t="str">
        <x:v>Color Pie Ability</x:v>
      </x:c>
      <x:c r="C1039" s="26" t="str">
        <x:v>Return target land from graveyard to hand</x:v>
      </x:c>
      <x:c r="D1039" s="26" t="str">
        <x:v>Primary: Green</x:v>
      </x:c>
      <x:c r="E1039" s="26" t="str">
        <x:v>Green often gets back lands</x:v>
      </x:c>
      <x:c r="F1039" s="26" t="str">
        <x:v>o:"Return target land from graveyard to hand"</x:v>
      </x:c>
      <x:c r="G1039" s="26" t="str">
        <x:v>Needs refinement</x:v>
      </x:c>
      <x:c r="H1039" s="26" t="str">
        <x:v>Color-pie semantic concept</x:v>
      </x:c>
      <x:c r="I1039" s="26" t="str">
        <x:v>Oracle regex</x:v>
      </x:c>
      <x:c r="J1039" s="26" t="str">
        <x:v>o:/return.*graveyard/</x:v>
      </x:c>
      <x:c r="K1039" s="26" t="str"/>
      <x:c r="L1039" s="26" t="str">
        <x:v>return target land from graveyard to hand</x:v>
      </x:c>
      <x:c r="M1039" s="26" t="str">
        <x:v>Use curated mapping; otherwise keep unresolved</x:v>
      </x:c>
      <x:c r="N1039" s="26" t="str">
        <x:v>Review</x:v>
      </x:c>
      <x:c r="O1039" s="43" t="n">
        <x:v>0.68</x:v>
      </x:c>
      <x:c r="P1039" s="26" t="str">
        <x:v>Color Pie prose describes design space, not necessarily literal Oracle wording. Never use the source phrase as a blind o: search.</x:v>
      </x:c>
      <x:c r="Q1039" s="26" t="str">
        <x:v>https://scryfall.com/docs/syntax</x:v>
      </x:c>
      <x:c r="R1039" s="26" t="str">
        <x:v>2026-08-21</x:v>
      </x:c>
    </x:row>
    <x:row r="1040">
      <x:c r="A1040" s="26" t="str">
        <x:v>ColorPie!A167:E167</x:v>
      </x:c>
      <x:c r="B1040" s="26" t="str">
        <x:v>Color Pie Ability</x:v>
      </x:c>
      <x:c r="C1040" s="26" t="str">
        <x:v>Return target sorcery from graveyard to hand</x:v>
      </x:c>
      <x:c r="D1040" s="26" t="str">
        <x:v>Primary: Blue | Secondary: Red</x:v>
      </x:c>
      <x:c r="E1040" s="26" t="str">
        <x:v>Same as instants; red leans sorceries</x:v>
      </x:c>
      <x:c r="F1040" s="26" t="str">
        <x:v>o:"Return target sorcery from graveyard to hand"</x:v>
      </x:c>
      <x:c r="G1040" s="26" t="str">
        <x:v>Needs refinement</x:v>
      </x:c>
      <x:c r="H1040" s="26" t="str">
        <x:v>Color-pie semantic concept</x:v>
      </x:c>
      <x:c r="I1040" s="26" t="str">
        <x:v>Oracle regex</x:v>
      </x:c>
      <x:c r="J1040" s="26" t="str">
        <x:v>o:/return.*graveyard/</x:v>
      </x:c>
      <x:c r="K1040" s="26" t="str"/>
      <x:c r="L1040" s="26" t="str">
        <x:v>return target sorcery from graveyard to hand</x:v>
      </x:c>
      <x:c r="M1040" s="26" t="str">
        <x:v>Use curated mapping; otherwise keep unresolved</x:v>
      </x:c>
      <x:c r="N1040" s="26" t="str">
        <x:v>Review</x:v>
      </x:c>
      <x:c r="O1040" s="43" t="n">
        <x:v>0.68</x:v>
      </x:c>
      <x:c r="P1040" s="26" t="str">
        <x:v>Color Pie prose describes design space, not necessarily literal Oracle wording. Never use the source phrase as a blind o: search.</x:v>
      </x:c>
      <x:c r="Q1040" s="26" t="str">
        <x:v>https://scryfall.com/docs/syntax</x:v>
      </x:c>
      <x:c r="R1040" s="26" t="str">
        <x:v>2026-08-21</x:v>
      </x:c>
    </x:row>
    <x:row r="1041">
      <x:c r="A1041" s="26" t="str">
        <x:v>ColorPie!A168:E168</x:v>
      </x:c>
      <x:c r="B1041" s="26" t="str">
        <x:v>Color Pie Ability</x:v>
      </x:c>
      <x:c r="C1041" s="26" t="str">
        <x:v>"Return to hand"</x:v>
      </x:c>
      <x:c r="D1041" s="26" t="str">
        <x:v>Primary: Blue</x:v>
      </x:c>
      <x:c r="E1041" s="26" t="str">
        <x:v>Return target nonland permanent/creature to owner's hand</x:v>
      </x:c>
      <x:c r="F1041" s="26" t="str">
        <x:v>o:"\"Return to hand\""</x:v>
      </x:c>
      <x:c r="G1041" s="26" t="str">
        <x:v>Needs refinement</x:v>
      </x:c>
      <x:c r="H1041" s="26" t="str">
        <x:v>Color-pie semantic concept</x:v>
      </x:c>
      <x:c r="I1041" s="26" t="str">
        <x:v>Semantic concept</x:v>
      </x:c>
      <x:c r="J1041" s="26" t="str"/>
      <x:c r="K1041" s="26" t="str"/>
      <x:c r="L1041" s="26" t="str">
        <x:v>"return to hand"</x:v>
      </x:c>
      <x:c r="M1041" s="26" t="str">
        <x:v>Use curated mapping; otherwise keep unresolved</x:v>
      </x:c>
      <x:c r="N1041" s="26" t="str">
        <x:v>Semantic</x:v>
      </x:c>
      <x:c r="O1041" s="43" t="n">
        <x:v>0.3</x:v>
      </x:c>
      <x:c r="P1041" s="26" t="str">
        <x:v>Color Pie prose describes design space, not necessarily literal Oracle wording. Never use the source phrase as a blind o: search.</x:v>
      </x:c>
      <x:c r="Q1041" s="26" t="str">
        <x:v>https://scryfall.com/docs/syntax</x:v>
      </x:c>
      <x:c r="R1041" s="26" t="str">
        <x:v>2026-08-21</x:v>
      </x:c>
    </x:row>
    <x:row r="1042">
      <x:c r="A1042" s="26" t="str">
        <x:v>ColorPie!A169:E169</x:v>
      </x:c>
      <x:c r="B1042" s="26" t="str">
        <x:v>Color Pie Ability</x:v>
      </x:c>
      <x:c r="C1042" s="26" t="str">
        <x:v>"Rewards for death"</x:v>
      </x:c>
      <x:c r="D1042" s="26" t="str">
        <x:v>Primary: Black | Secondary: White | Tertiary: Green</x:v>
      </x:c>
      <x:c r="E1042" s="26" t="str">
        <x:v>Black whenever creature dies; white your creatures; green creature-triggered</x:v>
      </x:c>
      <x:c r="F1042" s="26" t="str">
        <x:v>o:"\"Rewards for death\""</x:v>
      </x:c>
      <x:c r="G1042" s="26" t="str">
        <x:v>Needs refinement</x:v>
      </x:c>
      <x:c r="H1042" s="26" t="str">
        <x:v>Color-pie semantic concept</x:v>
      </x:c>
      <x:c r="I1042" s="26" t="str">
        <x:v>Semantic concept</x:v>
      </x:c>
      <x:c r="J1042" s="26" t="str"/>
      <x:c r="K1042" s="26" t="str"/>
      <x:c r="L1042" s="26" t="str">
        <x:v>"rewards for death"</x:v>
      </x:c>
      <x:c r="M1042" s="26" t="str">
        <x:v>Use curated mapping; otherwise keep unresolved</x:v>
      </x:c>
      <x:c r="N1042" s="26" t="str">
        <x:v>Semantic</x:v>
      </x:c>
      <x:c r="O1042" s="43" t="n">
        <x:v>0.3</x:v>
      </x:c>
      <x:c r="P1042" s="26" t="str">
        <x:v>Color Pie prose describes design space, not necessarily literal Oracle wording. Never use the source phrase as a blind o: search.</x:v>
      </x:c>
      <x:c r="Q1042" s="26" t="str">
        <x:v>https://scryfall.com/docs/syntax</x:v>
      </x:c>
      <x:c r="R1042" s="26" t="str">
        <x:v>2026-08-21</x:v>
      </x:c>
    </x:row>
    <x:row r="1043">
      <x:c r="A1043" s="26" t="str">
        <x:v>ColorPie!A170:E170</x:v>
      </x:c>
      <x:c r="B1043" s="26" t="str">
        <x:v>Color Pie Ability</x:v>
      </x:c>
      <x:c r="C1043" s="26" t="str">
        <x:v>Rules setting</x:v>
      </x:c>
      <x:c r="D1043" s="26" t="str">
        <x:v>Primary: White | Secondary: Blue</x:v>
      </x:c>
      <x:c r="E1043" s="26" t="str">
        <x:v>Card says players can or can't do something</x:v>
      </x:c>
      <x:c r="F1043" s="26" t="str">
        <x:v>o:"Rules setting"</x:v>
      </x:c>
      <x:c r="G1043" s="26" t="str">
        <x:v>Needs refinement</x:v>
      </x:c>
      <x:c r="H1043" s="26" t="str">
        <x:v>Color-pie semantic concept</x:v>
      </x:c>
      <x:c r="I1043" s="26" t="str">
        <x:v>Semantic concept</x:v>
      </x:c>
      <x:c r="J1043" s="26" t="str"/>
      <x:c r="K1043" s="26" t="str"/>
      <x:c r="L1043" s="26" t="str">
        <x:v>rules setting</x:v>
      </x:c>
      <x:c r="M1043" s="26" t="str">
        <x:v>Use curated mapping; otherwise keep unresolved</x:v>
      </x:c>
      <x:c r="N1043" s="26" t="str">
        <x:v>Semantic</x:v>
      </x:c>
      <x:c r="O1043" s="43" t="n">
        <x:v>0.3</x:v>
      </x:c>
      <x:c r="P1043" s="26" t="str">
        <x:v>Color Pie prose describes design space, not necessarily literal Oracle wording. Never use the source phrase as a blind o: search.</x:v>
      </x:c>
      <x:c r="Q1043" s="26" t="str">
        <x:v>https://scryfall.com/docs/syntax</x:v>
      </x:c>
      <x:c r="R1043" s="26" t="str">
        <x:v>2026-08-21</x:v>
      </x:c>
    </x:row>
    <x:row r="1044">
      <x:c r="A1044" s="26" t="str">
        <x:v>ColorPie!A171:E171</x:v>
      </x:c>
      <x:c r="B1044" s="26" t="str">
        <x:v>Color Pie Ability</x:v>
      </x:c>
      <x:c r="C1044" s="26" t="str">
        <x:v>"Rummaging"</x:v>
      </x:c>
      <x:c r="D1044" s="26" t="str">
        <x:v>Primary: Red</x:v>
      </x:c>
      <x:c r="E1044" s="26" t="str">
        <x:v>Discard a card, then draw a card (red looting)</x:v>
      </x:c>
      <x:c r="F1044" s="26" t="str">
        <x:v>o:"\"Rummaging\""</x:v>
      </x:c>
      <x:c r="G1044" s="26" t="str">
        <x:v>Needs refinement</x:v>
      </x:c>
      <x:c r="H1044" s="26" t="str">
        <x:v>Color-pie semantic concept</x:v>
      </x:c>
      <x:c r="I1044" s="26" t="str">
        <x:v>Semantic concept</x:v>
      </x:c>
      <x:c r="J1044" s="26" t="str"/>
      <x:c r="K1044" s="26" t="str"/>
      <x:c r="L1044" s="26" t="str">
        <x:v>"rummaging"</x:v>
      </x:c>
      <x:c r="M1044" s="26" t="str">
        <x:v>Use curated mapping; otherwise keep unresolved</x:v>
      </x:c>
      <x:c r="N1044" s="26" t="str">
        <x:v>Semantic</x:v>
      </x:c>
      <x:c r="O1044" s="43" t="n">
        <x:v>0.3</x:v>
      </x:c>
      <x:c r="P1044" s="26" t="str">
        <x:v>Color Pie prose describes design space, not necessarily literal Oracle wording. Never use the source phrase as a blind o: search.</x:v>
      </x:c>
      <x:c r="Q1044" s="26" t="str">
        <x:v>https://scryfall.com/docs/syntax</x:v>
      </x:c>
      <x:c r="R1044" s="26" t="str">
        <x:v>2026-08-21</x:v>
      </x:c>
    </x:row>
    <x:row r="1045">
      <x:c r="A1045" s="26" t="str">
        <x:v>ColorPie!A172:E172</x:v>
      </x:c>
      <x:c r="B1045" s="26" t="str">
        <x:v>Color Pie Ability</x:v>
      </x:c>
      <x:c r="C1045" s="26" t="str">
        <x:v>Sacrifice an artifact</x:v>
      </x:c>
      <x:c r="D1045" s="26" t="str">
        <x:v>Primary: Black | Secondary: Red</x:v>
      </x:c>
      <x:c r="E1045" s="26" t="str">
        <x:v>Black can sacrifice permanents; red very artifact-friendly</x:v>
      </x:c>
      <x:c r="F1045" s="26" t="str">
        <x:v>o:"Sacrifice an artifact"</x:v>
      </x:c>
      <x:c r="G1045" s="26" t="str">
        <x:v>Needs refinement</x:v>
      </x:c>
      <x:c r="H1045" s="26" t="str">
        <x:v>Color-pie semantic concept</x:v>
      </x:c>
      <x:c r="I1045" s="26" t="str">
        <x:v>Oracle text</x:v>
      </x:c>
      <x:c r="J1045" s="26" t="str">
        <x:v>o:sacrifice</x:v>
      </x:c>
      <x:c r="K1045" s="26" t="str"/>
      <x:c r="L1045" s="26" t="str">
        <x:v>sacrifice an artifact</x:v>
      </x:c>
      <x:c r="M1045" s="26" t="str">
        <x:v>Use curated mapping; otherwise keep unresolved</x:v>
      </x:c>
      <x:c r="N1045" s="26" t="str">
        <x:v>Review</x:v>
      </x:c>
      <x:c r="O1045" s="43" t="n">
        <x:v>0.68</x:v>
      </x:c>
      <x:c r="P1045" s="26" t="str">
        <x:v>Color Pie prose describes design space, not necessarily literal Oracle wording. Never use the source phrase as a blind o: search.</x:v>
      </x:c>
      <x:c r="Q1045" s="26" t="str">
        <x:v>https://scryfall.com/docs/syntax</x:v>
      </x:c>
      <x:c r="R1045" s="26" t="str">
        <x:v>2026-08-21</x:v>
      </x:c>
    </x:row>
    <x:row r="1046">
      <x:c r="A1046" s="26" t="str">
        <x:v>ColorPie!A173:E173</x:v>
      </x:c>
      <x:c r="B1046" s="26" t="str">
        <x:v>Color Pie Ability</x:v>
      </x:c>
      <x:c r="C1046" s="26" t="str">
        <x:v>Sacrifice a creature</x:v>
      </x:c>
      <x:c r="D1046" s="26" t="str">
        <x:v>Primary: Black | Secondary: Red</x:v>
      </x:c>
      <x:c r="E1046" s="26" t="str">
        <x:v>Black most common; red started with Goblins</x:v>
      </x:c>
      <x:c r="F1046" s="26" t="str">
        <x:v>o:"Sacrifice a creature"</x:v>
      </x:c>
      <x:c r="G1046" s="26" t="str">
        <x:v>Needs refinement</x:v>
      </x:c>
      <x:c r="H1046" s="26" t="str">
        <x:v>Color-pie semantic concept</x:v>
      </x:c>
      <x:c r="I1046" s="26" t="str">
        <x:v>Oracle text</x:v>
      </x:c>
      <x:c r="J1046" s="26" t="str">
        <x:v>o:sacrifice</x:v>
      </x:c>
      <x:c r="K1046" s="26" t="str"/>
      <x:c r="L1046" s="26" t="str">
        <x:v>sacrifice a creature</x:v>
      </x:c>
      <x:c r="M1046" s="26" t="str">
        <x:v>Use curated mapping; otherwise keep unresolved</x:v>
      </x:c>
      <x:c r="N1046" s="26" t="str">
        <x:v>Review</x:v>
      </x:c>
      <x:c r="O1046" s="43" t="n">
        <x:v>0.68</x:v>
      </x:c>
      <x:c r="P1046" s="26" t="str">
        <x:v>Color Pie prose describes design space, not necessarily literal Oracle wording. Never use the source phrase as a blind o: search.</x:v>
      </x:c>
      <x:c r="Q1046" s="26" t="str">
        <x:v>https://scryfall.com/docs/syntax</x:v>
      </x:c>
      <x:c r="R1046" s="26" t="str">
        <x:v>2026-08-21</x:v>
      </x:c>
    </x:row>
    <x:row r="1047">
      <x:c r="A1047" s="26" t="str">
        <x:v>ColorPie!A174:E174</x:v>
      </x:c>
      <x:c r="B1047" s="26" t="str">
        <x:v>Color Pie Ability</x:v>
      </x:c>
      <x:c r="C1047" s="26" t="str">
        <x:v>Sacrifice an enchantment</x:v>
      </x:c>
      <x:c r="D1047" s="26" t="str">
        <x:v>Primary: Black | Secondary: Green</x:v>
      </x:c>
      <x:c r="E1047" s="26" t="str">
        <x:v>Black any permanent; green recently added</x:v>
      </x:c>
      <x:c r="F1047" s="26" t="str">
        <x:v>o:"Sacrifice an enchantment"</x:v>
      </x:c>
      <x:c r="G1047" s="26" t="str">
        <x:v>Needs refinement</x:v>
      </x:c>
      <x:c r="H1047" s="26" t="str">
        <x:v>Color-pie semantic concept</x:v>
      </x:c>
      <x:c r="I1047" s="26" t="str">
        <x:v>Oracle text</x:v>
      </x:c>
      <x:c r="J1047" s="26" t="str">
        <x:v>o:sacrifice</x:v>
      </x:c>
      <x:c r="K1047" s="26" t="str"/>
      <x:c r="L1047" s="26" t="str">
        <x:v>sacrifice an enchantment</x:v>
      </x:c>
      <x:c r="M1047" s="26" t="str">
        <x:v>Use curated mapping; otherwise keep unresolved</x:v>
      </x:c>
      <x:c r="N1047" s="26" t="str">
        <x:v>Review</x:v>
      </x:c>
      <x:c r="O1047" s="43" t="n">
        <x:v>0.68</x:v>
      </x:c>
      <x:c r="P1047" s="26" t="str">
        <x:v>Color Pie prose describes design space, not necessarily literal Oracle wording. Never use the source phrase as a blind o: search.</x:v>
      </x:c>
      <x:c r="Q1047" s="26" t="str">
        <x:v>https://scryfall.com/docs/syntax</x:v>
      </x:c>
      <x:c r="R1047" s="26" t="str">
        <x:v>2026-08-21</x:v>
      </x:c>
    </x:row>
    <x:row r="1048">
      <x:c r="A1048" s="26" t="str">
        <x:v>ColorPie!A175:E175</x:v>
      </x:c>
      <x:c r="B1048" s="26" t="str">
        <x:v>Color Pie Ability</x:v>
      </x:c>
      <x:c r="C1048" s="26" t="str">
        <x:v>Sacrifice a land</x:v>
      </x:c>
      <x:c r="D1048" s="26" t="str">
        <x:v>Primary: Black | Secondary: Red | Tertiary: Green</x:v>
      </x:c>
      <x:c r="E1048" s="26" t="str">
        <x:v>Black any permanent; red tied to land destruction</x:v>
      </x:c>
      <x:c r="F1048" s="26" t="str">
        <x:v>o:"Sacrifice a land"</x:v>
      </x:c>
      <x:c r="G1048" s="26" t="str">
        <x:v>Needs refinement</x:v>
      </x:c>
      <x:c r="H1048" s="26" t="str">
        <x:v>Color-pie semantic concept</x:v>
      </x:c>
      <x:c r="I1048" s="26" t="str">
        <x:v>Oracle text</x:v>
      </x:c>
      <x:c r="J1048" s="26" t="str">
        <x:v>o:sacrifice</x:v>
      </x:c>
      <x:c r="K1048" s="26" t="str"/>
      <x:c r="L1048" s="26" t="str">
        <x:v>sacrifice a land</x:v>
      </x:c>
      <x:c r="M1048" s="26" t="str">
        <x:v>Use curated mapping; otherwise keep unresolved</x:v>
      </x:c>
      <x:c r="N1048" s="26" t="str">
        <x:v>Review</x:v>
      </x:c>
      <x:c r="O1048" s="43" t="n">
        <x:v>0.68</x:v>
      </x:c>
      <x:c r="P1048" s="26" t="str">
        <x:v>Color Pie prose describes design space, not necessarily literal Oracle wording. Never use the source phrase as a blind o: search.</x:v>
      </x:c>
      <x:c r="Q1048" s="26" t="str">
        <x:v>https://scryfall.com/docs/syntax</x:v>
      </x:c>
      <x:c r="R1048" s="26" t="str">
        <x:v>2026-08-21</x:v>
      </x:c>
    </x:row>
    <x:row r="1049">
      <x:c r="A1049" s="26" t="str">
        <x:v>ColorPie!A176:E176</x:v>
      </x:c>
      <x:c r="B1049" s="26" t="str">
        <x:v>Color Pie Ability</x:v>
      </x:c>
      <x:c r="C1049" s="26" t="str">
        <x:v>Sacrifice a permanent</x:v>
      </x:c>
      <x:c r="D1049" s="26" t="str">
        <x:v>Primary: Black | Secondary: Red | Tertiary: White</x:v>
      </x:c>
      <x:c r="E1049" s="26" t="str">
        <x:v>Black most common; red doing more; white rare tax</x:v>
      </x:c>
      <x:c r="F1049" s="26" t="str">
        <x:v>o:"Sacrifice a permanent"</x:v>
      </x:c>
      <x:c r="G1049" s="26" t="str">
        <x:v>Needs refinement</x:v>
      </x:c>
      <x:c r="H1049" s="26" t="str">
        <x:v>Color-pie semantic concept</x:v>
      </x:c>
      <x:c r="I1049" s="26" t="str">
        <x:v>Oracle text</x:v>
      </x:c>
      <x:c r="J1049" s="26" t="str">
        <x:v>o:sacrifice</x:v>
      </x:c>
      <x:c r="K1049" s="26" t="str"/>
      <x:c r="L1049" s="26" t="str">
        <x:v>sacrifice a permanent</x:v>
      </x:c>
      <x:c r="M1049" s="26" t="str">
        <x:v>Use curated mapping; otherwise keep unresolved</x:v>
      </x:c>
      <x:c r="N1049" s="26" t="str">
        <x:v>Review</x:v>
      </x:c>
      <x:c r="O1049" s="43" t="n">
        <x:v>0.68</x:v>
      </x:c>
      <x:c r="P1049" s="26" t="str">
        <x:v>Color Pie prose describes design space, not necessarily literal Oracle wording. Never use the source phrase as a blind o: search.</x:v>
      </x:c>
      <x:c r="Q1049" s="26" t="str">
        <x:v>https://scryfall.com/docs/syntax</x:v>
      </x:c>
      <x:c r="R1049" s="26" t="str">
        <x:v>2026-08-21</x:v>
      </x:c>
    </x:row>
    <x:row r="1050">
      <x:c r="A1050" s="26" t="str">
        <x:v>ColorPie!A177:E177</x:v>
      </x:c>
      <x:c r="B1050" s="26" t="str">
        <x:v>Color Pie Ability</x:v>
      </x:c>
      <x:c r="C1050" s="26" t="str">
        <x:v>Scry</x:v>
      </x:c>
      <x:c r="D1050" s="26" t="str">
        <x:v>Secondary: White, Blue, Black, Red, Green</x:v>
      </x:c>
      <x:c r="E1050" s="26" t="str">
        <x:v>No primary; deciduous in all colors</x:v>
      </x:c>
      <x:c r="F1050" s="26" t="str">
        <x:v>o:"Scry"</x:v>
      </x:c>
      <x:c r="G1050" s="26" t="str">
        <x:v>Needs refinement</x:v>
      </x:c>
      <x:c r="H1050" s="26" t="str">
        <x:v>Color-pie semantic concept</x:v>
      </x:c>
      <x:c r="I1050" s="26" t="str">
        <x:v>Semantic concept</x:v>
      </x:c>
      <x:c r="J1050" s="26" t="str"/>
      <x:c r="K1050" s="26" t="str"/>
      <x:c r="L1050" s="26" t="str">
        <x:v>scry</x:v>
      </x:c>
      <x:c r="M1050" s="26" t="str">
        <x:v>Use curated mapping; otherwise keep unresolved</x:v>
      </x:c>
      <x:c r="N1050" s="26" t="str">
        <x:v>Semantic</x:v>
      </x:c>
      <x:c r="O1050" s="43" t="n">
        <x:v>0.3</x:v>
      </x:c>
      <x:c r="P1050" s="26" t="str">
        <x:v>Color Pie prose describes design space, not necessarily literal Oracle wording. Never use the source phrase as a blind o: search.</x:v>
      </x:c>
      <x:c r="Q1050" s="26" t="str">
        <x:v>https://scryfall.com/docs/syntax</x:v>
      </x:c>
      <x:c r="R1050" s="26" t="str">
        <x:v>2026-08-21</x:v>
      </x:c>
    </x:row>
    <x:row r="1051">
      <x:c r="A1051" s="26" t="str">
        <x:v>ColorPie!A178:E178</x:v>
      </x:c>
      <x:c r="B1051" s="26" t="str">
        <x:v>Color Pie Ability</x:v>
      </x:c>
      <x:c r="C1051" s="26" t="str">
        <x:v>"Sengir" ability</x:v>
      </x:c>
      <x:c r="D1051" s="26" t="str">
        <x:v>Primary: Black</x:v>
      </x:c>
      <x:c r="E1051" s="26" t="str">
        <x:v>Whenever creature dealt damage by this creature dies, get +1/+1 counter</x:v>
      </x:c>
      <x:c r="F1051" s="26" t="str">
        <x:v>o:"\"Sengir\" ability"</x:v>
      </x:c>
      <x:c r="G1051" s="26" t="str">
        <x:v>Needs refinement</x:v>
      </x:c>
      <x:c r="H1051" s="26" t="str">
        <x:v>Color-pie semantic concept</x:v>
      </x:c>
      <x:c r="I1051" s="26" t="str">
        <x:v>Semantic concept</x:v>
      </x:c>
      <x:c r="J1051" s="26" t="str"/>
      <x:c r="K1051" s="26" t="str"/>
      <x:c r="L1051" s="26" t="str">
        <x:v>"sengir" ability</x:v>
      </x:c>
      <x:c r="M1051" s="26" t="str">
        <x:v>Use curated mapping; otherwise keep unresolved</x:v>
      </x:c>
      <x:c r="N1051" s="26" t="str">
        <x:v>Semantic</x:v>
      </x:c>
      <x:c r="O1051" s="43" t="n">
        <x:v>0.3</x:v>
      </x:c>
      <x:c r="P1051" s="26" t="str">
        <x:v>Color Pie prose describes design space, not necessarily literal Oracle wording. Never use the source phrase as a blind o: search.</x:v>
      </x:c>
      <x:c r="Q1051" s="26" t="str">
        <x:v>https://scryfall.com/docs/syntax</x:v>
      </x:c>
      <x:c r="R1051" s="26" t="str">
        <x:v>2026-08-21</x:v>
      </x:c>
    </x:row>
    <x:row r="1052">
      <x:c r="A1052" s="26" t="str">
        <x:v>ColorPie!A179:E179</x:v>
      </x:c>
      <x:c r="B1052" s="26" t="str">
        <x:v>Color Pie Ability</x:v>
      </x:c>
      <x:c r="C1052" s="26" t="str">
        <x:v>"Specter" ability</x:v>
      </x:c>
      <x:c r="D1052" s="26" t="str">
        <x:v>Primary: Black</x:v>
      </x:c>
      <x:c r="E1052" s="26" t="str">
        <x:v>Whenever this creature deals combat damage to a player, that player discards</x:v>
      </x:c>
      <x:c r="F1052" s="26" t="str">
        <x:v>o:"\"Specter\" ability"</x:v>
      </x:c>
      <x:c r="G1052" s="26" t="str">
        <x:v>Needs refinement</x:v>
      </x:c>
      <x:c r="H1052" s="26" t="str">
        <x:v>Color-pie semantic concept</x:v>
      </x:c>
      <x:c r="I1052" s="26" t="str">
        <x:v>Semantic concept</x:v>
      </x:c>
      <x:c r="J1052" s="26" t="str"/>
      <x:c r="K1052" s="26" t="str"/>
      <x:c r="L1052" s="26" t="str">
        <x:v>"specter" ability</x:v>
      </x:c>
      <x:c r="M1052" s="26" t="str">
        <x:v>Use curated mapping; otherwise keep unresolved</x:v>
      </x:c>
      <x:c r="N1052" s="26" t="str">
        <x:v>Semantic</x:v>
      </x:c>
      <x:c r="O1052" s="43" t="n">
        <x:v>0.3</x:v>
      </x:c>
      <x:c r="P1052" s="26" t="str">
        <x:v>Color Pie prose describes design space, not necessarily literal Oracle wording. Never use the source phrase as a blind o: search.</x:v>
      </x:c>
      <x:c r="Q1052" s="26" t="str">
        <x:v>https://scryfall.com/docs/syntax</x:v>
      </x:c>
      <x:c r="R1052" s="26" t="str">
        <x:v>2026-08-21</x:v>
      </x:c>
    </x:row>
    <x:row r="1053">
      <x:c r="A1053" s="26" t="str">
        <x:v>ColorPie!A180:E180</x:v>
      </x:c>
      <x:c r="B1053" s="26" t="str">
        <x:v>Color Pie Ability</x:v>
      </x:c>
      <x:c r="C1053" s="26" t="str">
        <x:v>Spell copying</x:v>
      </x:c>
      <x:c r="D1053" s="26" t="str">
        <x:v>Primary: Blue, Red</x:v>
      </x:c>
      <x:c r="E1053" s="26" t="str">
        <x:v>Red copies things you control; blue copies anything</x:v>
      </x:c>
      <x:c r="F1053" s="26" t="str">
        <x:v>o:"Spell copying"</x:v>
      </x:c>
      <x:c r="G1053" s="26" t="str">
        <x:v>Needs refinement</x:v>
      </x:c>
      <x:c r="H1053" s="26" t="str">
        <x:v>Color-pie semantic concept</x:v>
      </x:c>
      <x:c r="I1053" s="26" t="str">
        <x:v>Semantic concept</x:v>
      </x:c>
      <x:c r="J1053" s="26" t="str"/>
      <x:c r="K1053" s="26" t="str"/>
      <x:c r="L1053" s="26" t="str">
        <x:v>spell copying</x:v>
      </x:c>
      <x:c r="M1053" s="26" t="str">
        <x:v>Use curated mapping; otherwise keep unresolved</x:v>
      </x:c>
      <x:c r="N1053" s="26" t="str">
        <x:v>Semantic</x:v>
      </x:c>
      <x:c r="O1053" s="43" t="n">
        <x:v>0.3</x:v>
      </x:c>
      <x:c r="P1053" s="26" t="str">
        <x:v>Color Pie prose describes design space, not necessarily literal Oracle wording. Never use the source phrase as a blind o: search.</x:v>
      </x:c>
      <x:c r="Q1053" s="26" t="str">
        <x:v>https://scryfall.com/docs/syntax</x:v>
      </x:c>
      <x:c r="R1053" s="26" t="str">
        <x:v>2026-08-21</x:v>
      </x:c>
    </x:row>
    <x:row r="1054">
      <x:c r="A1054" s="26" t="str">
        <x:v>ColorPie!A181:E181</x:v>
      </x:c>
      <x:c r="B1054" s="26" t="str">
        <x:v>Color Pie Ability</x:v>
      </x:c>
      <x:c r="C1054" s="26" t="str">
        <x:v>Spell redirection</x:v>
      </x:c>
      <x:c r="D1054" s="26" t="str">
        <x:v>Primary: Blue, Red</x:v>
      </x:c>
      <x:c r="E1054" s="26" t="str">
        <x:v>Blue redirect; red same but red spells</x:v>
      </x:c>
      <x:c r="F1054" s="26" t="str">
        <x:v>o:"Spell redirection"</x:v>
      </x:c>
      <x:c r="G1054" s="26" t="str">
        <x:v>Needs refinement</x:v>
      </x:c>
      <x:c r="H1054" s="26" t="str">
        <x:v>Color-pie semantic concept</x:v>
      </x:c>
      <x:c r="I1054" s="26" t="str">
        <x:v>Semantic concept</x:v>
      </x:c>
      <x:c r="J1054" s="26" t="str"/>
      <x:c r="K1054" s="26" t="str"/>
      <x:c r="L1054" s="26" t="str">
        <x:v>spell redirection</x:v>
      </x:c>
      <x:c r="M1054" s="26" t="str">
        <x:v>Use curated mapping; otherwise keep unresolved</x:v>
      </x:c>
      <x:c r="N1054" s="26" t="str">
        <x:v>Semantic</x:v>
      </x:c>
      <x:c r="O1054" s="43" t="n">
        <x:v>0.3</x:v>
      </x:c>
      <x:c r="P1054" s="26" t="str">
        <x:v>Color Pie prose describes design space, not necessarily literal Oracle wording. Never use the source phrase as a blind o: search.</x:v>
      </x:c>
      <x:c r="Q1054" s="26" t="str">
        <x:v>https://scryfall.com/docs/syntax</x:v>
      </x:c>
      <x:c r="R1054" s="26" t="str">
        <x:v>2026-08-21</x:v>
      </x:c>
    </x:row>
    <x:row r="1055">
      <x:c r="A1055" s="26" t="str">
        <x:v>ColorPie!A182:E182</x:v>
      </x:c>
      <x:c r="B1055" s="26" t="str">
        <x:v>Color Pie Ability</x:v>
      </x:c>
      <x:c r="C1055" s="26" t="str">
        <x:v>"Stalking"</x:v>
      </x:c>
      <x:c r="D1055" s="26" t="str">
        <x:v>Primary: Green</x:v>
      </x:c>
      <x:c r="E1055" s="26" t="str">
        <x:v>Can only be blocked by N or more creatures</x:v>
      </x:c>
      <x:c r="F1055" s="26" t="str">
        <x:v>o:"\"Stalking\""</x:v>
      </x:c>
      <x:c r="G1055" s="26" t="str">
        <x:v>Needs refinement</x:v>
      </x:c>
      <x:c r="H1055" s="26" t="str">
        <x:v>Color-pie semantic concept</x:v>
      </x:c>
      <x:c r="I1055" s="26" t="str">
        <x:v>Semantic concept</x:v>
      </x:c>
      <x:c r="J1055" s="26" t="str"/>
      <x:c r="K1055" s="26" t="str"/>
      <x:c r="L1055" s="26" t="str">
        <x:v>"stalking"</x:v>
      </x:c>
      <x:c r="M1055" s="26" t="str">
        <x:v>Use curated mapping; otherwise keep unresolved</x:v>
      </x:c>
      <x:c r="N1055" s="26" t="str">
        <x:v>Semantic</x:v>
      </x:c>
      <x:c r="O1055" s="43" t="n">
        <x:v>0.3</x:v>
      </x:c>
      <x:c r="P1055" s="26" t="str">
        <x:v>Color Pie prose describes design space, not necessarily literal Oracle wording. Never use the source phrase as a blind o: search.</x:v>
      </x:c>
      <x:c r="Q1055" s="26" t="str">
        <x:v>https://scryfall.com/docs/syntax</x:v>
      </x:c>
      <x:c r="R1055" s="26" t="str">
        <x:v>2026-08-21</x:v>
      </x:c>
    </x:row>
    <x:row r="1056">
      <x:c r="A1056" s="26" t="str">
        <x:v>ColorPie!A183:E183</x:v>
      </x:c>
      <x:c r="B1056" s="26" t="str">
        <x:v>Color Pie Ability</x:v>
      </x:c>
      <x:c r="C1056" s="26" t="str">
        <x:v>Stealing permanents, temporarily</x:v>
      </x:c>
      <x:c r="D1056" s="26" t="str">
        <x:v>Primary: Blue, Red</x:v>
      </x:c>
      <x:c r="E1056" s="26" t="str">
        <x:v>Until end of turn; blue anything; red creature/artifact/land</x:v>
      </x:c>
      <x:c r="F1056" s="26" t="str">
        <x:v>o:"Stealing permanents, temporarily"</x:v>
      </x:c>
      <x:c r="G1056" s="26" t="str">
        <x:v>Needs refinement</x:v>
      </x:c>
      <x:c r="H1056" s="26" t="str">
        <x:v>Color-pie semantic concept</x:v>
      </x:c>
      <x:c r="I1056" s="26" t="str">
        <x:v>Semantic concept</x:v>
      </x:c>
      <x:c r="J1056" s="26" t="str"/>
      <x:c r="K1056" s="26" t="str"/>
      <x:c r="L1056" s="26" t="str">
        <x:v>stealing permanents, temporarily</x:v>
      </x:c>
      <x:c r="M1056" s="26" t="str">
        <x:v>Use curated mapping; otherwise keep unresolved</x:v>
      </x:c>
      <x:c r="N1056" s="26" t="str">
        <x:v>Semantic</x:v>
      </x:c>
      <x:c r="O1056" s="43" t="n">
        <x:v>0.3</x:v>
      </x:c>
      <x:c r="P1056" s="26" t="str">
        <x:v>Color Pie prose describes design space, not necessarily literal Oracle wording. Never use the source phrase as a blind o: search.</x:v>
      </x:c>
      <x:c r="Q1056" s="26" t="str">
        <x:v>https://scryfall.com/docs/syntax</x:v>
      </x:c>
      <x:c r="R1056" s="26" t="str">
        <x:v>2026-08-21</x:v>
      </x:c>
    </x:row>
    <x:row r="1057">
      <x:c r="A1057" s="26" t="str">
        <x:v>ColorPie!A184:E184</x:v>
      </x:c>
      <x:c r="B1057" s="26" t="str">
        <x:v>Color Pie Ability</x:v>
      </x:c>
      <x:c r="C1057" s="26" t="str">
        <x:v>Stealing permanents, permanently</x:v>
      </x:c>
      <x:c r="D1057" s="26" t="str">
        <x:v>Primary: Blue</x:v>
      </x:c>
      <x:c r="E1057" s="26" t="str">
        <x:v>Indefinite control</x:v>
      </x:c>
      <x:c r="F1057" s="26" t="str">
        <x:v>o:"Stealing permanents, permanently"</x:v>
      </x:c>
      <x:c r="G1057" s="26" t="str">
        <x:v>Needs refinement</x:v>
      </x:c>
      <x:c r="H1057" s="26" t="str">
        <x:v>Color-pie semantic concept</x:v>
      </x:c>
      <x:c r="I1057" s="26" t="str">
        <x:v>Semantic concept</x:v>
      </x:c>
      <x:c r="J1057" s="26" t="str"/>
      <x:c r="K1057" s="26" t="str"/>
      <x:c r="L1057" s="26" t="str">
        <x:v>stealing permanents, permanently</x:v>
      </x:c>
      <x:c r="M1057" s="26" t="str">
        <x:v>Use curated mapping; otherwise keep unresolved</x:v>
      </x:c>
      <x:c r="N1057" s="26" t="str">
        <x:v>Semantic</x:v>
      </x:c>
      <x:c r="O1057" s="43" t="n">
        <x:v>0.3</x:v>
      </x:c>
      <x:c r="P1057" s="26" t="str">
        <x:v>Color Pie prose describes design space, not necessarily literal Oracle wording. Never use the source phrase as a blind o: search.</x:v>
      </x:c>
      <x:c r="Q1057" s="26" t="str">
        <x:v>https://scryfall.com/docs/syntax</x:v>
      </x:c>
      <x:c r="R1057" s="26" t="str">
        <x:v>2026-08-21</x:v>
      </x:c>
    </x:row>
    <x:row r="1058">
      <x:c r="A1058" s="26" t="str">
        <x:v>ColorPie!A185:E185</x:v>
      </x:c>
      <x:c r="B1058" s="26" t="str">
        <x:v>Color Pie Ability</x:v>
      </x:c>
      <x:c r="C1058" s="26" t="str">
        <x:v>"Super trample"</x:v>
      </x:c>
      <x:c r="D1058" s="26" t="str">
        <x:v>Primary: Green</x:v>
      </x:c>
      <x:c r="E1058" s="26" t="str">
        <x:v>Unblocked damage dealt to defending planeswalker or opponent</x:v>
      </x:c>
      <x:c r="F1058" s="26" t="str">
        <x:v>o:"\"Super trample\""</x:v>
      </x:c>
      <x:c r="G1058" s="26" t="str">
        <x:v>Needs refinement</x:v>
      </x:c>
      <x:c r="H1058" s="26" t="str">
        <x:v>Color-pie semantic concept</x:v>
      </x:c>
      <x:c r="I1058" s="26" t="str">
        <x:v>Semantic concept</x:v>
      </x:c>
      <x:c r="J1058" s="26" t="str"/>
      <x:c r="K1058" s="26" t="str"/>
      <x:c r="L1058" s="26" t="str">
        <x:v>"super trample"</x:v>
      </x:c>
      <x:c r="M1058" s="26" t="str">
        <x:v>Use curated mapping; otherwise keep unresolved</x:v>
      </x:c>
      <x:c r="N1058" s="26" t="str">
        <x:v>Semantic</x:v>
      </x:c>
      <x:c r="O1058" s="43" t="n">
        <x:v>0.3</x:v>
      </x:c>
      <x:c r="P1058" s="26" t="str">
        <x:v>Color Pie prose describes design space, not necessarily literal Oracle wording. Never use the source phrase as a blind o: search.</x:v>
      </x:c>
      <x:c r="Q1058" s="26" t="str">
        <x:v>https://scryfall.com/docs/syntax</x:v>
      </x:c>
      <x:c r="R1058" s="26" t="str">
        <x:v>2026-08-21</x:v>
      </x:c>
    </x:row>
    <x:row r="1059">
      <x:c r="A1059" s="26" t="str">
        <x:v>ColorPie!A186:E186</x:v>
      </x:c>
      <x:c r="B1059" s="26" t="str">
        <x:v>Color Pie Ability</x:v>
      </x:c>
      <x:c r="C1059" s="26" t="str">
        <x:v>Switching power/toughness</x:v>
      </x:c>
      <x:c r="D1059" s="26" t="str">
        <x:v>Primary: Blue</x:v>
      </x:c>
      <x:c r="E1059" s="26" t="str">
        <x:v>Blue can swap P/T</x:v>
      </x:c>
      <x:c r="F1059" s="26" t="str">
        <x:v>o:"Switching power/toughness"</x:v>
      </x:c>
      <x:c r="G1059" s="26" t="str">
        <x:v>Needs refinement</x:v>
      </x:c>
      <x:c r="H1059" s="26" t="str">
        <x:v>Color-pie semantic concept</x:v>
      </x:c>
      <x:c r="I1059" s="26" t="str">
        <x:v>Semantic concept</x:v>
      </x:c>
      <x:c r="J1059" s="26" t="str"/>
      <x:c r="K1059" s="26" t="str"/>
      <x:c r="L1059" s="26" t="str">
        <x:v>switching power/toughness</x:v>
      </x:c>
      <x:c r="M1059" s="26" t="str">
        <x:v>Use curated mapping; otherwise keep unresolved</x:v>
      </x:c>
      <x:c r="N1059" s="26" t="str">
        <x:v>Semantic</x:v>
      </x:c>
      <x:c r="O1059" s="43" t="n">
        <x:v>0.3</x:v>
      </x:c>
      <x:c r="P1059" s="26" t="str">
        <x:v>Color Pie prose describes design space, not necessarily literal Oracle wording. Never use the source phrase as a blind o: search.</x:v>
      </x:c>
      <x:c r="Q1059" s="26" t="str">
        <x:v>https://scryfall.com/docs/syntax</x:v>
      </x:c>
      <x:c r="R1059" s="26" t="str">
        <x:v>2026-08-21</x:v>
      </x:c>
    </x:row>
    <x:row r="1060">
      <x:c r="A1060" s="26" t="str">
        <x:v>ColorPie!A187:E187</x:v>
      </x:c>
      <x:c r="B1060" s="26" t="str">
        <x:v>Color Pie Ability</x:v>
      </x:c>
      <x:c r="C1060" s="26" t="str">
        <x:v>Tapping creatures</x:v>
      </x:c>
      <x:c r="D1060" s="26" t="str">
        <x:v>Primary: White | Tertiary: Blue</x:v>
      </x:c>
      <x:c r="E1060" s="26" t="str">
        <x:v>White taps opposing creatures; blue more freeze</x:v>
      </x:c>
      <x:c r="F1060" s="26" t="str">
        <x:v>o:"Tapping creatures"</x:v>
      </x:c>
      <x:c r="G1060" s="26" t="str">
        <x:v>Needs refinement</x:v>
      </x:c>
      <x:c r="H1060" s="26" t="str">
        <x:v>Color-pie semantic concept</x:v>
      </x:c>
      <x:c r="I1060" s="26" t="str">
        <x:v>Semantic concept</x:v>
      </x:c>
      <x:c r="J1060" s="26" t="str"/>
      <x:c r="K1060" s="26" t="str"/>
      <x:c r="L1060" s="26" t="str">
        <x:v>tapping creatures</x:v>
      </x:c>
      <x:c r="M1060" s="26" t="str">
        <x:v>Use curated mapping; otherwise keep unresolved</x:v>
      </x:c>
      <x:c r="N1060" s="26" t="str">
        <x:v>Semantic</x:v>
      </x:c>
      <x:c r="O1060" s="43" t="n">
        <x:v>0.3</x:v>
      </x:c>
      <x:c r="P1060" s="26" t="str">
        <x:v>Color Pie prose describes design space, not necessarily literal Oracle wording. Never use the source phrase as a blind o: search.</x:v>
      </x:c>
      <x:c r="Q1060" s="26" t="str">
        <x:v>https://scryfall.com/docs/syntax</x:v>
      </x:c>
      <x:c r="R1060" s="26" t="str">
        <x:v>2026-08-21</x:v>
      </x:c>
    </x:row>
    <x:row r="1061">
      <x:c r="A1061" s="26" t="str">
        <x:v>ColorPie!A188:E188</x:v>
      </x:c>
      <x:c r="B1061" s="26" t="str">
        <x:v>Color Pie Ability</x:v>
      </x:c>
      <x:c r="C1061" s="26" t="str">
        <x:v>Taxing</x:v>
      </x:c>
      <x:c r="D1061" s="26" t="str">
        <x:v>Primary: White | Secondary: Blue</x:v>
      </x:c>
      <x:c r="E1061" s="26" t="str">
        <x:v>White taxes actions; blue usually spells</x:v>
      </x:c>
      <x:c r="F1061" s="26" t="str">
        <x:v>o:"Taxing"</x:v>
      </x:c>
      <x:c r="G1061" s="26" t="str">
        <x:v>Needs refinement</x:v>
      </x:c>
      <x:c r="H1061" s="26" t="str">
        <x:v>Color-pie semantic concept</x:v>
      </x:c>
      <x:c r="I1061" s="26" t="str">
        <x:v>Semantic concept</x:v>
      </x:c>
      <x:c r="J1061" s="26" t="str"/>
      <x:c r="K1061" s="26" t="str"/>
      <x:c r="L1061" s="26" t="str">
        <x:v>taxing</x:v>
      </x:c>
      <x:c r="M1061" s="26" t="str">
        <x:v>Use curated mapping; otherwise keep unresolved</x:v>
      </x:c>
      <x:c r="N1061" s="26" t="str">
        <x:v>Semantic</x:v>
      </x:c>
      <x:c r="O1061" s="43" t="n">
        <x:v>0.3</x:v>
      </x:c>
      <x:c r="P1061" s="26" t="str">
        <x:v>Color Pie prose describes design space, not necessarily literal Oracle wording. Never use the source phrase as a blind o: search.</x:v>
      </x:c>
      <x:c r="Q1061" s="26" t="str">
        <x:v>https://scryfall.com/docs/syntax</x:v>
      </x:c>
      <x:c r="R1061" s="26" t="str">
        <x:v>2026-08-21</x:v>
      </x:c>
    </x:row>
    <x:row r="1062">
      <x:c r="A1062" s="26" t="str">
        <x:v>ColorPie!A189:E189</x:v>
      </x:c>
      <x:c r="B1062" s="26" t="str">
        <x:v>Color Pie Ability</x:v>
      </x:c>
      <x:c r="C1062" s="26" t="str">
        <x:v>"Time Walk"</x:v>
      </x:c>
      <x:c r="D1062" s="26" t="str">
        <x:v>Primary: Blue</x:v>
      </x:c>
      <x:c r="E1062" s="26" t="str">
        <x:v>Take an extra turn after this one</x:v>
      </x:c>
      <x:c r="F1062" s="26" t="str">
        <x:v>o:"\"Time Walk\""</x:v>
      </x:c>
      <x:c r="G1062" s="26" t="str">
        <x:v>Needs refinement</x:v>
      </x:c>
      <x:c r="H1062" s="26" t="str">
        <x:v>Color-pie semantic concept</x:v>
      </x:c>
      <x:c r="I1062" s="26" t="str">
        <x:v>Semantic concept</x:v>
      </x:c>
      <x:c r="J1062" s="26" t="str"/>
      <x:c r="K1062" s="26" t="str"/>
      <x:c r="L1062" s="26" t="str">
        <x:v>"time walk"</x:v>
      </x:c>
      <x:c r="M1062" s="26" t="str">
        <x:v>Use curated mapping; otherwise keep unresolved</x:v>
      </x:c>
      <x:c r="N1062" s="26" t="str">
        <x:v>Semantic</x:v>
      </x:c>
      <x:c r="O1062" s="43" t="n">
        <x:v>0.3</x:v>
      </x:c>
      <x:c r="P1062" s="26" t="str">
        <x:v>Color Pie prose describes design space, not necessarily literal Oracle wording. Never use the source phrase as a blind o: search.</x:v>
      </x:c>
      <x:c r="Q1062" s="26" t="str">
        <x:v>https://scryfall.com/docs/syntax</x:v>
      </x:c>
      <x:c r="R1062" s="26" t="str">
        <x:v>2026-08-21</x:v>
      </x:c>
    </x:row>
    <x:row r="1063">
      <x:c r="A1063" s="26" t="str">
        <x:v>ColorPie!A190:E190</x:v>
      </x:c>
      <x:c r="B1063" s="26" t="str">
        <x:v>Color Pie Ability</x:v>
      </x:c>
      <x:c r="C1063" s="26" t="str">
        <x:v>Token generation</x:v>
      </x:c>
      <x:c r="D1063" s="26" t="str">
        <x:v>Primary: White | Secondary: All Colors</x:v>
      </x:c>
      <x:c r="E1063" s="26" t="str">
        <x:v>Primary in white; secondary in all based on creature type</x:v>
      </x:c>
      <x:c r="F1063" s="26" t="str">
        <x:v>o:"Token generation"</x:v>
      </x:c>
      <x:c r="G1063" s="26" t="str">
        <x:v>Needs refinement</x:v>
      </x:c>
      <x:c r="H1063" s="26" t="str">
        <x:v>Color-pie semantic concept</x:v>
      </x:c>
      <x:c r="I1063" s="26" t="str">
        <x:v>Oracle regex</x:v>
      </x:c>
      <x:c r="J1063" s="26" t="str">
        <x:v>o:/create.*token/</x:v>
      </x:c>
      <x:c r="K1063" s="26" t="str"/>
      <x:c r="L1063" s="26" t="str">
        <x:v>token generation</x:v>
      </x:c>
      <x:c r="M1063" s="26" t="str">
        <x:v>Use curated mapping; otherwise keep unresolved</x:v>
      </x:c>
      <x:c r="N1063" s="26" t="str">
        <x:v>Review</x:v>
      </x:c>
      <x:c r="O1063" s="43" t="n">
        <x:v>0.68</x:v>
      </x:c>
      <x:c r="P1063" s="26" t="str">
        <x:v>Color Pie prose describes design space, not necessarily literal Oracle wording. Never use the source phrase as a blind o: search.</x:v>
      </x:c>
      <x:c r="Q1063" s="26" t="str">
        <x:v>https://scryfall.com/docs/syntax</x:v>
      </x:c>
      <x:c r="R1063" s="26" t="str">
        <x:v>2026-08-21</x:v>
      </x:c>
    </x:row>
    <x:row r="1064">
      <x:c r="A1064" s="26" t="str">
        <x:v>ColorPie!A191:E191</x:v>
      </x:c>
      <x:c r="B1064" s="26" t="str">
        <x:v>Color Pie Ability</x:v>
      </x:c>
      <x:c r="C1064" s="26" t="str">
        <x:v>Trample</x:v>
      </x:c>
      <x:c r="D1064" s="26" t="str">
        <x:v>Primary: Green | Secondary: Red</x:v>
      </x:c>
      <x:c r="E1064" s="26" t="str">
        <x:v>Green most; red moved from tertiary to secondary</x:v>
      </x:c>
      <x:c r="F1064" s="26" t="str">
        <x:v>o:"Trample"</x:v>
      </x:c>
      <x:c r="G1064" s="26" t="str">
        <x:v>Needs refinement</x:v>
      </x:c>
      <x:c r="H1064" s="26" t="str">
        <x:v>Color-pie semantic concept</x:v>
      </x:c>
      <x:c r="I1064" s="26" t="str">
        <x:v>Semantic concept</x:v>
      </x:c>
      <x:c r="J1064" s="26" t="str"/>
      <x:c r="K1064" s="26" t="str"/>
      <x:c r="L1064" s="26" t="str">
        <x:v>trample</x:v>
      </x:c>
      <x:c r="M1064" s="26" t="str">
        <x:v>Use curated mapping; otherwise keep unresolved</x:v>
      </x:c>
      <x:c r="N1064" s="26" t="str">
        <x:v>Semantic</x:v>
      </x:c>
      <x:c r="O1064" s="43" t="n">
        <x:v>0.3</x:v>
      </x:c>
      <x:c r="P1064" s="26" t="str">
        <x:v>Color Pie prose describes design space, not necessarily literal Oracle wording. Never use the source phrase as a blind o: search.</x:v>
      </x:c>
      <x:c r="Q1064" s="26" t="str">
        <x:v>https://scryfall.com/docs/syntax</x:v>
      </x:c>
      <x:c r="R1064" s="26" t="str">
        <x:v>2026-08-21</x:v>
      </x:c>
    </x:row>
    <x:row r="1065">
      <x:c r="A1065" s="26" t="str">
        <x:v>ColorPie!A192:E192</x:v>
      </x:c>
      <x:c r="B1065" s="26" t="str">
        <x:v>Color Pie Ability</x:v>
      </x:c>
      <x:c r="C1065" s="26" t="str">
        <x:v>"Transformation"</x:v>
      </x:c>
      <x:c r="D1065" s="26" t="str">
        <x:v>Primary: Blue, Green</x:v>
      </x:c>
      <x:c r="E1065" s="26" t="str">
        <x:v>Turn creature into different creature; blue magical; green natural</x:v>
      </x:c>
      <x:c r="F1065" s="26" t="str">
        <x:v>o:"\"Transformation\""</x:v>
      </x:c>
      <x:c r="G1065" s="26" t="str">
        <x:v>Needs refinement</x:v>
      </x:c>
      <x:c r="H1065" s="26" t="str">
        <x:v>Color-pie semantic concept</x:v>
      </x:c>
      <x:c r="I1065" s="26" t="str">
        <x:v>Semantic concept</x:v>
      </x:c>
      <x:c r="J1065" s="26" t="str"/>
      <x:c r="K1065" s="26" t="str"/>
      <x:c r="L1065" s="26" t="str">
        <x:v>"transformation"</x:v>
      </x:c>
      <x:c r="M1065" s="26" t="str">
        <x:v>Use curated mapping; otherwise keep unresolved</x:v>
      </x:c>
      <x:c r="N1065" s="26" t="str">
        <x:v>Semantic</x:v>
      </x:c>
      <x:c r="O1065" s="43" t="n">
        <x:v>0.3</x:v>
      </x:c>
      <x:c r="P1065" s="26" t="str">
        <x:v>Color Pie prose describes design space, not necessarily literal Oracle wording. Never use the source phrase as a blind o: search.</x:v>
      </x:c>
      <x:c r="Q1065" s="26" t="str">
        <x:v>https://scryfall.com/docs/syntax</x:v>
      </x:c>
      <x:c r="R1065" s="26" t="str">
        <x:v>2026-08-21</x:v>
      </x:c>
    </x:row>
    <x:row r="1066">
      <x:c r="A1066" s="26" t="str">
        <x:v>ColorPie!A193:E193</x:v>
      </x:c>
      <x:c r="B1066" s="26" t="str">
        <x:v>Color Pie Ability</x:v>
      </x:c>
      <x:c r="C1066" s="26" t="str">
        <x:v>Treasure creation</x:v>
      </x:c>
      <x:c r="D1066" s="26" t="str">
        <x:v>Primary: Red | Secondary: Black, Blue, Green | Tertiary: White</x:v>
      </x:c>
      <x:c r="E1066" s="26" t="str">
        <x:v>Red most often; tied to permanent mana production</x:v>
      </x:c>
      <x:c r="F1066" s="26" t="str">
        <x:v>o:"Treasure creation"</x:v>
      </x:c>
      <x:c r="G1066" s="26" t="str">
        <x:v>Needs refinement</x:v>
      </x:c>
      <x:c r="H1066" s="26" t="str">
        <x:v>Color-pie semantic concept</x:v>
      </x:c>
      <x:c r="I1066" s="26" t="str">
        <x:v>Semantic concept</x:v>
      </x:c>
      <x:c r="J1066" s="26" t="str"/>
      <x:c r="K1066" s="26" t="str"/>
      <x:c r="L1066" s="26" t="str">
        <x:v>treasure creation</x:v>
      </x:c>
      <x:c r="M1066" s="26" t="str">
        <x:v>Use curated mapping; otherwise keep unresolved</x:v>
      </x:c>
      <x:c r="N1066" s="26" t="str">
        <x:v>Semantic</x:v>
      </x:c>
      <x:c r="O1066" s="43" t="n">
        <x:v>0.3</x:v>
      </x:c>
      <x:c r="P1066" s="26" t="str">
        <x:v>Color Pie prose describes design space, not necessarily literal Oracle wording. Never use the source phrase as a blind o: search.</x:v>
      </x:c>
      <x:c r="Q1066" s="26" t="str">
        <x:v>https://scryfall.com/docs/syntax</x:v>
      </x:c>
      <x:c r="R1066" s="26" t="str">
        <x:v>2026-08-21</x:v>
      </x:c>
    </x:row>
    <x:row r="1067">
      <x:c r="A1067" s="26" t="str">
        <x:v>ColorPie!A194:E194</x:v>
      </x:c>
      <x:c r="B1067" s="26" t="str">
        <x:v>Color Pie Ability</x:v>
      </x:c>
      <x:c r="C1067" s="26" t="str">
        <x:v>"Torment"</x:v>
      </x:c>
      <x:c r="D1067" s="26" t="str">
        <x:v>Primary: Black</x:v>
      </x:c>
      <x:c r="E1067" s="26" t="str">
        <x:v>Enchanted creature's controller loses life</x:v>
      </x:c>
      <x:c r="F1067" s="26" t="str">
        <x:v>o:"\"Torment\""</x:v>
      </x:c>
      <x:c r="G1067" s="26" t="str">
        <x:v>Needs refinement</x:v>
      </x:c>
      <x:c r="H1067" s="26" t="str">
        <x:v>Color-pie semantic concept</x:v>
      </x:c>
      <x:c r="I1067" s="26" t="str">
        <x:v>Semantic concept</x:v>
      </x:c>
      <x:c r="J1067" s="26" t="str"/>
      <x:c r="K1067" s="26" t="str"/>
      <x:c r="L1067" s="26" t="str">
        <x:v>"torment"</x:v>
      </x:c>
      <x:c r="M1067" s="26" t="str">
        <x:v>Use curated mapping; otherwise keep unresolved</x:v>
      </x:c>
      <x:c r="N1067" s="26" t="str">
        <x:v>Semantic</x:v>
      </x:c>
      <x:c r="O1067" s="43" t="n">
        <x:v>0.3</x:v>
      </x:c>
      <x:c r="P1067" s="26" t="str">
        <x:v>Color Pie prose describes design space, not necessarily literal Oracle wording. Never use the source phrase as a blind o: search.</x:v>
      </x:c>
      <x:c r="Q1067" s="26" t="str">
        <x:v>https://scryfall.com/docs/syntax</x:v>
      </x:c>
      <x:c r="R1067" s="26" t="str">
        <x:v>2026-08-21</x:v>
      </x:c>
    </x:row>
    <x:row r="1068">
      <x:c r="A1068" s="26" t="str">
        <x:v>ColorPie!A195:E195</x:v>
      </x:c>
      <x:c r="B1068" s="26" t="str">
        <x:v>Color Pie Ability</x:v>
      </x:c>
      <x:c r="C1068" s="26" t="str">
        <x:v>Tutoring (for any card)</x:v>
      </x:c>
      <x:c r="D1068" s="26" t="str">
        <x:v>Primary: Black</x:v>
      </x:c>
      <x:c r="E1068" s="26" t="str">
        <x:v>Black does this on rare occasions</x:v>
      </x:c>
      <x:c r="F1068" s="26" t="str">
        <x:v>o:"Tutoring (for any card)"</x:v>
      </x:c>
      <x:c r="G1068" s="26" t="str">
        <x:v>Needs refinement</x:v>
      </x:c>
      <x:c r="H1068" s="26" t="str">
        <x:v>Color-pie semantic concept</x:v>
      </x:c>
      <x:c r="I1068" s="26" t="str">
        <x:v>Semantic concept</x:v>
      </x:c>
      <x:c r="J1068" s="26" t="str"/>
      <x:c r="K1068" s="26" t="str"/>
      <x:c r="L1068" s="26" t="str">
        <x:v>tutoring (for any card)</x:v>
      </x:c>
      <x:c r="M1068" s="26" t="str">
        <x:v>Use curated mapping; otherwise keep unresolved</x:v>
      </x:c>
      <x:c r="N1068" s="26" t="str">
        <x:v>Semantic</x:v>
      </x:c>
      <x:c r="O1068" s="43" t="n">
        <x:v>0.3</x:v>
      </x:c>
      <x:c r="P1068" s="26" t="str">
        <x:v>Color Pie prose describes design space, not necessarily literal Oracle wording. Never use the source phrase as a blind o: search.</x:v>
      </x:c>
      <x:c r="Q1068" s="26" t="str">
        <x:v>https://scryfall.com/docs/syntax</x:v>
      </x:c>
      <x:c r="R1068" s="26" t="str">
        <x:v>2026-08-21</x:v>
      </x:c>
    </x:row>
    <x:row r="1069">
      <x:c r="A1069" s="26" t="str">
        <x:v>ColorPie!A196:E196</x:v>
      </x:c>
      <x:c r="B1069" s="26" t="str">
        <x:v>Color Pie Ability</x:v>
      </x:c>
      <x:c r="C1069" s="26" t="str">
        <x:v>Tutoring (for a creature)</x:v>
      </x:c>
      <x:c r="D1069" s="26" t="str">
        <x:v>Primary: Green | Secondary: Black</x:v>
      </x:c>
      <x:c r="E1069" s="26" t="str">
        <x:v>Green main; black sometimes vampires/zombies</x:v>
      </x:c>
      <x:c r="F1069" s="26" t="str">
        <x:v>o:"Tutoring (for a creature)"</x:v>
      </x:c>
      <x:c r="G1069" s="26" t="str">
        <x:v>Needs refinement</x:v>
      </x:c>
      <x:c r="H1069" s="26" t="str">
        <x:v>Color-pie semantic concept</x:v>
      </x:c>
      <x:c r="I1069" s="26" t="str">
        <x:v>Semantic concept</x:v>
      </x:c>
      <x:c r="J1069" s="26" t="str"/>
      <x:c r="K1069" s="26" t="str"/>
      <x:c r="L1069" s="26" t="str">
        <x:v>tutoring (for a creature)</x:v>
      </x:c>
      <x:c r="M1069" s="26" t="str">
        <x:v>Use curated mapping; otherwise keep unresolved</x:v>
      </x:c>
      <x:c r="N1069" s="26" t="str">
        <x:v>Semantic</x:v>
      </x:c>
      <x:c r="O1069" s="43" t="n">
        <x:v>0.3</x:v>
      </x:c>
      <x:c r="P1069" s="26" t="str">
        <x:v>Color Pie prose describes design space, not necessarily literal Oracle wording. Never use the source phrase as a blind o: search.</x:v>
      </x:c>
      <x:c r="Q1069" s="26" t="str">
        <x:v>https://scryfall.com/docs/syntax</x:v>
      </x:c>
      <x:c r="R1069" s="26" t="str">
        <x:v>2026-08-21</x:v>
      </x:c>
    </x:row>
    <x:row r="1070">
      <x:c r="A1070" s="26" t="str">
        <x:v>ColorPie!A197:E197</x:v>
      </x:c>
      <x:c r="B1070" s="26" t="str">
        <x:v>Color Pie Ability</x:v>
      </x:c>
      <x:c r="C1070" s="26" t="str">
        <x:v>Tutoring (for an artifact)</x:v>
      </x:c>
      <x:c r="D1070" s="26" t="str">
        <x:v>Primary: White, Blue</x:v>
      </x:c>
      <x:c r="E1070" s="26" t="str">
        <x:v>Blue civilization color; white moved up</x:v>
      </x:c>
      <x:c r="F1070" s="26" t="str">
        <x:v>o:"Tutoring (for an artifact)"</x:v>
      </x:c>
      <x:c r="G1070" s="26" t="str">
        <x:v>Needs refinement</x:v>
      </x:c>
      <x:c r="H1070" s="26" t="str">
        <x:v>Color-pie semantic concept</x:v>
      </x:c>
      <x:c r="I1070" s="26" t="str">
        <x:v>Semantic concept</x:v>
      </x:c>
      <x:c r="J1070" s="26" t="str"/>
      <x:c r="K1070" s="26" t="str"/>
      <x:c r="L1070" s="26" t="str">
        <x:v>tutoring (for an artifact)</x:v>
      </x:c>
      <x:c r="M1070" s="26" t="str">
        <x:v>Use curated mapping; otherwise keep unresolved</x:v>
      </x:c>
      <x:c r="N1070" s="26" t="str">
        <x:v>Semantic</x:v>
      </x:c>
      <x:c r="O1070" s="43" t="n">
        <x:v>0.3</x:v>
      </x:c>
      <x:c r="P1070" s="26" t="str">
        <x:v>Color Pie prose describes design space, not necessarily literal Oracle wording. Never use the source phrase as a blind o: search.</x:v>
      </x:c>
      <x:c r="Q1070" s="26" t="str">
        <x:v>https://scryfall.com/docs/syntax</x:v>
      </x:c>
      <x:c r="R1070" s="26" t="str">
        <x:v>2026-08-21</x:v>
      </x:c>
    </x:row>
    <x:row r="1071">
      <x:c r="A1071" s="26" t="str">
        <x:v>ColorPie!A198:E198</x:v>
      </x:c>
      <x:c r="B1071" s="26" t="str">
        <x:v>Color Pie Ability</x:v>
      </x:c>
      <x:c r="C1071" s="26" t="str">
        <x:v>Tutoring (for an enchantment)</x:v>
      </x:c>
      <x:c r="D1071" s="26" t="str">
        <x:v>Primary: White</x:v>
      </x:c>
      <x:c r="E1071" s="26" t="str">
        <x:v>White strong enchantment component</x:v>
      </x:c>
      <x:c r="F1071" s="26" t="str">
        <x:v>o:"Tutoring (for an enchantment)"</x:v>
      </x:c>
      <x:c r="G1071" s="26" t="str">
        <x:v>Needs refinement</x:v>
      </x:c>
      <x:c r="H1071" s="26" t="str">
        <x:v>Color-pie semantic concept</x:v>
      </x:c>
      <x:c r="I1071" s="26" t="str">
        <x:v>Semantic concept</x:v>
      </x:c>
      <x:c r="J1071" s="26" t="str"/>
      <x:c r="K1071" s="26" t="str"/>
      <x:c r="L1071" s="26" t="str">
        <x:v>tutoring (for an enchantment)</x:v>
      </x:c>
      <x:c r="M1071" s="26" t="str">
        <x:v>Use curated mapping; otherwise keep unresolved</x:v>
      </x:c>
      <x:c r="N1071" s="26" t="str">
        <x:v>Semantic</x:v>
      </x:c>
      <x:c r="O1071" s="43" t="n">
        <x:v>0.3</x:v>
      </x:c>
      <x:c r="P1071" s="26" t="str">
        <x:v>Color Pie prose describes design space, not necessarily literal Oracle wording. Never use the source phrase as a blind o: search.</x:v>
      </x:c>
      <x:c r="Q1071" s="26" t="str">
        <x:v>https://scryfall.com/docs/syntax</x:v>
      </x:c>
      <x:c r="R1071" s="26" t="str">
        <x:v>2026-08-21</x:v>
      </x:c>
    </x:row>
    <x:row r="1072">
      <x:c r="A1072" s="26" t="str">
        <x:v>ColorPie!A199:E199</x:v>
      </x:c>
      <x:c r="B1072" s="26" t="str">
        <x:v>Color Pie Ability</x:v>
      </x:c>
      <x:c r="C1072" s="26" t="str">
        <x:v>Tutoring (for an instant or sorcery)</x:v>
      </x:c>
      <x:c r="D1072" s="26" t="str">
        <x:v>Primary: Blue</x:v>
      </x:c>
      <x:c r="E1072" s="26" t="str">
        <x:v>Blue spell color</x:v>
      </x:c>
      <x:c r="F1072" s="26" t="str">
        <x:v>o:"Tutoring (for an instant or sorcery)"</x:v>
      </x:c>
      <x:c r="G1072" s="26" t="str">
        <x:v>Needs refinement</x:v>
      </x:c>
      <x:c r="H1072" s="26" t="str">
        <x:v>Color-pie semantic concept</x:v>
      </x:c>
      <x:c r="I1072" s="26" t="str">
        <x:v>Semantic concept</x:v>
      </x:c>
      <x:c r="J1072" s="26" t="str"/>
      <x:c r="K1072" s="26" t="str"/>
      <x:c r="L1072" s="26" t="str">
        <x:v>tutoring (for an instant or sorcery)</x:v>
      </x:c>
      <x:c r="M1072" s="26" t="str">
        <x:v>Use curated mapping; otherwise keep unresolved</x:v>
      </x:c>
      <x:c r="N1072" s="26" t="str">
        <x:v>Semantic</x:v>
      </x:c>
      <x:c r="O1072" s="43" t="n">
        <x:v>0.3</x:v>
      </x:c>
      <x:c r="P1072" s="26" t="str">
        <x:v>Color Pie prose describes design space, not necessarily literal Oracle wording. Never use the source phrase as a blind o: search.</x:v>
      </x:c>
      <x:c r="Q1072" s="26" t="str">
        <x:v>https://scryfall.com/docs/syntax</x:v>
      </x:c>
      <x:c r="R1072" s="26" t="str">
        <x:v>2026-08-21</x:v>
      </x:c>
    </x:row>
    <x:row r="1073">
      <x:c r="A1073" s="26" t="str">
        <x:v>ColorPie!A200:E200</x:v>
      </x:c>
      <x:c r="B1073" s="26" t="str">
        <x:v>Color Pie Ability</x:v>
      </x:c>
      <x:c r="C1073" s="26" t="str">
        <x:v>Tutoring (for a land)</x:v>
      </x:c>
      <x:c r="D1073" s="26" t="str">
        <x:v>Primary: Green, Black</x:v>
      </x:c>
      <x:c r="E1073" s="26" t="str">
        <x:v>Green ramp focused; black secondary Swamps</x:v>
      </x:c>
      <x:c r="F1073" s="26" t="str">
        <x:v>o:"Tutoring (for a land)"</x:v>
      </x:c>
      <x:c r="G1073" s="26" t="str">
        <x:v>Needs refinement</x:v>
      </x:c>
      <x:c r="H1073" s="26" t="str">
        <x:v>Color-pie semantic concept</x:v>
      </x:c>
      <x:c r="I1073" s="26" t="str">
        <x:v>Semantic concept</x:v>
      </x:c>
      <x:c r="J1073" s="26" t="str"/>
      <x:c r="K1073" s="26" t="str"/>
      <x:c r="L1073" s="26" t="str">
        <x:v>tutoring (for a land)</x:v>
      </x:c>
      <x:c r="M1073" s="26" t="str">
        <x:v>Use curated mapping; otherwise keep unresolved</x:v>
      </x:c>
      <x:c r="N1073" s="26" t="str">
        <x:v>Semantic</x:v>
      </x:c>
      <x:c r="O1073" s="43" t="n">
        <x:v>0.3</x:v>
      </x:c>
      <x:c r="P1073" s="26" t="str">
        <x:v>Color Pie prose describes design space, not necessarily literal Oracle wording. Never use the source phrase as a blind o: search.</x:v>
      </x:c>
      <x:c r="Q1073" s="26" t="str">
        <x:v>https://scryfall.com/docs/syntax</x:v>
      </x:c>
      <x:c r="R1073" s="26" t="str">
        <x:v>2026-08-21</x:v>
      </x:c>
    </x:row>
    <x:row r="1074">
      <x:c r="A1074" s="26" t="str">
        <x:v>ColorPie!A201:E201</x:v>
      </x:c>
      <x:c r="B1074" s="26" t="str">
        <x:v>Color Pie Ability</x:v>
      </x:c>
      <x:c r="C1074" s="26" t="str">
        <x:v>Tutoring (for a planeswalker)</x:v>
      </x:c>
      <x:c r="D1074" s="26" t="str">
        <x:v>Primary: White</x:v>
      </x:c>
      <x:c r="E1074" s="26" t="str">
        <x:v>White most allied</x:v>
      </x:c>
      <x:c r="F1074" s="26" t="str">
        <x:v>o:"Tutoring (for a planeswalker)"</x:v>
      </x:c>
      <x:c r="G1074" s="26" t="str">
        <x:v>Needs refinement</x:v>
      </x:c>
      <x:c r="H1074" s="26" t="str">
        <x:v>Color-pie semantic concept</x:v>
      </x:c>
      <x:c r="I1074" s="26" t="str">
        <x:v>Semantic concept</x:v>
      </x:c>
      <x:c r="J1074" s="26" t="str"/>
      <x:c r="K1074" s="26" t="str"/>
      <x:c r="L1074" s="26" t="str">
        <x:v>tutoring (for a planeswalker)</x:v>
      </x:c>
      <x:c r="M1074" s="26" t="str">
        <x:v>Use curated mapping; otherwise keep unresolved</x:v>
      </x:c>
      <x:c r="N1074" s="26" t="str">
        <x:v>Semantic</x:v>
      </x:c>
      <x:c r="O1074" s="43" t="n">
        <x:v>0.3</x:v>
      </x:c>
      <x:c r="P1074" s="26" t="str">
        <x:v>Color Pie prose describes design space, not necessarily literal Oracle wording. Never use the source phrase as a blind o: search.</x:v>
      </x:c>
      <x:c r="Q1074" s="26" t="str">
        <x:v>https://scryfall.com/docs/syntax</x:v>
      </x:c>
      <x:c r="R1074" s="26" t="str">
        <x:v>2026-08-21</x:v>
      </x:c>
    </x:row>
    <x:row r="1075">
      <x:c r="A1075" s="26" t="str">
        <x:v>ColorPie!A202:E202</x:v>
      </x:c>
      <x:c r="B1075" s="26" t="str">
        <x:v>Color Pie Ability</x:v>
      </x:c>
      <x:c r="C1075" s="26" t="str">
        <x:v>"Twiddle"</x:v>
      </x:c>
      <x:c r="D1075" s="26" t="str">
        <x:v>Primary: Blue</x:v>
      </x:c>
      <x:c r="E1075" s="26" t="str">
        <x:v>Tap or untap target permanent</x:v>
      </x:c>
      <x:c r="F1075" s="26" t="str">
        <x:v>o:"\"Twiddle\""</x:v>
      </x:c>
      <x:c r="G1075" s="26" t="str">
        <x:v>Needs refinement</x:v>
      </x:c>
      <x:c r="H1075" s="26" t="str">
        <x:v>Color-pie semantic concept</x:v>
      </x:c>
      <x:c r="I1075" s="26" t="str">
        <x:v>Semantic concept</x:v>
      </x:c>
      <x:c r="J1075" s="26" t="str"/>
      <x:c r="K1075" s="26" t="str"/>
      <x:c r="L1075" s="26" t="str">
        <x:v>"twiddle"</x:v>
      </x:c>
      <x:c r="M1075" s="26" t="str">
        <x:v>Use curated mapping; otherwise keep unresolved</x:v>
      </x:c>
      <x:c r="N1075" s="26" t="str">
        <x:v>Semantic</x:v>
      </x:c>
      <x:c r="O1075" s="43" t="n">
        <x:v>0.3</x:v>
      </x:c>
      <x:c r="P1075" s="26" t="str">
        <x:v>Color Pie prose describes design space, not necessarily literal Oracle wording. Never use the source phrase as a blind o: search.</x:v>
      </x:c>
      <x:c r="Q1075" s="26" t="str">
        <x:v>https://scryfall.com/docs/syntax</x:v>
      </x:c>
      <x:c r="R1075" s="26" t="str">
        <x:v>2026-08-21</x:v>
      </x:c>
    </x:row>
    <x:row r="1076">
      <x:c r="A1076" s="26" t="str">
        <x:v>ColorPie!A203:E203</x:v>
      </x:c>
      <x:c r="B1076" s="26" t="str">
        <x:v>Color Pie Ability</x:v>
      </x:c>
      <x:c r="C1076" s="26" t="str">
        <x:v>Untapping creatures</x:v>
      </x:c>
      <x:c r="D1076" s="26" t="str">
        <x:v>Primary: White | Secondary: Green</x:v>
      </x:c>
      <x:c r="E1076" s="26" t="str">
        <x:v>White rewards attacking; green gaining vigilance</x:v>
      </x:c>
      <x:c r="F1076" s="26" t="str">
        <x:v>o:"Untapping creatures"</x:v>
      </x:c>
      <x:c r="G1076" s="26" t="str">
        <x:v>Needs refinement</x:v>
      </x:c>
      <x:c r="H1076" s="26" t="str">
        <x:v>Color-pie semantic concept</x:v>
      </x:c>
      <x:c r="I1076" s="26" t="str">
        <x:v>Semantic concept</x:v>
      </x:c>
      <x:c r="J1076" s="26" t="str"/>
      <x:c r="K1076" s="26" t="str"/>
      <x:c r="L1076" s="26" t="str">
        <x:v>untapping creatures</x:v>
      </x:c>
      <x:c r="M1076" s="26" t="str">
        <x:v>Use curated mapping; otherwise keep unresolved</x:v>
      </x:c>
      <x:c r="N1076" s="26" t="str">
        <x:v>Semantic</x:v>
      </x:c>
      <x:c r="O1076" s="43" t="n">
        <x:v>0.3</x:v>
      </x:c>
      <x:c r="P1076" s="26" t="str">
        <x:v>Color Pie prose describes design space, not necessarily literal Oracle wording. Never use the source phrase as a blind o: search.</x:v>
      </x:c>
      <x:c r="Q1076" s="26" t="str">
        <x:v>https://scryfall.com/docs/syntax</x:v>
      </x:c>
      <x:c r="R1076" s="26" t="str">
        <x:v>2026-08-21</x:v>
      </x:c>
    </x:row>
    <x:row r="1077">
      <x:c r="A1077" s="26" t="str">
        <x:v>ColorPie!A204:E204</x:v>
      </x:c>
      <x:c r="B1077" s="26" t="str">
        <x:v>Color Pie Ability</x:v>
      </x:c>
      <x:c r="C1077" s="26" t="str">
        <x:v>Untapping lands</x:v>
      </x:c>
      <x:c r="D1077" s="26" t="str">
        <x:v>Primary: Green, Blue</x:v>
      </x:c>
      <x:c r="E1077" s="26" t="str">
        <x:v>Green permanent mana; blue one-shot refund</x:v>
      </x:c>
      <x:c r="F1077" s="26" t="str">
        <x:v>o:"Untapping lands"</x:v>
      </x:c>
      <x:c r="G1077" s="26" t="str">
        <x:v>Needs refinement</x:v>
      </x:c>
      <x:c r="H1077" s="26" t="str">
        <x:v>Color-pie semantic concept</x:v>
      </x:c>
      <x:c r="I1077" s="26" t="str">
        <x:v>Semantic concept</x:v>
      </x:c>
      <x:c r="J1077" s="26" t="str"/>
      <x:c r="K1077" s="26" t="str"/>
      <x:c r="L1077" s="26" t="str">
        <x:v>untapping lands</x:v>
      </x:c>
      <x:c r="M1077" s="26" t="str">
        <x:v>Use curated mapping; otherwise keep unresolved</x:v>
      </x:c>
      <x:c r="N1077" s="26" t="str">
        <x:v>Semantic</x:v>
      </x:c>
      <x:c r="O1077" s="43" t="n">
        <x:v>0.3</x:v>
      </x:c>
      <x:c r="P1077" s="26" t="str">
        <x:v>Color Pie prose describes design space, not necessarily literal Oracle wording. Never use the source phrase as a blind o: search.</x:v>
      </x:c>
      <x:c r="Q1077" s="26" t="str">
        <x:v>https://scryfall.com/docs/syntax</x:v>
      </x:c>
      <x:c r="R1077" s="26" t="str">
        <x:v>2026-08-21</x:v>
      </x:c>
    </x:row>
    <x:row r="1078">
      <x:c r="A1078" s="26" t="str">
        <x:v>ColorPie!A205:E205</x:v>
      </x:c>
      <x:c r="B1078" s="26" t="str">
        <x:v>Color Pie Ability</x:v>
      </x:c>
      <x:c r="C1078" s="26" t="str">
        <x:v>Vigilance</x:v>
      </x:c>
      <x:c r="D1078" s="26" t="str">
        <x:v>Primary: White, Green</x:v>
      </x:c>
      <x:c r="E1078" s="26" t="str">
        <x:v>White rewards attacking; green big creatures attacking</x:v>
      </x:c>
      <x:c r="F1078" s="26" t="str">
        <x:v>o:"Vigilance"</x:v>
      </x:c>
      <x:c r="G1078" s="26" t="str">
        <x:v>Needs refinement</x:v>
      </x:c>
      <x:c r="H1078" s="26" t="str">
        <x:v>Color-pie semantic concept</x:v>
      </x:c>
      <x:c r="I1078" s="26" t="str">
        <x:v>Semantic concept</x:v>
      </x:c>
      <x:c r="J1078" s="26" t="str"/>
      <x:c r="K1078" s="26" t="str"/>
      <x:c r="L1078" s="26" t="str">
        <x:v>vigilance</x:v>
      </x:c>
      <x:c r="M1078" s="26" t="str">
        <x:v>Use curated mapping; otherwise keep unresolved</x:v>
      </x:c>
      <x:c r="N1078" s="26" t="str">
        <x:v>Semantic</x:v>
      </x:c>
      <x:c r="O1078" s="43" t="n">
        <x:v>0.3</x:v>
      </x:c>
      <x:c r="P1078" s="26" t="str">
        <x:v>Color Pie prose describes design space, not necessarily literal Oracle wording. Never use the source phrase as a blind o: search.</x:v>
      </x:c>
      <x:c r="Q1078" s="26" t="str">
        <x:v>https://scryfall.com/docs/syntax</x:v>
      </x:c>
      <x:c r="R1078" s="26" t="str">
        <x:v>2026-08-21</x:v>
      </x:c>
    </x:row>
    <x:row r="1079">
      <x:c r="A1079" s="26" t="str">
        <x:v>ColorPie!A206:E206</x:v>
      </x:c>
      <x:c r="B1079" s="26" t="str">
        <x:v>Color Pie Ability</x:v>
      </x:c>
      <x:c r="C1079" s="26" t="str">
        <x:v>Variable creature</x:v>
      </x:c>
      <x:c r="D1079" s="26" t="str">
        <x:v>Primary: Red</x:v>
      </x:c>
      <x:c r="E1079" s="26" t="str">
        <x:v>Creature that can change power and/or toughness on its own</x:v>
      </x:c>
      <x:c r="F1079" s="26" t="str">
        <x:v>o:"Variable creature"</x:v>
      </x:c>
      <x:c r="G1079" s="26" t="str">
        <x:v>Needs refinement</x:v>
      </x:c>
      <x:c r="H1079" s="26" t="str">
        <x:v>Color-pie semantic concept</x:v>
      </x:c>
      <x:c r="I1079" s="26" t="str">
        <x:v>Semantic concept</x:v>
      </x:c>
      <x:c r="J1079" s="26" t="str"/>
      <x:c r="K1079" s="26" t="str"/>
      <x:c r="L1079" s="26" t="str">
        <x:v>variable creature</x:v>
      </x:c>
      <x:c r="M1079" s="26" t="str">
        <x:v>Use curated mapping; otherwise keep unresolved</x:v>
      </x:c>
      <x:c r="N1079" s="26" t="str">
        <x:v>Semantic</x:v>
      </x:c>
      <x:c r="O1079" s="43" t="n">
        <x:v>0.3</x:v>
      </x:c>
      <x:c r="P1079" s="26" t="str">
        <x:v>Color Pie prose describes design space, not necessarily literal Oracle wording. Never use the source phrase as a blind o: search.</x:v>
      </x:c>
      <x:c r="Q1079" s="26" t="str">
        <x:v>https://scryfall.com/docs/syntax</x:v>
      </x:c>
      <x:c r="R1079" s="26" t="str">
        <x:v>2026-08-21</x:v>
      </x:c>
    </x:row>
    <x:row r="1080">
      <x:c r="A1080" s="26" t="str">
        <x:v>ColorPie!A207:E207</x:v>
      </x:c>
      <x:c r="B1080" s="26" t="str">
        <x:v>Color Pie Ability</x:v>
      </x:c>
      <x:c r="C1080" s="26" t="str">
        <x:v>Ward</x:v>
      </x:c>
      <x:c r="D1080" s="26" t="str">
        <x:v>Primary: Blue, White | Secondary: Black, Red, Green</x:v>
      </x:c>
      <x:c r="E1080" s="26" t="str">
        <x:v>Deciduous now; all colors can have it</x:v>
      </x:c>
      <x:c r="F1080" s="26" t="str">
        <x:v>o:"Ward"</x:v>
      </x:c>
      <x:c r="G1080" s="26" t="str">
        <x:v>Needs refinement</x:v>
      </x:c>
      <x:c r="H1080" s="26" t="str">
        <x:v>Color-pie semantic concept</x:v>
      </x:c>
      <x:c r="I1080" s="26" t="str">
        <x:v>Semantic concept</x:v>
      </x:c>
      <x:c r="J1080" s="26" t="str"/>
      <x:c r="K1080" s="26" t="str"/>
      <x:c r="L1080" s="26" t="str">
        <x:v>ward</x:v>
      </x:c>
      <x:c r="M1080" s="26" t="str">
        <x:v>Use curated mapping; otherwise keep unresolved</x:v>
      </x:c>
      <x:c r="N1080" s="26" t="str">
        <x:v>Semantic</x:v>
      </x:c>
      <x:c r="O1080" s="43" t="n">
        <x:v>0.3</x:v>
      </x:c>
      <x:c r="P1080" s="26" t="str">
        <x:v>Color Pie prose describes design space, not necessarily literal Oracle wording. Never use the source phrase as a blind o: search.</x:v>
      </x:c>
      <x:c r="Q1080" s="26" t="str">
        <x:v>https://scryfall.com/docs/syntax</x:v>
      </x:c>
      <x:c r="R1080" s="26" t="str">
        <x:v>2026-08-21</x:v>
      </x:c>
    </x:row>
    <x:row r="1081">
      <x:c r="A1081" s="26" t="str">
        <x:v>ColorPie!A208:E208</x:v>
      </x:c>
      <x:c r="B1081" s="26" t="str">
        <x:v>Color Pie Ability</x:v>
      </x:c>
      <x:c r="C1081" s="26" t="str">
        <x:v>"Warlord" ability</x:v>
      </x:c>
      <x:c r="D1081" s="26" t="str">
        <x:v>Primary: White</x:v>
      </x:c>
      <x:c r="E1081" s="26" t="str">
        <x:v>Power/toughness equal to number of creatures you control</x:v>
      </x:c>
      <x:c r="F1081" s="26" t="str">
        <x:v>o:"\"Warlord\" ability"</x:v>
      </x:c>
      <x:c r="G1081" s="26" t="str">
        <x:v>Needs refinement</x:v>
      </x:c>
      <x:c r="H1081" s="26" t="str">
        <x:v>Color-pie semantic concept</x:v>
      </x:c>
      <x:c r="I1081" s="26" t="str">
        <x:v>Semantic concept</x:v>
      </x:c>
      <x:c r="J1081" s="26" t="str"/>
      <x:c r="K1081" s="26" t="str"/>
      <x:c r="L1081" s="26" t="str">
        <x:v>"warlord" ability</x:v>
      </x:c>
      <x:c r="M1081" s="26" t="str">
        <x:v>Use curated mapping; otherwise keep unresolved</x:v>
      </x:c>
      <x:c r="N1081" s="26" t="str">
        <x:v>Semantic</x:v>
      </x:c>
      <x:c r="O1081" s="43" t="n">
        <x:v>0.3</x:v>
      </x:c>
      <x:c r="P1081" s="26" t="str">
        <x:v>Color Pie prose describes design space, not necessarily literal Oracle wording. Never use the source phrase as a blind o: search.</x:v>
      </x:c>
      <x:c r="Q1081" s="26" t="str">
        <x:v>https://scryfall.com/docs/syntax</x:v>
      </x:c>
      <x:c r="R1081" s="26" t="str">
        <x:v>2026-08-21</x:v>
      </x:c>
    </x:row>
    <x:row r="1082">
      <x:c r="A1082" s="26" t="str">
        <x:v>ColorPie!A209:E209</x:v>
      </x:c>
      <x:c r="B1082" s="26" t="str">
        <x:v>Color Pie Ability</x:v>
      </x:c>
      <x:c r="C1082" s="26" t="str">
        <x:v>"Wheeling"</x:v>
      </x:c>
      <x:c r="D1082" s="26" t="str">
        <x:v>Primary: Red</x:v>
      </x:c>
      <x:c r="E1082" s="26" t="str">
        <x:v>Each player discards hand, draws N cards</x:v>
      </x:c>
      <x:c r="F1082" s="26" t="str">
        <x:v>o:"\"Wheeling\""</x:v>
      </x:c>
      <x:c r="G1082" s="26" t="str">
        <x:v>Needs refinement</x:v>
      </x:c>
      <x:c r="H1082" s="26" t="str">
        <x:v>Color-pie semantic concept</x:v>
      </x:c>
      <x:c r="I1082" s="26" t="str">
        <x:v>Semantic concept</x:v>
      </x:c>
      <x:c r="J1082" s="26" t="str"/>
      <x:c r="K1082" s="26" t="str"/>
      <x:c r="L1082" s="26" t="str">
        <x:v>"wheeling"</x:v>
      </x:c>
      <x:c r="M1082" s="26" t="str">
        <x:v>Use curated mapping; otherwise keep unresolved</x:v>
      </x:c>
      <x:c r="N1082" s="26" t="str">
        <x:v>Semantic</x:v>
      </x:c>
      <x:c r="O1082" s="43" t="n">
        <x:v>0.3</x:v>
      </x:c>
      <x:c r="P1082" s="26" t="str">
        <x:v>Color Pie prose describes design space, not necessarily literal Oracle wording. Never use the source phrase as a blind o: search.</x:v>
      </x:c>
      <x:c r="Q1082" s="26" t="str">
        <x:v>https://scryfall.com/docs/syntax</x:v>
      </x:c>
      <x:c r="R1082" s="26" t="str">
        <x:v>2026-08-21</x:v>
      </x:c>
    </x:row>
    <x:row r="1083">
      <x:c r="A1083" s="26" t="str">
        <x:v>ColorPie!A210:E210</x:v>
      </x:c>
      <x:c r="B1083" s="26" t="str">
        <x:v>Color Pie Ability</x:v>
      </x:c>
      <x:c r="C1083" s="26" t="str">
        <x:v>"Word" changing</x:v>
      </x:c>
      <x:c r="D1083" s="26" t="str">
        <x:v>Primary: Blue</x:v>
      </x:c>
      <x:c r="E1083" s="26" t="str">
        <x:v>Changes text on a card from one word to another</x:v>
      </x:c>
      <x:c r="F1083" s="26" t="str">
        <x:v>o:"\"Word\" changing"</x:v>
      </x:c>
      <x:c r="G1083" s="26" t="str">
        <x:v>Needs refinement</x:v>
      </x:c>
      <x:c r="H1083" s="26" t="str">
        <x:v>Color-pie semantic concept</x:v>
      </x:c>
      <x:c r="I1083" s="26" t="str">
        <x:v>Semantic concept</x:v>
      </x:c>
      <x:c r="J1083" s="26" t="str"/>
      <x:c r="K1083" s="26" t="str"/>
      <x:c r="L1083" s="26" t="str">
        <x:v>"word" changing</x:v>
      </x:c>
      <x:c r="M1083" s="26" t="str">
        <x:v>Use curated mapping; otherwise keep unresolved</x:v>
      </x:c>
      <x:c r="N1083" s="26" t="str">
        <x:v>Semantic</x:v>
      </x:c>
      <x:c r="O1083" s="43" t="n">
        <x:v>0.3</x:v>
      </x:c>
      <x:c r="P1083" s="26" t="str">
        <x:v>Color Pie prose describes design space, not necessarily literal Oracle wording. Never use the source phrase as a blind o: search.</x:v>
      </x:c>
      <x:c r="Q1083" s="26" t="str">
        <x:v>https://scryfall.com/docs/syntax</x:v>
      </x:c>
      <x:c r="R1083" s="26" t="str">
        <x:v>2026-08-21</x:v>
      </x:c>
    </x:row>
    <x:row r="1084">
      <x:c r="A1084" s="26" t="str">
        <x:v>ColorPie!A211:E211</x:v>
      </x:c>
      <x:c r="B1084" s="26" t="str">
        <x:v>Color Pie Ability</x:v>
      </x:c>
      <x:c r="C1084" s="26" t="str">
        <x:v>"You don't lose"</x:v>
      </x:c>
      <x:c r="D1084" s="26" t="str">
        <x:v>Primary: White</x:v>
      </x:c>
      <x:c r="E1084" s="26" t="str">
        <x:v>Game doesn't end even though it should</x:v>
      </x:c>
      <x:c r="F1084" s="26" t="str">
        <x:v>o:"\"You don't lose\""</x:v>
      </x:c>
      <x:c r="G1084" s="26" t="str">
        <x:v>Needs refinement</x:v>
      </x:c>
      <x:c r="H1084" s="26" t="str">
        <x:v>Color-pie semantic concept</x:v>
      </x:c>
      <x:c r="I1084" s="26" t="str">
        <x:v>Semantic concept</x:v>
      </x:c>
      <x:c r="J1084" s="26" t="str"/>
      <x:c r="K1084" s="26" t="str"/>
      <x:c r="L1084" s="26" t="str">
        <x:v>"you don't lose"</x:v>
      </x:c>
      <x:c r="M1084" s="26" t="str">
        <x:v>Use curated mapping; otherwise keep unresolved</x:v>
      </x:c>
      <x:c r="N1084" s="26" t="str">
        <x:v>Semantic</x:v>
      </x:c>
      <x:c r="O1084" s="43" t="n">
        <x:v>0.3</x:v>
      </x:c>
      <x:c r="P1084" s="26" t="str">
        <x:v>Color Pie prose describes design space, not necessarily literal Oracle wording. Never use the source phrase as a blind o: search.</x:v>
      </x:c>
      <x:c r="Q1084" s="26" t="str">
        <x:v>https://scryfall.com/docs/syntax</x:v>
      </x:c>
      <x:c r="R1084" s="26" t="str">
        <x:v>2026-08-21</x:v>
      </x:c>
    </x:row>
    <x:row r="1085">
      <x:c r="A1085" s="26" t="str">
        <x:v>DeckArchetypes!B2</x:v>
      </x:c>
      <x:c r="B1085" s="26" t="str">
        <x:v>Deck Archetype</x:v>
      </x:c>
      <x:c r="C1085" s="26" t="str">
        <x:v>Tokens</x:v>
      </x:c>
      <x:c r="D1085" s="26" t="str">
        <x:v>Archetype column only</x:v>
      </x:c>
      <x:c r="E1085" s="26"/>
      <x:c r="F1085" s="26" t="str">
        <x:v>otag:"Tokens"</x:v>
      </x:c>
      <x:c r="G1085" s="26" t="str">
        <x:v>Tag-dependent</x:v>
      </x:c>
      <x:c r="H1085" s="26" t="str">
        <x:v>Semantic function</x:v>
      </x:c>
      <x:c r="I1085" s="26" t="str">
        <x:v>native / tag / regex recipe</x:v>
      </x:c>
      <x:c r="J1085" s="26" t="str">
        <x:v>o:/create.*token/</x:v>
      </x:c>
      <x:c r="K1085" s="26" t="str">
        <x:v>otag:token-generator</x:v>
      </x:c>
      <x:c r="L1085" s="26" t="str">
        <x:v>token deck; go wide; token makers; make tokens</x:v>
      </x:c>
      <x:c r="M1085" s="26" t="str">
        <x:v>Expand to governed recipe</x:v>
      </x:c>
      <x:c r="N1085" s="26" t="str">
        <x:v>Review</x:v>
      </x:c>
      <x:c r="O1085" s="43" t="n">
        <x:v>0.68</x:v>
      </x:c>
      <x:c r="P1085" s="26" t="str">
        <x:v>Oracle regex is the safe baseline; Tagger candidate should be validated before production.</x:v>
      </x:c>
      <x:c r="Q1085" s="26" t="str">
        <x:v>https://scryfall.com/docs/syntax | https://scryfall.com/docs/tagger-tags</x:v>
      </x:c>
      <x:c r="R1085" s="26" t="str">
        <x:v>2026-08-21</x:v>
      </x:c>
    </x:row>
    <x:row r="1086">
      <x:c r="A1086" s="26" t="str">
        <x:v>DeckArchetypes!B3</x:v>
      </x:c>
      <x:c r="B1086" s="26" t="str">
        <x:v>Deck Archetype</x:v>
      </x:c>
      <x:c r="C1086" s="26" t="str">
        <x:v>+1/+1 Counters</x:v>
      </x:c>
      <x:c r="D1086" s="26" t="str">
        <x:v>Archetype column only</x:v>
      </x:c>
      <x:c r="E1086" s="26"/>
      <x:c r="F1086" s="26" t="str">
        <x:v>otag:"+1/+1 Counters"</x:v>
      </x:c>
      <x:c r="G1086" s="26" t="str">
        <x:v>Tag-dependent</x:v>
      </x:c>
      <x:c r="H1086" s="26" t="str">
        <x:v>Semantic function</x:v>
      </x:c>
      <x:c r="I1086" s="26" t="str">
        <x:v>native / tag / regex recipe</x:v>
      </x:c>
      <x:c r="J1086" s="26" t="str">
        <x:v>o:/\+1\/\+1 counter/</x:v>
      </x:c>
      <x:c r="K1086" s="26" t="str">
        <x:v>(otag:pp-counters-matter or otag:gives-pp-counters)</x:v>
      </x:c>
      <x:c r="L1086" s="26" t="str">
        <x:v>+1 counters; plus one counters; counters matter</x:v>
      </x:c>
      <x:c r="M1086" s="26" t="str">
        <x:v>Expand to governed recipe</x:v>
      </x:c>
      <x:c r="N1086" s="26" t="str">
        <x:v>Production-ready</x:v>
      </x:c>
      <x:c r="O1086" s="43" t="n">
        <x:v>0.94</x:v>
      </x:c>
      <x:c r="P1086" s="26" t="str">
        <x:v>EDHREC examples validate pp-counters-matter/gives-pp-counters; regex is broader literal fallback.</x:v>
      </x:c>
      <x:c r="Q1086" s="26" t="str">
        <x:v>https://scryfall.com/docs/syntax | https://scryfall.com/docs/tagger-tags</x:v>
      </x:c>
      <x:c r="R1086" s="26" t="str">
        <x:v>2026-08-21</x:v>
      </x:c>
    </x:row>
    <x:row r="1087">
      <x:c r="A1087" s="26" t="str">
        <x:v>DeckArchetypes!B4</x:v>
      </x:c>
      <x:c r="B1087" s="26" t="str">
        <x:v>Deck Archetype</x:v>
      </x:c>
      <x:c r="C1087" s="26" t="str">
        <x:v>Artifacts</x:v>
      </x:c>
      <x:c r="D1087" s="26" t="str">
        <x:v>Archetype column only</x:v>
      </x:c>
      <x:c r="E1087" s="26"/>
      <x:c r="F1087" s="26" t="str">
        <x:v>otag:"Artifacts"</x:v>
      </x:c>
      <x:c r="G1087" s="26" t="str">
        <x:v>Tag-dependent</x:v>
      </x:c>
      <x:c r="H1087" s="26" t="str">
        <x:v>Relationship</x:v>
      </x:c>
      <x:c r="I1087" s="26" t="str">
        <x:v>native / tag / regex recipe</x:v>
      </x:c>
      <x:c r="J1087" s="26" t="str">
        <x:v>t:artifact</x:v>
      </x:c>
      <x:c r="K1087" s="26" t="str">
        <x:v>o:artifact</x:v>
      </x:c>
      <x:c r="L1087" s="26" t="str">
        <x:v>artifacts; artifact deck; artifacts matter</x:v>
      </x:c>
      <x:c r="M1087" s="26" t="str">
        <x:v>Expand to governed recipe</x:v>
      </x:c>
      <x:c r="N1087" s="26" t="str">
        <x:v>Review</x:v>
      </x:c>
      <x:c r="O1087" s="43" t="n">
        <x:v>0.68</x:v>
      </x:c>
      <x:c r="P1087" s="26" t="str">
        <x:v>t:artifact finds artifact cards; artifact-synergy requests require relationship expansion.</x:v>
      </x:c>
      <x:c r="Q1087" s="26" t="str">
        <x:v>https://scryfall.com/docs/syntax | https://scryfall.com/docs/tagger-tags</x:v>
      </x:c>
      <x:c r="R1087" s="26" t="str">
        <x:v>2026-08-21</x:v>
      </x:c>
    </x:row>
    <x:row r="1088">
      <x:c r="A1088" s="26" t="str">
        <x:v>DeckArchetypes!B5</x:v>
      </x:c>
      <x:c r="B1088" s="26" t="str">
        <x:v>Deck Archetype</x:v>
      </x:c>
      <x:c r="C1088" s="26" t="str">
        <x:v>Combo</x:v>
      </x:c>
      <x:c r="D1088" s="26" t="str">
        <x:v>Archetype column only</x:v>
      </x:c>
      <x:c r="E1088" s="26"/>
      <x:c r="F1088" s="26" t="str">
        <x:v>otag:"Combo"</x:v>
      </x:c>
      <x:c r="G1088" s="26" t="str">
        <x:v>Tag-dependent</x:v>
      </x:c>
      <x:c r="H1088" s="26" t="str">
        <x:v>Subjective archetype</x:v>
      </x:c>
      <x:c r="I1088" s="26" t="str">
        <x:v>native / tag / regex recipe</x:v>
      </x:c>
      <x:c r="J1088" s="26" t="str"/>
      <x:c r="K1088" s="26" t="str"/>
      <x:c r="L1088" s="26" t="str">
        <x:v>combo; combos; combo pieces</x:v>
      </x:c>
      <x:c r="M1088" s="26" t="str">
        <x:v>Surface semantic intent; do not guess</x:v>
      </x:c>
      <x:c r="N1088" s="26" t="str">
        <x:v>Semantic</x:v>
      </x:c>
      <x:c r="O1088" s="43" t="n">
        <x:v>0.3</x:v>
      </x:c>
      <x:c r="P1088" s="26" t="str">
        <x:v>No single native operator safely represents 'combo'. Keep as semantic intent unless a governed combo corpus is added.</x:v>
      </x:c>
      <x:c r="Q1088" s="26" t="str">
        <x:v>https://scryfall.com/docs/syntax | https://scryfall.com/docs/tagger-tags</x:v>
      </x:c>
      <x:c r="R1088" s="26" t="str">
        <x:v>2026-08-21</x:v>
      </x:c>
    </x:row>
    <x:row r="1089">
      <x:c r="A1089" s="26" t="str">
        <x:v>DeckArchetypes!B6</x:v>
      </x:c>
      <x:c r="B1089" s="26" t="str">
        <x:v>Deck Archetype</x:v>
      </x:c>
      <x:c r="C1089" s="26" t="str">
        <x:v>Lifegain</x:v>
      </x:c>
      <x:c r="D1089" s="26" t="str">
        <x:v>Archetype column only</x:v>
      </x:c>
      <x:c r="E1089" s="26"/>
      <x:c r="F1089" s="26" t="str">
        <x:v>otag:"Lifegain"</x:v>
      </x:c>
      <x:c r="G1089" s="26" t="str">
        <x:v>Tag-dependent</x:v>
      </x:c>
      <x:c r="H1089" s="26" t="str">
        <x:v>Semantic function</x:v>
      </x:c>
      <x:c r="I1089" s="26" t="str">
        <x:v>native / tag / regex recipe</x:v>
      </x:c>
      <x:c r="J1089" s="26" t="str">
        <x:v>o:/gain.*life/</x:v>
      </x:c>
      <x:c r="K1089" s="26" t="str"/>
      <x:c r="L1089" s="26" t="str">
        <x:v>lifegain; life gain; gain life</x:v>
      </x:c>
      <x:c r="M1089" s="26" t="str">
        <x:v>Expand to governed recipe</x:v>
      </x:c>
      <x:c r="N1089" s="26" t="str">
        <x:v>Production-ready</x:v>
      </x:c>
      <x:c r="O1089" s="43" t="n">
        <x:v>0.94</x:v>
      </x:c>
      <x:c r="P1089" s="26" t="str">
        <x:v>Literal life-gain wording is a strong baseline; payoff requests need a separate 'life gain matters' concept.</x:v>
      </x:c>
      <x:c r="Q1089" s="26" t="str">
        <x:v>https://scryfall.com/docs/syntax | https://scryfall.com/docs/tagger-tags</x:v>
      </x:c>
      <x:c r="R1089" s="26" t="str">
        <x:v>2026-08-21</x:v>
      </x:c>
    </x:row>
    <x:row r="1090">
      <x:c r="A1090" s="26" t="str">
        <x:v>DeckArchetypes!B7</x:v>
      </x:c>
      <x:c r="B1090" s="26" t="str">
        <x:v>Deck Archetype</x:v>
      </x:c>
      <x:c r="C1090" s="26" t="str">
        <x:v>Spellslinger</x:v>
      </x:c>
      <x:c r="D1090" s="26" t="str">
        <x:v>Archetype column only</x:v>
      </x:c>
      <x:c r="E1090" s="26"/>
      <x:c r="F1090" s="26" t="str">
        <x:v>otag:"Spellslinger"</x:v>
      </x:c>
      <x:c r="G1090" s="26" t="str">
        <x:v>Tag-dependent</x:v>
      </x:c>
      <x:c r="H1090" s="26" t="str">
        <x:v>Relationship</x:v>
      </x:c>
      <x:c r="I1090" s="26" t="str">
        <x:v>native / tag / regex recipe</x:v>
      </x:c>
      <x:c r="J1090" s="26" t="str">
        <x:v>(t:instant or t:sorcery)</x:v>
      </x:c>
      <x:c r="K1090" s="26" t="str"/>
      <x:c r="L1090" s="26" t="str">
        <x:v>spellslinger; spells matter; instants and sorceries</x:v>
      </x:c>
      <x:c r="M1090" s="26" t="str">
        <x:v>Surface semantic intent; do not guess</x:v>
      </x:c>
      <x:c r="N1090" s="26" t="str">
        <x:v>Semantic</x:v>
      </x:c>
      <x:c r="O1090" s="43" t="n">
        <x:v>0.3</x:v>
      </x:c>
      <x:c r="P1090" s="26" t="str">
        <x:v>Archetype normally means payoffs/support, not merely instant/sorcery cards.</x:v>
      </x:c>
      <x:c r="Q1090" s="26" t="str">
        <x:v>https://scryfall.com/docs/syntax | https://scryfall.com/docs/tagger-tags</x:v>
      </x:c>
      <x:c r="R1090" s="26" t="str">
        <x:v>2026-08-21</x:v>
      </x:c>
    </x:row>
    <x:row r="1091">
      <x:c r="A1091" s="26" t="str">
        <x:v>DeckArchetypes!B8</x:v>
      </x:c>
      <x:c r="B1091" s="26" t="str">
        <x:v>Deck Archetype</x:v>
      </x:c>
      <x:c r="C1091" s="26" t="str">
        <x:v>Aristocrats</x:v>
      </x:c>
      <x:c r="D1091" s="26" t="str">
        <x:v>Archetype column only</x:v>
      </x:c>
      <x:c r="E1091" s="26"/>
      <x:c r="F1091" s="26" t="str">
        <x:v>otag:"Aristocrats"</x:v>
      </x:c>
      <x:c r="G1091" s="26" t="str">
        <x:v>Tag-dependent</x:v>
      </x:c>
      <x:c r="H1091" s="26" t="str">
        <x:v>Composite archetype</x:v>
      </x:c>
      <x:c r="I1091" s="26" t="str">
        <x:v>native / tag / regex recipe</x:v>
      </x:c>
      <x:c r="J1091" s="26" t="str">
        <x:v>o:sacrifice</x:v>
      </x:c>
      <x:c r="K1091" s="26" t="str">
        <x:v>(otag:sacrifice-outlet or o:/whenever .* dies/)</x:v>
      </x:c>
      <x:c r="L1091" s="26" t="str">
        <x:v>aristocrats; death triggers; sacrifice deck</x:v>
      </x:c>
      <x:c r="M1091" s="26" t="str">
        <x:v>Expand to governed recipe</x:v>
      </x:c>
      <x:c r="N1091" s="26" t="str">
        <x:v>Review</x:v>
      </x:c>
      <x:c r="O1091" s="43" t="n">
        <x:v>0.68</x:v>
      </x:c>
      <x:c r="P1091" s="26" t="str">
        <x:v>Composite relationship: sacrifice outlets, death payoffs, fodder, recursion.</x:v>
      </x:c>
      <x:c r="Q1091" s="26" t="str">
        <x:v>https://scryfall.com/docs/syntax | https://scryfall.com/docs/tagger-tags</x:v>
      </x:c>
      <x:c r="R1091" s="26" t="str">
        <x:v>2026-08-21</x:v>
      </x:c>
    </x:row>
    <x:row r="1092">
      <x:c r="A1092" s="26" t="str">
        <x:v>DeckArchetypes!B9</x:v>
      </x:c>
      <x:c r="B1092" s="26" t="str">
        <x:v>Deck Archetype</x:v>
      </x:c>
      <x:c r="C1092" s="26" t="str">
        <x:v>Reanimator</x:v>
      </x:c>
      <x:c r="D1092" s="26" t="str">
        <x:v>Archetype column only</x:v>
      </x:c>
      <x:c r="E1092" s="26"/>
      <x:c r="F1092" s="26" t="str">
        <x:v>otag:"Reanimator"</x:v>
      </x:c>
      <x:c r="G1092" s="26" t="str">
        <x:v>Tag-dependent</x:v>
      </x:c>
      <x:c r="H1092" s="26" t="str">
        <x:v>Semantic function</x:v>
      </x:c>
      <x:c r="I1092" s="26" t="str">
        <x:v>native / tag / regex recipe</x:v>
      </x:c>
      <x:c r="J1092" s="26" t="str">
        <x:v>o:/return.*creature.*from.*graveyard.*battlefield/</x:v>
      </x:c>
      <x:c r="K1092" s="26" t="str">
        <x:v>otag:reanimate</x:v>
      </x:c>
      <x:c r="L1092" s="26" t="str">
        <x:v>reanimator; reanimate; bring creatures back</x:v>
      </x:c>
      <x:c r="M1092" s="26" t="str">
        <x:v>Expand to governed recipe</x:v>
      </x:c>
      <x:c r="N1092" s="26" t="str">
        <x:v>Review</x:v>
      </x:c>
      <x:c r="O1092" s="43" t="n">
        <x:v>0.68</x:v>
      </x:c>
      <x:c r="P1092" s="26" t="str">
        <x:v>Use validated Tagger mapping when available; regex is a literal fallback.</x:v>
      </x:c>
      <x:c r="Q1092" s="26" t="str">
        <x:v>https://scryfall.com/docs/syntax | https://scryfall.com/docs/tagger-tags</x:v>
      </x:c>
      <x:c r="R1092" s="26" t="str">
        <x:v>2026-08-21</x:v>
      </x:c>
    </x:row>
    <x:row r="1093">
      <x:c r="A1093" s="26" t="str">
        <x:v>DeckArchetypes!B10</x:v>
      </x:c>
      <x:c r="B1093" s="26" t="str">
        <x:v>Deck Archetype</x:v>
      </x:c>
      <x:c r="C1093" s="26" t="str">
        <x:v>Ramp</x:v>
      </x:c>
      <x:c r="D1093" s="26" t="str">
        <x:v>Archetype column only</x:v>
      </x:c>
      <x:c r="E1093" s="26"/>
      <x:c r="F1093" s="26" t="str">
        <x:v>otag:"Ramp"</x:v>
      </x:c>
      <x:c r="G1093" s="26" t="str">
        <x:v>Tag-dependent</x:v>
      </x:c>
      <x:c r="H1093" s="26" t="str">
        <x:v>Semantic function</x:v>
      </x:c>
      <x:c r="I1093" s="26" t="str">
        <x:v>native / tag / regex recipe</x:v>
      </x:c>
      <x:c r="J1093" s="26" t="str">
        <x:v>otag:ramp</x:v>
      </x:c>
      <x:c r="K1093" s="26" t="str"/>
      <x:c r="L1093" s="26" t="str">
        <x:v>ramp; mana ramp; accelerate mana</x:v>
      </x:c>
      <x:c r="M1093" s="26" t="str">
        <x:v>Expand to governed recipe</x:v>
      </x:c>
      <x:c r="N1093" s="26" t="str">
        <x:v>Production-ready</x:v>
      </x:c>
      <x:c r="O1093" s="43" t="n">
        <x:v>0.94</x:v>
      </x:c>
      <x:c r="P1093" s="26" t="str">
        <x:v>EDHREC validates otag:ramp.</x:v>
      </x:c>
      <x:c r="Q1093" s="26" t="str">
        <x:v>https://scryfall.com/docs/syntax | https://scryfall.com/docs/tagger-tags</x:v>
      </x:c>
      <x:c r="R1093" s="26" t="str">
        <x:v>2026-08-21</x:v>
      </x:c>
    </x:row>
    <x:row r="1094">
      <x:c r="A1094" s="26" t="str">
        <x:v>DeckArchetypes!B11</x:v>
      </x:c>
      <x:c r="B1094" s="26" t="str">
        <x:v>Deck Archetype</x:v>
      </x:c>
      <x:c r="C1094" s="26" t="str">
        <x:v>Lands Matter</x:v>
      </x:c>
      <x:c r="D1094" s="26" t="str">
        <x:v>Archetype column only</x:v>
      </x:c>
      <x:c r="E1094" s="26"/>
      <x:c r="F1094" s="26" t="str">
        <x:v>otag:"Lands Matter"</x:v>
      </x:c>
      <x:c r="G1094" s="26" t="str">
        <x:v>Tag-dependent</x:v>
      </x:c>
      <x:c r="H1094" s="26" t="str">
        <x:v>Relationship</x:v>
      </x:c>
      <x:c r="I1094" s="26" t="str">
        <x:v>native / tag / regex recipe</x:v>
      </x:c>
      <x:c r="J1094" s="26" t="str">
        <x:v>o:land</x:v>
      </x:c>
      <x:c r="K1094" s="26" t="str"/>
      <x:c r="L1094" s="26" t="str">
        <x:v>lands matter; land deck; land synergy</x:v>
      </x:c>
      <x:c r="M1094" s="26" t="str">
        <x:v>Surface semantic intent; do not guess</x:v>
      </x:c>
      <x:c r="N1094" s="26" t="str">
        <x:v>Semantic</x:v>
      </x:c>
      <x:c r="O1094" s="43" t="n">
        <x:v>0.3</x:v>
      </x:c>
      <x:c r="P1094" s="26" t="str">
        <x:v>Broad relationship; do not collapse to cards merely containing 'land' without disclosing the expansion.</x:v>
      </x:c>
      <x:c r="Q1094" s="26" t="str">
        <x:v>https://scryfall.com/docs/syntax | https://scryfall.com/docs/tagger-tags</x:v>
      </x:c>
      <x:c r="R1094" s="26" t="str">
        <x:v>2026-08-21</x:v>
      </x:c>
    </x:row>
    <x:row r="1095">
      <x:c r="A1095" s="26" t="str">
        <x:v>DeckArchetypes!B12</x:v>
      </x:c>
      <x:c r="B1095" s="26" t="str">
        <x:v>Deck Archetype</x:v>
      </x:c>
      <x:c r="C1095" s="26" t="str">
        <x:v>Landfall</x:v>
      </x:c>
      <x:c r="D1095" s="26" t="str">
        <x:v>Archetype column only</x:v>
      </x:c>
      <x:c r="E1095" s="26"/>
      <x:c r="F1095" s="26" t="str">
        <x:v>otag:"Landfall"</x:v>
      </x:c>
      <x:c r="G1095" s="26" t="str">
        <x:v>Tag-dependent</x:v>
      </x:c>
      <x:c r="H1095" s="26" t="str">
        <x:v>Named mechanic</x:v>
      </x:c>
      <x:c r="I1095" s="26" t="str">
        <x:v>native / tag / regex recipe</x:v>
      </x:c>
      <x:c r="J1095" s="26" t="str">
        <x:v>o:landfall</x:v>
      </x:c>
      <x:c r="K1095" s="26" t="str"/>
      <x:c r="L1095" s="26" t="str">
        <x:v>landfall</x:v>
      </x:c>
      <x:c r="M1095" s="26" t="str">
        <x:v>Expand to governed recipe</x:v>
      </x:c>
      <x:c r="N1095" s="26" t="str">
        <x:v>Production-ready</x:v>
      </x:c>
      <x:c r="O1095" s="43" t="n">
        <x:v>0.94</x:v>
      </x:c>
      <x:c r="P1095" s="26" t="str">
        <x:v>Ability-word text search is direct.</x:v>
      </x:c>
      <x:c r="Q1095" s="26" t="str">
        <x:v>https://scryfall.com/docs/syntax | https://scryfall.com/docs/tagger-tags</x:v>
      </x:c>
      <x:c r="R1095" s="26" t="str">
        <x:v>2026-08-21</x:v>
      </x:c>
    </x:row>
    <x:row r="1096">
      <x:c r="A1096" s="26" t="str">
        <x:v>DeckArchetypes!B13</x:v>
      </x:c>
      <x:c r="B1096" s="26" t="str">
        <x:v>Deck Archetype</x:v>
      </x:c>
      <x:c r="C1096" s="26" t="str">
        <x:v>Treasure</x:v>
      </x:c>
      <x:c r="D1096" s="26" t="str">
        <x:v>Archetype column only</x:v>
      </x:c>
      <x:c r="E1096" s="26"/>
      <x:c r="F1096" s="26" t="str">
        <x:v>otag:"Treasure"</x:v>
      </x:c>
      <x:c r="G1096" s="26" t="str">
        <x:v>Tag-dependent</x:v>
      </x:c>
      <x:c r="H1096" s="26" t="str">
        <x:v>Named token/function</x:v>
      </x:c>
      <x:c r="I1096" s="26" t="str">
        <x:v>native / tag / regex recipe</x:v>
      </x:c>
      <x:c r="J1096" s="26" t="str">
        <x:v>o:Treasure</x:v>
      </x:c>
      <x:c r="K1096" s="26" t="str"/>
      <x:c r="L1096" s="26" t="str">
        <x:v>treasure; treasures; treasure tokens</x:v>
      </x:c>
      <x:c r="M1096" s="26" t="str">
        <x:v>Expand to governed recipe</x:v>
      </x:c>
      <x:c r="N1096" s="26" t="str">
        <x:v>Production-ready</x:v>
      </x:c>
      <x:c r="O1096" s="43" t="n">
        <x:v>0.94</x:v>
      </x:c>
      <x:c r="P1096" s="26" t="str">
        <x:v>Direct Oracle text baseline; distinguish Treasure cards from Treasure art.</x:v>
      </x:c>
      <x:c r="Q1096" s="26" t="str">
        <x:v>https://scryfall.com/docs/syntax | https://scryfall.com/docs/tagger-tags</x:v>
      </x:c>
      <x:c r="R1096" s="26" t="str">
        <x:v>2026-08-21</x:v>
      </x:c>
    </x:row>
    <x:row r="1097">
      <x:c r="A1097" s="26" t="str">
        <x:v>DeckArchetypes!B14</x:v>
      </x:c>
      <x:c r="B1097" s="26" t="str">
        <x:v>Deck Archetype</x:v>
      </x:c>
      <x:c r="C1097" s="26" t="str">
        <x:v>Equipment</x:v>
      </x:c>
      <x:c r="D1097" s="26" t="str">
        <x:v>Archetype column only</x:v>
      </x:c>
      <x:c r="E1097" s="26"/>
      <x:c r="F1097" s="26" t="str">
        <x:v>otag:"Equipment"</x:v>
      </x:c>
      <x:c r="G1097" s="26" t="str">
        <x:v>Tag-dependent</x:v>
      </x:c>
      <x:c r="H1097" s="26" t="str">
        <x:v>Native taxonomy</x:v>
      </x:c>
      <x:c r="I1097" s="26" t="str">
        <x:v>native / tag / regex recipe</x:v>
      </x:c>
      <x:c r="J1097" s="26" t="str">
        <x:v>t:equipment</x:v>
      </x:c>
      <x:c r="K1097" s="26" t="str"/>
      <x:c r="L1097" s="26" t="str">
        <x:v>equipment; equipments</x:v>
      </x:c>
      <x:c r="M1097" s="26" t="str">
        <x:v>Expand to governed recipe</x:v>
      </x:c>
      <x:c r="N1097" s="26" t="str">
        <x:v>Production-ready</x:v>
      </x:c>
      <x:c r="O1097" s="43" t="n">
        <x:v>0.94</x:v>
      </x:c>
      <x:c r="P1097" s="26" t="str">
        <x:v>Direct type/subtype search for Equipment cards. 'Equipment matters' is a separate relationship intent.</x:v>
      </x:c>
      <x:c r="Q1097" s="26" t="str">
        <x:v>https://scryfall.com/docs/syntax | https://scryfall.com/docs/tagger-tags</x:v>
      </x:c>
      <x:c r="R1097" s="26" t="str">
        <x:v>2026-08-21</x:v>
      </x:c>
    </x:row>
    <x:row r="1098">
      <x:c r="A1098" s="26" t="str">
        <x:v>DeckArchetypes!B15</x:v>
      </x:c>
      <x:c r="B1098" s="26" t="str">
        <x:v>Deck Archetype</x:v>
      </x:c>
      <x:c r="C1098" s="26" t="str">
        <x:v>Enchantress</x:v>
      </x:c>
      <x:c r="D1098" s="26" t="str">
        <x:v>Archetype column only</x:v>
      </x:c>
      <x:c r="E1098" s="26"/>
      <x:c r="F1098" s="26" t="str">
        <x:v>otag:"Enchantress"</x:v>
      </x:c>
      <x:c r="G1098" s="26" t="str">
        <x:v>Tag-dependent</x:v>
      </x:c>
      <x:c r="H1098" s="26" t="str">
        <x:v>Relationship</x:v>
      </x:c>
      <x:c r="I1098" s="26" t="str">
        <x:v>native / tag / regex recipe</x:v>
      </x:c>
      <x:c r="J1098" s="26" t="str">
        <x:v>o:enchantment</x:v>
      </x:c>
      <x:c r="K1098" s="26" t="str"/>
      <x:c r="L1098" s="26" t="str">
        <x:v>enchantress; enchantments matter</x:v>
      </x:c>
      <x:c r="M1098" s="26" t="str">
        <x:v>Surface semantic intent; do not guess</x:v>
      </x:c>
      <x:c r="N1098" s="26" t="str">
        <x:v>Semantic</x:v>
      </x:c>
      <x:c r="O1098" s="43" t="n">
        <x:v>0.3</x:v>
      </x:c>
      <x:c r="P1098" s="26" t="str">
        <x:v>Archetype is semantic; direct enchantment type should not be substituted for payoff/support intent.</x:v>
      </x:c>
      <x:c r="Q1098" s="26" t="str">
        <x:v>https://scryfall.com/docs/syntax | https://scryfall.com/docs/tagger-tags</x:v>
      </x:c>
      <x:c r="R1098" s="26" t="str">
        <x:v>2026-08-21</x:v>
      </x:c>
    </x:row>
    <x:row r="1099">
      <x:c r="A1099" s="26" t="str">
        <x:v>DeckArchetypes!B16</x:v>
      </x:c>
      <x:c r="B1099" s="26" t="str">
        <x:v>Deck Archetype</x:v>
      </x:c>
      <x:c r="C1099" s="26" t="str">
        <x:v>Control</x:v>
      </x:c>
      <x:c r="D1099" s="26" t="str">
        <x:v>Archetype column only</x:v>
      </x:c>
      <x:c r="E1099" s="26"/>
      <x:c r="F1099" s="26" t="str">
        <x:v>otag:"Control"</x:v>
      </x:c>
      <x:c r="G1099" s="26" t="str">
        <x:v>Tag-dependent</x:v>
      </x:c>
      <x:c r="H1099" s="26" t="str">
        <x:v>Subjective archetype</x:v>
      </x:c>
      <x:c r="I1099" s="26" t="str">
        <x:v>native / tag / regex recipe</x:v>
      </x:c>
      <x:c r="J1099" s="26" t="str"/>
      <x:c r="K1099" s="26" t="str"/>
      <x:c r="L1099" s="26" t="str">
        <x:v>control; control deck</x:v>
      </x:c>
      <x:c r="M1099" s="26" t="str">
        <x:v>Surface semantic intent; do not guess</x:v>
      </x:c>
      <x:c r="N1099" s="26" t="str">
        <x:v>Semantic</x:v>
      </x:c>
      <x:c r="O1099" s="43" t="n">
        <x:v>0.3</x:v>
      </x:c>
      <x:c r="P1099" s="26" t="str">
        <x:v>No single Scryfall operator defines a control deck.</x:v>
      </x:c>
      <x:c r="Q1099" s="26" t="str">
        <x:v>https://scryfall.com/docs/syntax | https://scryfall.com/docs/tagger-tags</x:v>
      </x:c>
      <x:c r="R1099" s="26" t="str">
        <x:v>2026-08-21</x:v>
      </x:c>
    </x:row>
    <x:row r="1100">
      <x:c r="A1100" s="26" t="str">
        <x:v>DeckArchetypes!B17</x:v>
      </x:c>
      <x:c r="B1100" s="26" t="str">
        <x:v>Deck Archetype</x:v>
      </x:c>
      <x:c r="C1100" s="26" t="str">
        <x:v>Voltron</x:v>
      </x:c>
      <x:c r="D1100" s="26" t="str">
        <x:v>Archetype column only</x:v>
      </x:c>
      <x:c r="E1100" s="26"/>
      <x:c r="F1100" s="26" t="str">
        <x:v>otag:"Voltron"</x:v>
      </x:c>
      <x:c r="G1100" s="26" t="str">
        <x:v>Tag-dependent</x:v>
      </x:c>
      <x:c r="H1100" s="26" t="str">
        <x:v>Composite archetype</x:v>
      </x:c>
      <x:c r="I1100" s="26" t="str">
        <x:v>native / tag / regex recipe</x:v>
      </x:c>
      <x:c r="J1100" s="26" t="str">
        <x:v>(t:equipment or t:aura)</x:v>
      </x:c>
      <x:c r="K1100" s="26" t="str"/>
      <x:c r="L1100" s="26" t="str">
        <x:v>voltron; suit up commander; commander damage</x:v>
      </x:c>
      <x:c r="M1100" s="26" t="str">
        <x:v>Surface semantic intent; do not guess</x:v>
      </x:c>
      <x:c r="N1100" s="26" t="str">
        <x:v>Semantic</x:v>
      </x:c>
      <x:c r="O1100" s="43" t="n">
        <x:v>0.3</x:v>
      </x:c>
      <x:c r="P1100" s="26" t="str">
        <x:v>Requires relation to one creature/commander, protection, evasion, auras/equipment.</x:v>
      </x:c>
      <x:c r="Q1100" s="26" t="str">
        <x:v>https://scryfall.com/docs/syntax | https://scryfall.com/docs/tagger-tags</x:v>
      </x:c>
      <x:c r="R1100" s="26" t="str">
        <x:v>2026-08-21</x:v>
      </x:c>
    </x:row>
    <x:row r="1101">
      <x:c r="A1101" s="26" t="str">
        <x:v>DeckArchetypes!B18</x:v>
      </x:c>
      <x:c r="B1101" s="26" t="str">
        <x:v>Deck Archetype</x:v>
      </x:c>
      <x:c r="C1101" s="26" t="str">
        <x:v>Blink / Flicker</x:v>
      </x:c>
      <x:c r="D1101" s="26" t="str">
        <x:v>Archetype column only</x:v>
      </x:c>
      <x:c r="E1101" s="26"/>
      <x:c r="F1101" s="26" t="str">
        <x:v>otag:"Blink / Flicker"</x:v>
      </x:c>
      <x:c r="G1101" s="26" t="str">
        <x:v>Tag-dependent</x:v>
      </x:c>
      <x:c r="H1101" s="26" t="str">
        <x:v>Semantic function</x:v>
      </x:c>
      <x:c r="I1101" s="26" t="str">
        <x:v>native / tag / regex recipe</x:v>
      </x:c>
      <x:c r="J1101" s="26" t="str">
        <x:v>o:/exile.*return.*battlefield/</x:v>
      </x:c>
      <x:c r="K1101" s="26" t="str">
        <x:v>otag:blink</x:v>
      </x:c>
      <x:c r="L1101" s="26" t="str">
        <x:v>blink; flicker; exile and return</x:v>
      </x:c>
      <x:c r="M1101" s="26" t="str">
        <x:v>Expand to governed recipe</x:v>
      </x:c>
      <x:c r="N1101" s="26" t="str">
        <x:v>Production-ready</x:v>
      </x:c>
      <x:c r="O1101" s="43" t="n">
        <x:v>0.94</x:v>
      </x:c>
      <x:c r="P1101" s="26" t="str">
        <x:v>Master-class validated pattern; Tagger is preferable when allowlisted.</x:v>
      </x:c>
      <x:c r="Q1101" s="26" t="str">
        <x:v>https://scryfall.com/docs/syntax | https://scryfall.com/docs/tagger-tags</x:v>
      </x:c>
      <x:c r="R1101" s="26" t="str">
        <x:v>2026-08-21</x:v>
      </x:c>
    </x:row>
    <x:row r="1102">
      <x:c r="A1102" s="26" t="str">
        <x:v>DeckArchetypes!B19</x:v>
      </x:c>
      <x:c r="B1102" s="26" t="str">
        <x:v>Deck Archetype</x:v>
      </x:c>
      <x:c r="C1102" s="26" t="str">
        <x:v>Graveyard Value</x:v>
      </x:c>
      <x:c r="D1102" s="26" t="str">
        <x:v>Archetype column only</x:v>
      </x:c>
      <x:c r="E1102" s="26"/>
      <x:c r="F1102" s="26" t="str">
        <x:v>otag:"Graveyard Value"</x:v>
      </x:c>
      <x:c r="G1102" s="26" t="str">
        <x:v>Tag-dependent</x:v>
      </x:c>
      <x:c r="H1102" s="26" t="str">
        <x:v>Relationship</x:v>
      </x:c>
      <x:c r="I1102" s="26" t="str">
        <x:v>native / tag / regex recipe</x:v>
      </x:c>
      <x:c r="J1102" s="26" t="str">
        <x:v>o:graveyard</x:v>
      </x:c>
      <x:c r="K1102" s="26" t="str"/>
      <x:c r="L1102" s="26" t="str">
        <x:v>graveyard value; graveyard matters; yard value</x:v>
      </x:c>
      <x:c r="M1102" s="26" t="str">
        <x:v>Surface semantic intent; do not guess</x:v>
      </x:c>
      <x:c r="N1102" s="26" t="str">
        <x:v>Semantic</x:v>
      </x:c>
      <x:c r="O1102" s="43" t="n">
        <x:v>0.3</x:v>
      </x:c>
      <x:c r="P1102" s="26" t="str">
        <x:v>Broad relationship: recursion, cast/play from graveyard, death payoffs, self-mill, delirium, etc.</x:v>
      </x:c>
      <x:c r="Q1102" s="26" t="str">
        <x:v>https://scryfall.com/docs/syntax | https://scryfall.com/docs/tagger-tags</x:v>
      </x:c>
      <x:c r="R1102" s="26" t="str">
        <x:v>2026-08-21</x:v>
      </x:c>
    </x:row>
    <x:row r="1103">
      <x:c r="A1103" s="26" t="str">
        <x:v>DeckArchetypes!B20</x:v>
      </x:c>
      <x:c r="B1103" s="26" t="str">
        <x:v>Deck Archetype</x:v>
      </x:c>
      <x:c r="C1103" s="26" t="str">
        <x:v>Mill</x:v>
      </x:c>
      <x:c r="D1103" s="26" t="str">
        <x:v>Archetype column only</x:v>
      </x:c>
      <x:c r="E1103" s="26"/>
      <x:c r="F1103" s="26" t="str">
        <x:v>otag:"Mill"</x:v>
      </x:c>
      <x:c r="G1103" s="26" t="str">
        <x:v>Tag-dependent</x:v>
      </x:c>
      <x:c r="H1103" s="26" t="str">
        <x:v>Semantic function</x:v>
      </x:c>
      <x:c r="I1103" s="26" t="str">
        <x:v>native / tag / regex recipe</x:v>
      </x:c>
      <x:c r="J1103" s="26" t="str">
        <x:v>o:mill</x:v>
      </x:c>
      <x:c r="K1103" s="26" t="str">
        <x:v>(otag:mill or otag:mill-opponent)</x:v>
      </x:c>
      <x:c r="L1103" s="26" t="str">
        <x:v>mill; mill opponent; decking</x:v>
      </x:c>
      <x:c r="M1103" s="26" t="str">
        <x:v>Expand to governed recipe</x:v>
      </x:c>
      <x:c r="N1103" s="26" t="str">
        <x:v>Production-ready</x:v>
      </x:c>
      <x:c r="O1103" s="43" t="n">
        <x:v>0.94</x:v>
      </x:c>
      <x:c r="P1103" s="26" t="str">
        <x:v>EDHREC validates mill family tags.</x:v>
      </x:c>
      <x:c r="Q1103" s="26" t="str">
        <x:v>https://scryfall.com/docs/syntax | https://scryfall.com/docs/tagger-tags</x:v>
      </x:c>
      <x:c r="R1103" s="26" t="str">
        <x:v>2026-08-21</x:v>
      </x:c>
    </x:row>
    <x:row r="1104">
      <x:c r="A1104" s="26" t="str">
        <x:v>DeckArchetypes!B21</x:v>
      </x:c>
      <x:c r="B1104" s="26" t="str">
        <x:v>Deck Archetype</x:v>
      </x:c>
      <x:c r="C1104" s="26" t="str">
        <x:v>Big Mana / Stompy</x:v>
      </x:c>
      <x:c r="D1104" s="26" t="str">
        <x:v>Archetype column only</x:v>
      </x:c>
      <x:c r="E1104" s="26"/>
      <x:c r="F1104" s="26" t="str">
        <x:v>otag:"Big Mana / Stompy"</x:v>
      </x:c>
      <x:c r="G1104" s="26" t="str">
        <x:v>Tag-dependent</x:v>
      </x:c>
      <x:c r="H1104" s="26" t="str">
        <x:v>Subjective archetype</x:v>
      </x:c>
      <x:c r="I1104" s="26" t="str">
        <x:v>native / tag / regex recipe</x:v>
      </x:c>
      <x:c r="J1104" s="26" t="str">
        <x:v>mv&gt;=6</x:v>
      </x:c>
      <x:c r="K1104" s="26" t="str"/>
      <x:c r="L1104" s="26" t="str">
        <x:v>big mana; stompy; big creatures</x:v>
      </x:c>
      <x:c r="M1104" s="26" t="str">
        <x:v>Surface semantic intent; do not guess</x:v>
      </x:c>
      <x:c r="N1104" s="26" t="str">
        <x:v>Semantic</x:v>
      </x:c>
      <x:c r="O1104" s="43" t="n">
        <x:v>0.3</x:v>
      </x:c>
      <x:c r="P1104" s="26" t="str">
        <x:v>Mana-value threshold is an assumption, not a definition.</x:v>
      </x:c>
      <x:c r="Q1104" s="26" t="str">
        <x:v>https://scryfall.com/docs/syntax | https://scryfall.com/docs/tagger-tags</x:v>
      </x:c>
      <x:c r="R1104" s="26" t="str">
        <x:v>2026-08-21</x:v>
      </x:c>
    </x:row>
    <x:row r="1105">
      <x:c r="A1105" s="26" t="str">
        <x:v>DeckArchetypes!B22</x:v>
      </x:c>
      <x:c r="B1105" s="26" t="str">
        <x:v>Deck Archetype</x:v>
      </x:c>
      <x:c r="C1105" s="26" t="str">
        <x:v>Typal</x:v>
      </x:c>
      <x:c r="D1105" s="26" t="str">
        <x:v>Archetype column only</x:v>
      </x:c>
      <x:c r="E1105" s="26"/>
      <x:c r="F1105" s="26" t="str">
        <x:v>otag:"Typal"</x:v>
      </x:c>
      <x:c r="G1105" s="26" t="str">
        <x:v>Tag-dependent</x:v>
      </x:c>
      <x:c r="H1105" s="26" t="str">
        <x:v>Relationship</x:v>
      </x:c>
      <x:c r="I1105" s="26" t="str">
        <x:v>native / tag / regex recipe</x:v>
      </x:c>
      <x:c r="J1105" s="26" t="str"/>
      <x:c r="K1105" s="26" t="str"/>
      <x:c r="L1105" s="26" t="str">
        <x:v>typal; tribal; creature type deck</x:v>
      </x:c>
      <x:c r="M1105" s="26" t="str">
        <x:v>Surface semantic intent; do not guess</x:v>
      </x:c>
      <x:c r="N1105" s="26" t="str">
        <x:v>Semantic</x:v>
      </x:c>
      <x:c r="O1105" s="43" t="n">
        <x:v>0.3</x:v>
      </x:c>
      <x:c r="P1105" s="26" t="str">
        <x:v>Requires a creature type. Translator should resolve the subtype and whether user wants members or payoffs.</x:v>
      </x:c>
      <x:c r="Q1105" s="26" t="str">
        <x:v>https://scryfall.com/docs/syntax | https://scryfall.com/docs/tagger-tags</x:v>
      </x:c>
      <x:c r="R1105" s="26" t="str">
        <x:v>2026-08-21</x:v>
      </x:c>
    </x:row>
    <x:row r="1106">
      <x:c r="A1106" s="26" t="str">
        <x:v>DeckArchetypes!B23</x:v>
      </x:c>
      <x:c r="B1106" s="26" t="str">
        <x:v>Deck Archetype</x:v>
      </x:c>
      <x:c r="C1106" s="26" t="str">
        <x:v>Midrange Value</x:v>
      </x:c>
      <x:c r="D1106" s="26" t="str">
        <x:v>Archetype column only</x:v>
      </x:c>
      <x:c r="E1106" s="26"/>
      <x:c r="F1106" s="26" t="str">
        <x:v>otag:"Midrange Value"</x:v>
      </x:c>
      <x:c r="G1106" s="26" t="str">
        <x:v>Tag-dependent</x:v>
      </x:c>
      <x:c r="H1106" s="26" t="str">
        <x:v>Subjective archetype</x:v>
      </x:c>
      <x:c r="I1106" s="26" t="str">
        <x:v>native / tag / regex recipe</x:v>
      </x:c>
      <x:c r="J1106" s="26" t="str"/>
      <x:c r="K1106" s="26" t="str"/>
      <x:c r="L1106" s="26" t="str">
        <x:v>midrange; value deck; grindy</x:v>
      </x:c>
      <x:c r="M1106" s="26" t="str">
        <x:v>Surface semantic intent; do not guess</x:v>
      </x:c>
      <x:c r="N1106" s="26" t="str">
        <x:v>Semantic</x:v>
      </x:c>
      <x:c r="O1106" s="43" t="n">
        <x:v>0.3</x:v>
      </x:c>
      <x:c r="P1106" s="26" t="str">
        <x:v>Subjective strategy, unsuitable for silent deterministic translation.</x:v>
      </x:c>
      <x:c r="Q1106" s="26" t="str">
        <x:v>https://scryfall.com/docs/syntax | https://scryfall.com/docs/tagger-tags</x:v>
      </x:c>
      <x:c r="R1106" s="26" t="str">
        <x:v>2026-08-21</x:v>
      </x:c>
    </x:row>
    <x:row r="1107">
      <x:c r="A1107" s="26" t="str">
        <x:v>DeckArchetypes!B24</x:v>
      </x:c>
      <x:c r="B1107" s="26" t="str">
        <x:v>Deck Archetype</x:v>
      </x:c>
      <x:c r="C1107" s="26" t="str">
        <x:v>Politics / Deals</x:v>
      </x:c>
      <x:c r="D1107" s="26" t="str">
        <x:v>Archetype column only</x:v>
      </x:c>
      <x:c r="E1107" s="26"/>
      <x:c r="F1107" s="26" t="str">
        <x:v>otag:"Politics / Deals"</x:v>
      </x:c>
      <x:c r="G1107" s="26" t="str">
        <x:v>Tag-dependent</x:v>
      </x:c>
      <x:c r="H1107" s="26" t="str">
        <x:v>Relationship</x:v>
      </x:c>
      <x:c r="I1107" s="26" t="str">
        <x:v>native / tag / regex recipe</x:v>
      </x:c>
      <x:c r="J1107" s="26" t="str">
        <x:v>o:/you and target opponent|each player|an opponent may/</x:v>
      </x:c>
      <x:c r="K1107" s="26" t="str"/>
      <x:c r="L1107" s="26" t="str">
        <x:v>politics; deals; political cards</x:v>
      </x:c>
      <x:c r="M1107" s="26" t="str">
        <x:v>Expand to governed recipe</x:v>
      </x:c>
      <x:c r="N1107" s="26" t="str">
        <x:v>Review</x:v>
      </x:c>
      <x:c r="O1107" s="43" t="n">
        <x:v>0.68</x:v>
      </x:c>
      <x:c r="P1107" s="26" t="str">
        <x:v>Regex is discovery-only; semantics vary widely.</x:v>
      </x:c>
      <x:c r="Q1107" s="26" t="str">
        <x:v>https://scryfall.com/docs/syntax | https://scryfall.com/docs/tagger-tags</x:v>
      </x:c>
      <x:c r="R1107" s="26" t="str">
        <x:v>2026-08-21</x:v>
      </x:c>
    </x:row>
    <x:row r="1108">
      <x:c r="A1108" s="26" t="str">
        <x:v>DeckArchetypes!B25</x:v>
      </x:c>
      <x:c r="B1108" s="26" t="str">
        <x:v>Deck Archetype</x:v>
      </x:c>
      <x:c r="C1108" s="26" t="str">
        <x:v>Auras</x:v>
      </x:c>
      <x:c r="D1108" s="26" t="str">
        <x:v>Archetype column only</x:v>
      </x:c>
      <x:c r="E1108" s="26"/>
      <x:c r="F1108" s="26" t="str">
        <x:v>otag:"Auras"</x:v>
      </x:c>
      <x:c r="G1108" s="26" t="str">
        <x:v>Tag-dependent</x:v>
      </x:c>
      <x:c r="H1108" s="26" t="str">
        <x:v>Native taxonomy</x:v>
      </x:c>
      <x:c r="I1108" s="26" t="str">
        <x:v>native / tag / regex recipe</x:v>
      </x:c>
      <x:c r="J1108" s="26" t="str">
        <x:v>t:aura</x:v>
      </x:c>
      <x:c r="K1108" s="26" t="str"/>
      <x:c r="L1108" s="26" t="str">
        <x:v>aura; auras</x:v>
      </x:c>
      <x:c r="M1108" s="26" t="str">
        <x:v>Expand to governed recipe</x:v>
      </x:c>
      <x:c r="N1108" s="26" t="str">
        <x:v>Production-ready</x:v>
      </x:c>
      <x:c r="O1108" s="43" t="n">
        <x:v>0.94</x:v>
      </x:c>
      <x:c r="P1108" s="26" t="str">
        <x:v>Direct subtype search for Aura cards; aura-synergy is separate.</x:v>
      </x:c>
      <x:c r="Q1108" s="26" t="str">
        <x:v>https://scryfall.com/docs/syntax | https://scryfall.com/docs/tagger-tags</x:v>
      </x:c>
      <x:c r="R1108" s="26" t="str">
        <x:v>2026-08-21</x:v>
      </x:c>
    </x:row>
    <x:row r="1109">
      <x:c r="A1109" s="26" t="str">
        <x:v>DeckArchetypes!B26</x:v>
      </x:c>
      <x:c r="B1109" s="26" t="str">
        <x:v>Deck Archetype</x:v>
      </x:c>
      <x:c r="C1109" s="26" t="str">
        <x:v>Burn</x:v>
      </x:c>
      <x:c r="D1109" s="26" t="str">
        <x:v>Archetype column only</x:v>
      </x:c>
      <x:c r="E1109" s="26"/>
      <x:c r="F1109" s="26" t="str">
        <x:v>otag:"Burn"</x:v>
      </x:c>
      <x:c r="G1109" s="26" t="str">
        <x:v>Tag-dependent</x:v>
      </x:c>
      <x:c r="H1109" s="26" t="str">
        <x:v>Semantic function</x:v>
      </x:c>
      <x:c r="I1109" s="26" t="str">
        <x:v>native / tag / regex recipe</x:v>
      </x:c>
      <x:c r="J1109" s="26" t="str">
        <x:v>o:/deals? \d+ damage/</x:v>
      </x:c>
      <x:c r="K1109" s="26" t="str"/>
      <x:c r="L1109" s="26" t="str">
        <x:v>burn; direct damage; face damage</x:v>
      </x:c>
      <x:c r="M1109" s="26" t="str">
        <x:v>Expand to governed recipe</x:v>
      </x:c>
      <x:c r="N1109" s="26" t="str">
        <x:v>Review</x:v>
      </x:c>
      <x:c r="O1109" s="43" t="n">
        <x:v>0.68</x:v>
      </x:c>
      <x:c r="P1109" s="26" t="str">
        <x:v>Misses variable/non-numeric damage; use as a candidate pattern.</x:v>
      </x:c>
      <x:c r="Q1109" s="26" t="str">
        <x:v>https://scryfall.com/docs/syntax | https://scryfall.com/docs/tagger-tags</x:v>
      </x:c>
      <x:c r="R1109" s="26" t="str">
        <x:v>2026-08-21</x:v>
      </x:c>
    </x:row>
    <x:row r="1110">
      <x:c r="A1110" s="26" t="str">
        <x:v>DeckArchetypes!B27</x:v>
      </x:c>
      <x:c r="B1110" s="26" t="str">
        <x:v>Deck Archetype</x:v>
      </x:c>
      <x:c r="C1110" s="26" t="str">
        <x:v>Wheels</x:v>
      </x:c>
      <x:c r="D1110" s="26" t="str">
        <x:v>Archetype column only</x:v>
      </x:c>
      <x:c r="E1110" s="26"/>
      <x:c r="F1110" s="26" t="str">
        <x:v>otag:"Wheels"</x:v>
      </x:c>
      <x:c r="G1110" s="26" t="str">
        <x:v>Tag-dependent</x:v>
      </x:c>
      <x:c r="H1110" s="26" t="str">
        <x:v>Semantic function</x:v>
      </x:c>
      <x:c r="I1110" s="26" t="str">
        <x:v>native / tag / regex recipe</x:v>
      </x:c>
      <x:c r="J1110" s="26" t="str">
        <x:v>o:/discard.*draw/</x:v>
      </x:c>
      <x:c r="K1110" s="26" t="str"/>
      <x:c r="L1110" s="26" t="str">
        <x:v>wheel; wheels; wheel effect</x:v>
      </x:c>
      <x:c r="M1110" s="26" t="str">
        <x:v>Expand to governed recipe</x:v>
      </x:c>
      <x:c r="N1110" s="26" t="str">
        <x:v>Review</x:v>
      </x:c>
      <x:c r="O1110" s="43" t="n">
        <x:v>0.68</x:v>
      </x:c>
      <x:c r="P1110" s="26" t="str">
        <x:v>Captures common wheel templating but not all variants.</x:v>
      </x:c>
      <x:c r="Q1110" s="26" t="str">
        <x:v>https://scryfall.com/docs/syntax | https://scryfall.com/docs/tagger-tags</x:v>
      </x:c>
      <x:c r="R1110" s="26" t="str">
        <x:v>2026-08-21</x:v>
      </x:c>
    </x:row>
    <x:row r="1111">
      <x:c r="A1111" s="26" t="str">
        <x:v>DeckArchetypes!B28</x:v>
      </x:c>
      <x:c r="B1111" s="26" t="str">
        <x:v>Deck Archetype</x:v>
      </x:c>
      <x:c r="C1111" s="26" t="str">
        <x:v>Discard</x:v>
      </x:c>
      <x:c r="D1111" s="26" t="str">
        <x:v>Archetype column only</x:v>
      </x:c>
      <x:c r="E1111" s="26"/>
      <x:c r="F1111" s="26" t="str">
        <x:v>otag:"Discard"</x:v>
      </x:c>
      <x:c r="G1111" s="26" t="str">
        <x:v>Tag-dependent</x:v>
      </x:c>
      <x:c r="H1111" s="26" t="str">
        <x:v>Semantic function</x:v>
      </x:c>
      <x:c r="I1111" s="26" t="str">
        <x:v>native / tag / regex recipe</x:v>
      </x:c>
      <x:c r="J1111" s="26" t="str">
        <x:v>o:discard</x:v>
      </x:c>
      <x:c r="K1111" s="26" t="str"/>
      <x:c r="L1111" s="26" t="str">
        <x:v>discard; hand attack; make opponents discard</x:v>
      </x:c>
      <x:c r="M1111" s="26" t="str">
        <x:v>Expand to governed recipe</x:v>
      </x:c>
      <x:c r="N1111" s="26" t="str">
        <x:v>Review</x:v>
      </x:c>
      <x:c r="O1111" s="43" t="n">
        <x:v>0.68</x:v>
      </x:c>
      <x:c r="P1111" s="26" t="str">
        <x:v>Needs directionality: self-discard/cost vs opponent discard vs global discard.</x:v>
      </x:c>
      <x:c r="Q1111" s="26" t="str">
        <x:v>https://scryfall.com/docs/syntax | https://scryfall.com/docs/tagger-tags</x:v>
      </x:c>
      <x:c r="R1111" s="26" t="str">
        <x:v>2026-08-21</x:v>
      </x:c>
    </x:row>
    <x:row r="1112">
      <x:c r="A1112" s="26" t="str">
        <x:v>DeckArchetypes!B29</x:v>
      </x:c>
      <x:c r="B1112" s="26" t="str">
        <x:v>Deck Archetype</x:v>
      </x:c>
      <x:c r="C1112" s="26" t="str">
        <x:v>Clones</x:v>
      </x:c>
      <x:c r="D1112" s="26" t="str">
        <x:v>Archetype column only</x:v>
      </x:c>
      <x:c r="E1112" s="26"/>
      <x:c r="F1112" s="26" t="str">
        <x:v>otag:"Clones"</x:v>
      </x:c>
      <x:c r="G1112" s="26" t="str">
        <x:v>Tag-dependent</x:v>
      </x:c>
      <x:c r="H1112" s="26" t="str">
        <x:v>Semantic function</x:v>
      </x:c>
      <x:c r="I1112" s="26" t="str">
        <x:v>native / tag / regex recipe</x:v>
      </x:c>
      <x:c r="J1112" s="26" t="str">
        <x:v>o:/copy.*creature|enters.*copy/</x:v>
      </x:c>
      <x:c r="K1112" s="26" t="str"/>
      <x:c r="L1112" s="26" t="str">
        <x:v>clone; clones; copy creatures</x:v>
      </x:c>
      <x:c r="M1112" s="26" t="str">
        <x:v>Expand to governed recipe</x:v>
      </x:c>
      <x:c r="N1112" s="26" t="str">
        <x:v>Review</x:v>
      </x:c>
      <x:c r="O1112" s="43" t="n">
        <x:v>0.68</x:v>
      </x:c>
      <x:c r="P1112" s="26" t="str">
        <x:v>Regex candidate; distinguish copying spells/permanents/tokens.</x:v>
      </x:c>
      <x:c r="Q1112" s="26" t="str">
        <x:v>https://scryfall.com/docs/syntax | https://scryfall.com/docs/tagger-tags</x:v>
      </x:c>
      <x:c r="R1112" s="26" t="str">
        <x:v>2026-08-21</x:v>
      </x:c>
    </x:row>
    <x:row r="1113">
      <x:c r="A1113" s="26" t="str">
        <x:v>DeckArchetypes!B30</x:v>
      </x:c>
      <x:c r="B1113" s="26" t="str">
        <x:v>Deck Archetype</x:v>
      </x:c>
      <x:c r="C1113" s="26" t="str">
        <x:v>Theft / Copy</x:v>
      </x:c>
      <x:c r="D1113" s="26" t="str">
        <x:v>Archetype column only</x:v>
      </x:c>
      <x:c r="E1113" s="26"/>
      <x:c r="F1113" s="26" t="str">
        <x:v>otag:"Theft / Copy"</x:v>
      </x:c>
      <x:c r="G1113" s="26" t="str">
        <x:v>Tag-dependent</x:v>
      </x:c>
      <x:c r="H1113" s="26" t="str">
        <x:v>Composite function</x:v>
      </x:c>
      <x:c r="I1113" s="26" t="str">
        <x:v>native / tag / regex recipe</x:v>
      </x:c>
      <x:c r="J1113" s="26" t="str">
        <x:v>(o:control or o:copy)</x:v>
      </x:c>
      <x:c r="K1113" s="26" t="str"/>
      <x:c r="L1113" s="26" t="str">
        <x:v>theft; steal; copy; clone</x:v>
      </x:c>
      <x:c r="M1113" s="26" t="str">
        <x:v>Surface semantic intent; do not guess</x:v>
      </x:c>
      <x:c r="N1113" s="26" t="str">
        <x:v>Semantic</x:v>
      </x:c>
      <x:c r="O1113" s="43" t="n">
        <x:v>0.3</x:v>
      </x:c>
      <x:c r="P1113" s="26" t="str">
        <x:v>Too broad to collapse without object/zone clarification.</x:v>
      </x:c>
      <x:c r="Q1113" s="26" t="str">
        <x:v>https://scryfall.com/docs/syntax | https://scryfall.com/docs/tagger-tags</x:v>
      </x:c>
      <x:c r="R1113" s="26" t="str">
        <x:v>2026-08-21</x:v>
      </x:c>
    </x:row>
    <x:row r="1114">
      <x:c r="A1114" s="26" t="str">
        <x:v>DeckArchetypes!B31</x:v>
      </x:c>
      <x:c r="B1114" s="26" t="str">
        <x:v>Deck Archetype</x:v>
      </x:c>
      <x:c r="C1114" s="26" t="str">
        <x:v>Sacrifice</x:v>
      </x:c>
      <x:c r="D1114" s="26" t="str">
        <x:v>Archetype column only</x:v>
      </x:c>
      <x:c r="E1114" s="26"/>
      <x:c r="F1114" s="26" t="str">
        <x:v>otag:"Sacrifice"</x:v>
      </x:c>
      <x:c r="G1114" s="26" t="str">
        <x:v>Tag-dependent</x:v>
      </x:c>
      <x:c r="H1114" s="26" t="str">
        <x:v>Semantic function</x:v>
      </x:c>
      <x:c r="I1114" s="26" t="str">
        <x:v>native / tag / regex recipe</x:v>
      </x:c>
      <x:c r="J1114" s="26" t="str">
        <x:v>o:sacrifice</x:v>
      </x:c>
      <x:c r="K1114" s="26" t="str">
        <x:v>otag:sacrifice-outlet</x:v>
      </x:c>
      <x:c r="L1114" s="26" t="str">
        <x:v>sacrifice; sac; sac outlet</x:v>
      </x:c>
      <x:c r="M1114" s="26" t="str">
        <x:v>Expand to governed recipe</x:v>
      </x:c>
      <x:c r="N1114" s="26" t="str">
        <x:v>Review</x:v>
      </x:c>
      <x:c r="O1114" s="43" t="n">
        <x:v>0.68</x:v>
      </x:c>
      <x:c r="P1114" s="26" t="str">
        <x:v>If user says outlet, prefer validated sacrifice-outlet tag; otherwise preserve object/direction.</x:v>
      </x:c>
      <x:c r="Q1114" s="26" t="str">
        <x:v>https://scryfall.com/docs/syntax | https://scryfall.com/docs/tagger-tags</x:v>
      </x:c>
      <x:c r="R1114" s="26" t="str">
        <x:v>2026-08-21</x:v>
      </x:c>
    </x:row>
    <x:row r="1115">
      <x:c r="A1115" s="26" t="str">
        <x:v>DeckArchetypes!B32</x:v>
      </x:c>
      <x:c r="B1115" s="26" t="str">
        <x:v>Deck Archetype</x:v>
      </x:c>
      <x:c r="C1115" s="26" t="str">
        <x:v>Storm</x:v>
      </x:c>
      <x:c r="D1115" s="26" t="str">
        <x:v>Archetype column only</x:v>
      </x:c>
      <x:c r="E1115" s="26"/>
      <x:c r="F1115" s="26" t="str">
        <x:v>otag:"Storm"</x:v>
      </x:c>
      <x:c r="G1115" s="26" t="str">
        <x:v>Tag-dependent</x:v>
      </x:c>
      <x:c r="H1115" s="26" t="str">
        <x:v>Named mechanic/archetype</x:v>
      </x:c>
      <x:c r="I1115" s="26" t="str">
        <x:v>native / tag / regex recipe</x:v>
      </x:c>
      <x:c r="J1115" s="26" t="str">
        <x:v>kw:storm</x:v>
      </x:c>
      <x:c r="K1115" s="26" t="str"/>
      <x:c r="L1115" s="26" t="str">
        <x:v>storm; storm cards</x:v>
      </x:c>
      <x:c r="M1115" s="26" t="str">
        <x:v>Expand to governed recipe</x:v>
      </x:c>
      <x:c r="N1115" s="26" t="str">
        <x:v>Review</x:v>
      </x:c>
      <x:c r="O1115" s="43" t="n">
        <x:v>0.68</x:v>
      </x:c>
      <x:c r="P1115" s="26" t="str">
        <x:v>kw:storm finds the keyword. 'Storm deck support' is broader.</x:v>
      </x:c>
      <x:c r="Q1115" s="26" t="str">
        <x:v>https://scryfall.com/docs/syntax | https://scryfall.com/docs/tagger-tags</x:v>
      </x:c>
      <x:c r="R1115" s="26" t="str">
        <x:v>2026-08-21</x:v>
      </x:c>
    </x:row>
    <x:row r="1116">
      <x:c r="A1116" s="26" t="str">
        <x:v>DeckArchetypes!B33</x:v>
      </x:c>
      <x:c r="B1116" s="26" t="str">
        <x:v>Deck Archetype</x:v>
      </x:c>
      <x:c r="C1116" s="26" t="str">
        <x:v>Stax / Resource Denial</x:v>
      </x:c>
      <x:c r="D1116" s="26" t="str">
        <x:v>Archetype column only</x:v>
      </x:c>
      <x:c r="E1116" s="26"/>
      <x:c r="F1116" s="26" t="str">
        <x:v>otag:"Stax / Resource Denial"</x:v>
      </x:c>
      <x:c r="G1116" s="26" t="str">
        <x:v>Tag-dependent</x:v>
      </x:c>
      <x:c r="H1116" s="26" t="str">
        <x:v>Composite archetype</x:v>
      </x:c>
      <x:c r="I1116" s="26" t="str">
        <x:v>native / tag / regex recipe</x:v>
      </x:c>
      <x:c r="J1116" s="26" t="str"/>
      <x:c r="K1116" s="26" t="str"/>
      <x:c r="L1116" s="26" t="str">
        <x:v>stax; resource denial; prison</x:v>
      </x:c>
      <x:c r="M1116" s="26" t="str">
        <x:v>Surface semantic intent; do not guess</x:v>
      </x:c>
      <x:c r="N1116" s="26" t="str">
        <x:v>Semantic</x:v>
      </x:c>
      <x:c r="O1116" s="43" t="n">
        <x:v>0.3</x:v>
      </x:c>
      <x:c r="P1116" s="26" t="str">
        <x:v>Requires governed semantic mapping; do not invent a tag.</x:v>
      </x:c>
      <x:c r="Q1116" s="26" t="str">
        <x:v>https://scryfall.com/docs/syntax | https://scryfall.com/docs/tagger-tags</x:v>
      </x:c>
      <x:c r="R1116" s="26" t="str">
        <x:v>2026-08-21</x:v>
      </x:c>
    </x:row>
    <x:row r="1117">
      <x:c r="A1117" s="26" t="str">
        <x:v>DeckArchetypes!B34</x:v>
      </x:c>
      <x:c r="B1117" s="26" t="str">
        <x:v>Deck Archetype</x:v>
      </x:c>
      <x:c r="C1117" s="26" t="str">
        <x:v>Group Slug</x:v>
      </x:c>
      <x:c r="D1117" s="26" t="str">
        <x:v>Archetype column only</x:v>
      </x:c>
      <x:c r="E1117" s="26"/>
      <x:c r="F1117" s="26" t="str">
        <x:v>otag:"Group Slug"</x:v>
      </x:c>
      <x:c r="G1117" s="26" t="str">
        <x:v>Tag-dependent</x:v>
      </x:c>
      <x:c r="H1117" s="26" t="str">
        <x:v>Subjective archetype</x:v>
      </x:c>
      <x:c r="I1117" s="26" t="str">
        <x:v>native / tag / regex recipe</x:v>
      </x:c>
      <x:c r="J1117" s="26" t="str"/>
      <x:c r="K1117" s="26" t="str"/>
      <x:c r="L1117" s="26" t="str">
        <x:v>group slug; punish everyone</x:v>
      </x:c>
      <x:c r="M1117" s="26" t="str">
        <x:v>Surface semantic intent; do not guess</x:v>
      </x:c>
      <x:c r="N1117" s="26" t="str">
        <x:v>Semantic</x:v>
      </x:c>
      <x:c r="O1117" s="43" t="n">
        <x:v>0.3</x:v>
      </x:c>
      <x:c r="P1117" s="26" t="str">
        <x:v>Community archetype with no single safe native operator.</x:v>
      </x:c>
      <x:c r="Q1117" s="26" t="str">
        <x:v>https://scryfall.com/docs/syntax | https://scryfall.com/docs/tagger-tags</x:v>
      </x:c>
      <x:c r="R1117" s="26" t="str">
        <x:v>2026-08-21</x:v>
      </x:c>
    </x:row>
    <x:row r="1118">
      <x:c r="A1118" s="26" t="str">
        <x:v>DeckArchetypes!B35</x:v>
      </x:c>
      <x:c r="B1118" s="26" t="str">
        <x:v>Deck Archetype</x:v>
      </x:c>
      <x:c r="C1118" s="26" t="str">
        <x:v>Group Hug</x:v>
      </x:c>
      <x:c r="D1118" s="26" t="str">
        <x:v>Archetype column only</x:v>
      </x:c>
      <x:c r="E1118" s="26"/>
      <x:c r="F1118" s="26" t="str">
        <x:v>otag:"Group Hug"</x:v>
      </x:c>
      <x:c r="G1118" s="26" t="str">
        <x:v>Tag-dependent</x:v>
      </x:c>
      <x:c r="H1118" s="26" t="str">
        <x:v>Subjective archetype</x:v>
      </x:c>
      <x:c r="I1118" s="26" t="str">
        <x:v>native / tag / regex recipe</x:v>
      </x:c>
      <x:c r="J1118" s="26" t="str"/>
      <x:c r="K1118" s="26" t="str"/>
      <x:c r="L1118" s="26" t="str">
        <x:v>group hug; help everyone</x:v>
      </x:c>
      <x:c r="M1118" s="26" t="str">
        <x:v>Surface semantic intent; do not guess</x:v>
      </x:c>
      <x:c r="N1118" s="26" t="str">
        <x:v>Semantic</x:v>
      </x:c>
      <x:c r="O1118" s="43" t="n">
        <x:v>0.3</x:v>
      </x:c>
      <x:c r="P1118" s="26" t="str">
        <x:v>Community archetype with no single safe native operator.</x:v>
      </x:c>
      <x:c r="Q1118" s="26" t="str">
        <x:v>https://scryfall.com/docs/syntax | https://scryfall.com/docs/tagger-tags</x:v>
      </x:c>
      <x:c r="R1118" s="26" t="str">
        <x:v>2026-08-21</x:v>
      </x:c>
    </x:row>
    <x:row r="1119">
      <x:c r="A1119" s="26" t="str">
        <x:v>DeckArchetypes!B36</x:v>
      </x:c>
      <x:c r="B1119" s="26" t="str">
        <x:v>Deck Archetype</x:v>
      </x:c>
      <x:c r="C1119" s="26" t="str">
        <x:v>Pillow Fort</x:v>
      </x:c>
      <x:c r="D1119" s="26" t="str">
        <x:v>Archetype column only</x:v>
      </x:c>
      <x:c r="E1119" s="26"/>
      <x:c r="F1119" s="26" t="str">
        <x:v>otag:"Pillow Fort"</x:v>
      </x:c>
      <x:c r="G1119" s="26" t="str">
        <x:v>Tag-dependent</x:v>
      </x:c>
      <x:c r="H1119" s="26" t="str">
        <x:v>Composite archetype</x:v>
      </x:c>
      <x:c r="I1119" s="26" t="str">
        <x:v>native / tag / regex recipe</x:v>
      </x:c>
      <x:c r="J1119" s="26" t="str"/>
      <x:c r="K1119" s="26" t="str"/>
      <x:c r="L1119" s="26" t="str">
        <x:v>pillow fort; discourage attacks; tax attackers</x:v>
      </x:c>
      <x:c r="M1119" s="26" t="str">
        <x:v>Surface semantic intent; do not guess</x:v>
      </x:c>
      <x:c r="N1119" s="26" t="str">
        <x:v>Semantic</x:v>
      </x:c>
      <x:c r="O1119" s="43" t="n">
        <x:v>0.3</x:v>
      </x:c>
      <x:c r="P1119" s="26" t="str">
        <x:v>Composite of attack taxes, prevention, protection.</x:v>
      </x:c>
      <x:c r="Q1119" s="26" t="str">
        <x:v>https://scryfall.com/docs/syntax | https://scryfall.com/docs/tagger-tags</x:v>
      </x:c>
      <x:c r="R1119" s="26" t="str">
        <x:v>2026-08-21</x:v>
      </x:c>
    </x:row>
    <x:row r="1120">
      <x:c r="A1120" s="26" t="str">
        <x:v>DeckArchetypes!B37</x:v>
      </x:c>
      <x:c r="B1120" s="26" t="str">
        <x:v>Deck Archetype</x:v>
      </x:c>
      <x:c r="C1120" s="26" t="str">
        <x:v>Superfriends</x:v>
      </x:c>
      <x:c r="D1120" s="26" t="str">
        <x:v>Archetype column only</x:v>
      </x:c>
      <x:c r="E1120" s="26"/>
      <x:c r="F1120" s="26" t="str">
        <x:v>otag:"Superfriends"</x:v>
      </x:c>
      <x:c r="G1120" s="26" t="str">
        <x:v>Tag-dependent</x:v>
      </x:c>
      <x:c r="H1120" s="26" t="str">
        <x:v>Relationship</x:v>
      </x:c>
      <x:c r="I1120" s="26" t="str">
        <x:v>native / tag / regex recipe</x:v>
      </x:c>
      <x:c r="J1120" s="26" t="str">
        <x:v>t:planeswalker</x:v>
      </x:c>
      <x:c r="K1120" s="26" t="str"/>
      <x:c r="L1120" s="26" t="str">
        <x:v>superfriends; planeswalkers matter</x:v>
      </x:c>
      <x:c r="M1120" s="26" t="str">
        <x:v>Surface semantic intent; do not guess</x:v>
      </x:c>
      <x:c r="N1120" s="26" t="str">
        <x:v>Semantic</x:v>
      </x:c>
      <x:c r="O1120" s="43" t="n">
        <x:v>0.3</x:v>
      </x:c>
      <x:c r="P1120" s="26" t="str">
        <x:v>t:planeswalker finds pieces, not support/payoffs.</x:v>
      </x:c>
      <x:c r="Q1120" s="26" t="str">
        <x:v>https://scryfall.com/docs/syntax | https://scryfall.com/docs/tagger-tags</x:v>
      </x:c>
      <x:c r="R1120" s="26" t="str">
        <x:v>2026-08-21</x:v>
      </x:c>
    </x:row>
    <x:row r="1121">
      <x:c r="A1121" s="26" t="str">
        <x:v>DeckArchetypes!B38</x:v>
      </x:c>
      <x:c r="B1121" s="26" t="str">
        <x:v>Deck Archetype</x:v>
      </x:c>
      <x:c r="C1121" s="26" t="str">
        <x:v>Vehicles</x:v>
      </x:c>
      <x:c r="D1121" s="26" t="str">
        <x:v>Archetype column only</x:v>
      </x:c>
      <x:c r="E1121" s="26"/>
      <x:c r="F1121" s="26" t="str">
        <x:v>otag:"Vehicles"</x:v>
      </x:c>
      <x:c r="G1121" s="26" t="str">
        <x:v>Tag-dependent</x:v>
      </x:c>
      <x:c r="H1121" s="26" t="str">
        <x:v>Native taxonomy</x:v>
      </x:c>
      <x:c r="I1121" s="26" t="str">
        <x:v>native / tag / regex recipe</x:v>
      </x:c>
      <x:c r="J1121" s="26" t="str">
        <x:v>t:vehicle</x:v>
      </x:c>
      <x:c r="K1121" s="26" t="str"/>
      <x:c r="L1121" s="26" t="str">
        <x:v>vehicle; vehicles</x:v>
      </x:c>
      <x:c r="M1121" s="26" t="str">
        <x:v>Expand to governed recipe</x:v>
      </x:c>
      <x:c r="N1121" s="26" t="str">
        <x:v>Production-ready</x:v>
      </x:c>
      <x:c r="O1121" s="43" t="n">
        <x:v>0.94</x:v>
      </x:c>
      <x:c r="P1121" s="26" t="str">
        <x:v>Direct subtype search; vehicle-synergy remains a relationship.</x:v>
      </x:c>
      <x:c r="Q1121" s="26" t="str">
        <x:v>https://scryfall.com/docs/syntax | https://scryfall.com/docs/tagger-tags</x:v>
      </x:c>
      <x:c r="R1121" s="26" t="str">
        <x:v>2026-08-21</x:v>
      </x:c>
    </x:row>
    <x:row r="1122">
      <x:c r="A1122" s="26" t="str">
        <x:v>DeckArchetypes!B39</x:v>
      </x:c>
      <x:c r="B1122" s="26" t="str">
        <x:v>Deck Archetype</x:v>
      </x:c>
      <x:c r="C1122" s="26" t="str">
        <x:v>Forced Combat / Goad</x:v>
      </x:c>
      <x:c r="D1122" s="26" t="str">
        <x:v>Archetype column only</x:v>
      </x:c>
      <x:c r="E1122" s="26"/>
      <x:c r="F1122" s="26" t="str">
        <x:v>otag:"Forced Combat / Goad"</x:v>
      </x:c>
      <x:c r="G1122" s="26" t="str">
        <x:v>Tag-dependent</x:v>
      </x:c>
      <x:c r="H1122" s="26" t="str">
        <x:v>Named action/function</x:v>
      </x:c>
      <x:c r="I1122" s="26" t="str">
        <x:v>native / tag / regex recipe</x:v>
      </x:c>
      <x:c r="J1122" s="26" t="str">
        <x:v>o:goad</x:v>
      </x:c>
      <x:c r="K1122" s="26" t="str"/>
      <x:c r="L1122" s="26" t="str">
        <x:v>goad; forced combat; make them attack</x:v>
      </x:c>
      <x:c r="M1122" s="26" t="str">
        <x:v>Expand to governed recipe</x:v>
      </x:c>
      <x:c r="N1122" s="26" t="str">
        <x:v>Production-ready</x:v>
      </x:c>
      <x:c r="O1122" s="43" t="n">
        <x:v>0.94</x:v>
      </x:c>
      <x:c r="P1122" s="26" t="str">
        <x:v>Direct action text baseline.</x:v>
      </x:c>
      <x:c r="Q1122" s="26" t="str">
        <x:v>https://scryfall.com/docs/syntax | https://scryfall.com/docs/tagger-tags</x:v>
      </x:c>
      <x:c r="R1122" s="26" t="str">
        <x:v>2026-08-21</x:v>
      </x:c>
    </x:row>
    <x:row r="1123">
      <x:c r="A1123" s="26" t="str">
        <x:v>DeckArchetypes!B40</x:v>
      </x:c>
      <x:c r="B1123" s="26" t="str">
        <x:v>Deck Archetype</x:v>
      </x:c>
      <x:c r="C1123" s="26" t="str">
        <x:v>Extra Turns</x:v>
      </x:c>
      <x:c r="D1123" s="26" t="str">
        <x:v>Archetype column only</x:v>
      </x:c>
      <x:c r="E1123" s="26"/>
      <x:c r="F1123" s="26" t="str">
        <x:v>otag:"Extra Turns"</x:v>
      </x:c>
      <x:c r="G1123" s="26" t="str">
        <x:v>Tag-dependent</x:v>
      </x:c>
      <x:c r="H1123" s="26" t="str">
        <x:v>Semantic function</x:v>
      </x:c>
      <x:c r="I1123" s="26" t="str">
        <x:v>native / tag / regex recipe</x:v>
      </x:c>
      <x:c r="J1123" s="26" t="str">
        <x:v>o:/take an extra turn/</x:v>
      </x:c>
      <x:c r="K1123" s="26" t="str"/>
      <x:c r="L1123" s="26" t="str">
        <x:v>extra turn; extra turns</x:v>
      </x:c>
      <x:c r="M1123" s="26" t="str">
        <x:v>Expand to governed recipe</x:v>
      </x:c>
      <x:c r="N1123" s="26" t="str">
        <x:v>Production-ready</x:v>
      </x:c>
      <x:c r="O1123" s="43" t="n">
        <x:v>0.94</x:v>
      </x:c>
      <x:c r="P1123" s="26" t="str">
        <x:v>Direct templating baseline.</x:v>
      </x:c>
      <x:c r="Q1123" s="26" t="str">
        <x:v>https://scryfall.com/docs/syntax | https://scryfall.com/docs/tagger-tags</x:v>
      </x:c>
      <x:c r="R1123" s="26" t="str">
        <x:v>2026-08-21</x:v>
      </x:c>
    </x:row>
    <x:row r="1124">
      <x:c r="A1124" s="26" t="str">
        <x:v>DeckArchetypes!B41</x:v>
      </x:c>
      <x:c r="B1124" s="26" t="str">
        <x:v>Deck Archetype</x:v>
      </x:c>
      <x:c r="C1124" s="26" t="str">
        <x:v>Proliferate</x:v>
      </x:c>
      <x:c r="D1124" s="26" t="str">
        <x:v>Archetype column only</x:v>
      </x:c>
      <x:c r="E1124" s="26"/>
      <x:c r="F1124" s="26" t="str">
        <x:v>otag:"Proliferate"</x:v>
      </x:c>
      <x:c r="G1124" s="26" t="str">
        <x:v>Tag-dependent</x:v>
      </x:c>
      <x:c r="H1124" s="26" t="str">
        <x:v>Named action</x:v>
      </x:c>
      <x:c r="I1124" s="26" t="str">
        <x:v>native / tag / regex recipe</x:v>
      </x:c>
      <x:c r="J1124" s="26" t="str">
        <x:v>o:proliferate</x:v>
      </x:c>
      <x:c r="K1124" s="26" t="str"/>
      <x:c r="L1124" s="26" t="str">
        <x:v>proliferate</x:v>
      </x:c>
      <x:c r="M1124" s="26" t="str">
        <x:v>Expand to governed recipe</x:v>
      </x:c>
      <x:c r="N1124" s="26" t="str">
        <x:v>Production-ready</x:v>
      </x:c>
      <x:c r="O1124" s="43" t="n">
        <x:v>0.94</x:v>
      </x:c>
      <x:c r="P1124" s="26" t="str">
        <x:v>Direct keyword-action text.</x:v>
      </x:c>
      <x:c r="Q1124" s="26" t="str">
        <x:v>https://scryfall.com/docs/syntax | https://scryfall.com/docs/tagger-tags</x:v>
      </x:c>
      <x:c r="R1124" s="26" t="str">
        <x:v>2026-08-21</x:v>
      </x:c>
    </x:row>
    <x:row r="1125">
      <x:c r="A1125" s="26" t="str">
        <x:v>DeckArchetypes!B42</x:v>
      </x:c>
      <x:c r="B1125" s="26" t="str">
        <x:v>Deck Archetype</x:v>
      </x:c>
      <x:c r="C1125" s="26" t="str">
        <x:v>Hatebears</x:v>
      </x:c>
      <x:c r="D1125" s="26" t="str">
        <x:v>Archetype column only</x:v>
      </x:c>
      <x:c r="E1125" s="26"/>
      <x:c r="F1125" s="26" t="str">
        <x:v>otag:"Hatebears"</x:v>
      </x:c>
      <x:c r="G1125" s="26" t="str">
        <x:v>Tag-dependent</x:v>
      </x:c>
      <x:c r="H1125" s="26" t="str">
        <x:v>Composite archetype</x:v>
      </x:c>
      <x:c r="I1125" s="26" t="str">
        <x:v>native / tag / regex recipe</x:v>
      </x:c>
      <x:c r="J1125" s="26" t="str">
        <x:v>t:creature</x:v>
      </x:c>
      <x:c r="K1125" s="26" t="str"/>
      <x:c r="L1125" s="26" t="str">
        <x:v>hatebears; hate bears</x:v>
      </x:c>
      <x:c r="M1125" s="26" t="str">
        <x:v>Surface semantic intent; do not guess</x:v>
      </x:c>
      <x:c r="N1125" s="26" t="str">
        <x:v>Semantic</x:v>
      </x:c>
      <x:c r="O1125" s="43" t="n">
        <x:v>0.3</x:v>
      </x:c>
      <x:c r="P1125" s="26" t="str">
        <x:v>Requires small disruptive creature semantic mapping.</x:v>
      </x:c>
      <x:c r="Q1125" s="26" t="str">
        <x:v>https://scryfall.com/docs/syntax | https://scryfall.com/docs/tagger-tags</x:v>
      </x:c>
      <x:c r="R1125" s="26" t="str">
        <x:v>2026-08-21</x:v>
      </x:c>
    </x:row>
    <x:row r="1126">
      <x:c r="A1126" s="26" t="str">
        <x:v>DeckArchetypes!B43</x:v>
      </x:c>
      <x:c r="B1126" s="26" t="str">
        <x:v>Deck Archetype</x:v>
      </x:c>
      <x:c r="C1126" s="26" t="str">
        <x:v>Topdeck</x:v>
      </x:c>
      <x:c r="D1126" s="26" t="str">
        <x:v>Archetype column only</x:v>
      </x:c>
      <x:c r="E1126" s="26"/>
      <x:c r="F1126" s="26" t="str">
        <x:v>otag:"Topdeck"</x:v>
      </x:c>
      <x:c r="G1126" s="26" t="str">
        <x:v>Tag-dependent</x:v>
      </x:c>
      <x:c r="H1126" s="26" t="str">
        <x:v>Relationship</x:v>
      </x:c>
      <x:c r="I1126" s="26" t="str">
        <x:v>native / tag / regex recipe</x:v>
      </x:c>
      <x:c r="J1126" s="26" t="str">
        <x:v>o:/top of.*library/</x:v>
      </x:c>
      <x:c r="K1126" s="26" t="str"/>
      <x:c r="L1126" s="26" t="str">
        <x:v>topdeck; top of library; topdeck matters</x:v>
      </x:c>
      <x:c r="M1126" s="26" t="str">
        <x:v>Expand to governed recipe</x:v>
      </x:c>
      <x:c r="N1126" s="26" t="str">
        <x:v>Review</x:v>
      </x:c>
      <x:c r="O1126" s="43" t="n">
        <x:v>0.68</x:v>
      </x:c>
      <x:c r="P1126" s="26" t="str">
        <x:v>Broad baseline; requires intent distinction between manipulation and payoff.</x:v>
      </x:c>
      <x:c r="Q1126" s="26" t="str">
        <x:v>https://scryfall.com/docs/syntax | https://scryfall.com/docs/tagger-tags</x:v>
      </x:c>
      <x:c r="R1126" s="26" t="str">
        <x:v>2026-08-21</x:v>
      </x:c>
    </x:row>
    <x:row r="1127">
      <x:c r="A1127" s="26" t="str">
        <x:v>DeckArchetypes!B44</x:v>
      </x:c>
      <x:c r="B1127" s="26" t="str">
        <x:v>Deck Archetype</x:v>
      </x:c>
      <x:c r="C1127" s="26" t="str">
        <x:v>X Spells</x:v>
      </x:c>
      <x:c r="D1127" s="26" t="str">
        <x:v>Archetype column only</x:v>
      </x:c>
      <x:c r="E1127" s="26"/>
      <x:c r="F1127" s="26" t="str">
        <x:v>otag:"X Spells"</x:v>
      </x:c>
      <x:c r="G1127" s="26" t="str">
        <x:v>Tag-dependent</x:v>
      </x:c>
      <x:c r="H1127" s="26" t="str">
        <x:v>Native mana-cost</x:v>
      </x:c>
      <x:c r="I1127" s="26" t="str">
        <x:v>native / tag / regex recipe</x:v>
      </x:c>
      <x:c r="J1127" s="26" t="str">
        <x:v>mana:{X}</x:v>
      </x:c>
      <x:c r="K1127" s="26" t="str"/>
      <x:c r="L1127" s="26" t="str">
        <x:v>x spells; x cost; variable mana</x:v>
      </x:c>
      <x:c r="M1127" s="26" t="str">
        <x:v>Expand to governed recipe</x:v>
      </x:c>
      <x:c r="N1127" s="26" t="str">
        <x:v>Production-ready</x:v>
      </x:c>
      <x:c r="O1127" s="43" t="n">
        <x:v>0.94</x:v>
      </x:c>
      <x:c r="P1127" s="26" t="str">
        <x:v>Direct mana-symbol search.</x:v>
      </x:c>
      <x:c r="Q1127" s="26" t="str">
        <x:v>https://scryfall.com/docs/syntax | https://scryfall.com/docs/tagger-tags</x:v>
      </x:c>
      <x:c r="R1127" s="26" t="str">
        <x:v>2026-08-21</x:v>
      </x:c>
    </x:row>
    <x:row r="1128">
      <x:c r="A1128" s="26" t="str">
        <x:v>DeckArchetypes!B45</x:v>
      </x:c>
      <x:c r="B1128" s="26" t="str">
        <x:v>Deck Archetype</x:v>
      </x:c>
      <x:c r="C1128" s="26" t="str">
        <x:v>Cascade / Discover</x:v>
      </x:c>
      <x:c r="D1128" s="26" t="str">
        <x:v>Archetype column only</x:v>
      </x:c>
      <x:c r="E1128" s="26"/>
      <x:c r="F1128" s="26" t="str">
        <x:v>otag:"Cascade / Discover"</x:v>
      </x:c>
      <x:c r="G1128" s="26" t="str">
        <x:v>Tag-dependent</x:v>
      </x:c>
      <x:c r="H1128" s="26" t="str">
        <x:v>Named mechanics</x:v>
      </x:c>
      <x:c r="I1128" s="26" t="str">
        <x:v>native / tag / regex recipe</x:v>
      </x:c>
      <x:c r="J1128" s="26" t="str">
        <x:v>(kw:cascade or o:discover)</x:v>
      </x:c>
      <x:c r="K1128" s="26" t="str"/>
      <x:c r="L1128" s="26" t="str">
        <x:v>cascade; discover</x:v>
      </x:c>
      <x:c r="M1128" s="26" t="str">
        <x:v>Expand to governed recipe</x:v>
      </x:c>
      <x:c r="N1128" s="26" t="str">
        <x:v>Review</x:v>
      </x:c>
      <x:c r="O1128" s="43" t="n">
        <x:v>0.68</x:v>
      </x:c>
      <x:c r="P1128" s="26" t="str">
        <x:v>Cascade is keyword; Discover is a keyword action.</x:v>
      </x:c>
      <x:c r="Q1128" s="26" t="str">
        <x:v>https://scryfall.com/docs/syntax | https://scryfall.com/docs/tagger-tags</x:v>
      </x:c>
      <x:c r="R1128" s="26" t="str">
        <x:v>2026-08-21</x:v>
      </x:c>
    </x:row>
    <x:row r="1129">
      <x:c r="A1129" s="26" t="str">
        <x:v>DeckArchetypes!B46</x:v>
      </x:c>
      <x:c r="B1129" s="26" t="str">
        <x:v>Deck Archetype</x:v>
      </x:c>
      <x:c r="C1129" s="26" t="str">
        <x:v>Commander Matters</x:v>
      </x:c>
      <x:c r="D1129" s="26" t="str">
        <x:v>Archetype column only</x:v>
      </x:c>
      <x:c r="E1129" s="26"/>
      <x:c r="F1129" s="26" t="str">
        <x:v>otag:"Commander Matters"</x:v>
      </x:c>
      <x:c r="G1129" s="26" t="str">
        <x:v>Tag-dependent</x:v>
      </x:c>
      <x:c r="H1129" s="26" t="str">
        <x:v>Relationship</x:v>
      </x:c>
      <x:c r="I1129" s="26" t="str">
        <x:v>native / tag / regex recipe</x:v>
      </x:c>
      <x:c r="J1129" s="26" t="str">
        <x:v>o:commander</x:v>
      </x:c>
      <x:c r="K1129" s="26" t="str"/>
      <x:c r="L1129" s="26" t="str">
        <x:v>commander matters; commander synergy</x:v>
      </x:c>
      <x:c r="M1129" s="26" t="str">
        <x:v>Expand to governed recipe</x:v>
      </x:c>
      <x:c r="N1129" s="26" t="str">
        <x:v>Review</x:v>
      </x:c>
      <x:c r="O1129" s="43" t="n">
        <x:v>0.68</x:v>
      </x:c>
      <x:c r="P1129" s="26" t="str">
        <x:v>Oracle text baseline; many indirect support cards will not literally say commander.</x:v>
      </x:c>
      <x:c r="Q1129" s="26" t="str">
        <x:v>https://scryfall.com/docs/syntax | https://scryfall.com/docs/tagger-tags</x:v>
      </x:c>
      <x:c r="R1129" s="26" t="str">
        <x:v>2026-08-21</x:v>
      </x:c>
    </x:row>
    <x:row r="1130">
      <x:c r="A1130" s="26" t="str">
        <x:v>DeckArchetypes!B47</x:v>
      </x:c>
      <x:c r="B1130" s="26" t="str">
        <x:v>Deck Archetype</x:v>
      </x:c>
      <x:c r="C1130" s="26" t="str">
        <x:v>Ninjutsu</x:v>
      </x:c>
      <x:c r="D1130" s="26" t="str">
        <x:v>Archetype column only</x:v>
      </x:c>
      <x:c r="E1130" s="26"/>
      <x:c r="F1130" s="26" t="str">
        <x:v>otag:"Ninjutsu"</x:v>
      </x:c>
      <x:c r="G1130" s="26" t="str">
        <x:v>Tag-dependent</x:v>
      </x:c>
      <x:c r="H1130" s="26" t="str">
        <x:v>Named mechanic</x:v>
      </x:c>
      <x:c r="I1130" s="26" t="str">
        <x:v>native / tag / regex recipe</x:v>
      </x:c>
      <x:c r="J1130" s="26" t="str">
        <x:v>kw:ninjutsu</x:v>
      </x:c>
      <x:c r="K1130" s="26" t="str"/>
      <x:c r="L1130" s="26" t="str">
        <x:v>ninjutsu; ninja swap</x:v>
      </x:c>
      <x:c r="M1130" s="26" t="str">
        <x:v>Expand to governed recipe</x:v>
      </x:c>
      <x:c r="N1130" s="26" t="str">
        <x:v>Production-ready</x:v>
      </x:c>
      <x:c r="O1130" s="43" t="n">
        <x:v>0.94</x:v>
      </x:c>
      <x:c r="P1130" s="26" t="str">
        <x:v>Direct keyword search.</x:v>
      </x:c>
      <x:c r="Q1130" s="26" t="str">
        <x:v>https://scryfall.com/docs/syntax | https://scryfall.com/docs/tagger-tags</x:v>
      </x:c>
      <x:c r="R1130" s="26" t="str">
        <x:v>2026-08-21</x:v>
      </x:c>
    </x:row>
    <x:row r="1131">
      <x:c r="A1131" s="26" t="str">
        <x:v>DeckArchetypes!B48</x:v>
      </x:c>
      <x:c r="B1131" s="26" t="str">
        <x:v>Deck Archetype</x:v>
      </x:c>
      <x:c r="C1131" s="26" t="str">
        <x:v>Prowess</x:v>
      </x:c>
      <x:c r="D1131" s="26" t="str">
        <x:v>Archetype column only</x:v>
      </x:c>
      <x:c r="E1131" s="26"/>
      <x:c r="F1131" s="26" t="str">
        <x:v>otag:"Prowess"</x:v>
      </x:c>
      <x:c r="G1131" s="26" t="str">
        <x:v>Tag-dependent</x:v>
      </x:c>
      <x:c r="H1131" s="26" t="str">
        <x:v>Named mechanic</x:v>
      </x:c>
      <x:c r="I1131" s="26" t="str">
        <x:v>native / tag / regex recipe</x:v>
      </x:c>
      <x:c r="J1131" s="26" t="str">
        <x:v>kw:prowess</x:v>
      </x:c>
      <x:c r="K1131" s="26" t="str"/>
      <x:c r="L1131" s="26" t="str">
        <x:v>prowess; prowess creatures</x:v>
      </x:c>
      <x:c r="M1131" s="26" t="str">
        <x:v>Expand to governed recipe</x:v>
      </x:c>
      <x:c r="N1131" s="26" t="str">
        <x:v>Production-ready</x:v>
      </x:c>
      <x:c r="O1131" s="43" t="n">
        <x:v>0.94</x:v>
      </x:c>
      <x:c r="P1131" s="26" t="str">
        <x:v>Direct keyword search.</x:v>
      </x:c>
      <x:c r="Q1131" s="26" t="str">
        <x:v>https://scryfall.com/docs/syntax | https://scryfall.com/docs/tagger-tags</x:v>
      </x:c>
      <x:c r="R1131" s="26" t="str">
        <x:v>2026-08-21</x:v>
      </x:c>
    </x:row>
    <x:row r="1132">
      <x:c r="A1132" s="26" t="str">
        <x:v>DeckArchetypes!B49</x:v>
      </x:c>
      <x:c r="B1132" s="26" t="str">
        <x:v>Deck Archetype</x:v>
      </x:c>
      <x:c r="C1132" s="26" t="str">
        <x:v>Legends Matter</x:v>
      </x:c>
      <x:c r="D1132" s="26" t="str">
        <x:v>Archetype column only</x:v>
      </x:c>
      <x:c r="E1132" s="26"/>
      <x:c r="F1132" s="26" t="str">
        <x:v>otag:"Legends Matter"</x:v>
      </x:c>
      <x:c r="G1132" s="26" t="str">
        <x:v>Tag-dependent</x:v>
      </x:c>
      <x:c r="H1132" s="26" t="str">
        <x:v>Relationship</x:v>
      </x:c>
      <x:c r="I1132" s="26" t="str">
        <x:v>native / tag / regex recipe</x:v>
      </x:c>
      <x:c r="J1132" s="26" t="str">
        <x:v>o:legendary</x:v>
      </x:c>
      <x:c r="K1132" s="26" t="str"/>
      <x:c r="L1132" s="26" t="str">
        <x:v>legends matter; legendary matters; historic legends</x:v>
      </x:c>
      <x:c r="M1132" s="26" t="str">
        <x:v>Expand to governed recipe</x:v>
      </x:c>
      <x:c r="N1132" s="26" t="str">
        <x:v>Review</x:v>
      </x:c>
      <x:c r="O1132" s="43" t="n">
        <x:v>0.68</x:v>
      </x:c>
      <x:c r="P1132" s="26" t="str">
        <x:v>Oracle baseline; distinguish legendary cards from payoffs.</x:v>
      </x:c>
      <x:c r="Q1132" s="26" t="str">
        <x:v>https://scryfall.com/docs/syntax | https://scryfall.com/docs/tagger-tags</x:v>
      </x:c>
      <x:c r="R1132" s="26" t="str">
        <x:v>2026-08-21</x:v>
      </x:c>
    </x:row>
    <x:row r="1133">
      <x:c r="A1133" s="26" t="str">
        <x:v>DeckArchetypes!B50</x:v>
      </x:c>
      <x:c r="B1133" s="26" t="str">
        <x:v>Deck Archetype</x:v>
      </x:c>
      <x:c r="C1133" s="26" t="str">
        <x:v>ETB Value</x:v>
      </x:c>
      <x:c r="D1133" s="26" t="str">
        <x:v>Archetype column only</x:v>
      </x:c>
      <x:c r="E1133" s="26"/>
      <x:c r="F1133" s="26" t="str">
        <x:v>otag:"ETB Value"</x:v>
      </x:c>
      <x:c r="G1133" s="26" t="str">
        <x:v>Tag-dependent</x:v>
      </x:c>
      <x:c r="H1133" s="26" t="str">
        <x:v>Relationship</x:v>
      </x:c>
      <x:c r="I1133" s="26" t="str">
        <x:v>native / tag / regex recipe</x:v>
      </x:c>
      <x:c r="J1133" s="26" t="str">
        <x:v>o:/when ~ enters|whenever .* enters/</x:v>
      </x:c>
      <x:c r="K1133" s="26" t="str"/>
      <x:c r="L1133" s="26" t="str">
        <x:v>etb; enters; enters the battlefield; etb value</x:v>
      </x:c>
      <x:c r="M1133" s="26" t="str">
        <x:v>Expand to governed recipe</x:v>
      </x:c>
      <x:c r="N1133" s="26" t="str">
        <x:v>Review</x:v>
      </x:c>
      <x:c r="O1133" s="43" t="n">
        <x:v>0.68</x:v>
      </x:c>
      <x:c r="P1133" s="26" t="str">
        <x:v>Separate own-ETB, any-ETB payoffs, blink enablers, and trigger doublers.</x:v>
      </x:c>
      <x:c r="Q1133" s="26" t="str">
        <x:v>https://scryfall.com/docs/syntax | https://scryfall.com/docs/tagger-tags</x:v>
      </x:c>
      <x:c r="R1133" s="26" t="str">
        <x:v>2026-08-21</x:v>
      </x:c>
    </x:row>
    <x:row r="1134">
      <x:c r="A1134" s="26" t="str">
        <x:v>DeckArchetypes!B51</x:v>
      </x:c>
      <x:c r="B1134" s="26" t="str">
        <x:v>Deck Archetype</x:v>
      </x:c>
      <x:c r="C1134" s="26" t="str">
        <x:v>Infect / Toxic</x:v>
      </x:c>
      <x:c r="D1134" s="26" t="str">
        <x:v>Archetype column only</x:v>
      </x:c>
      <x:c r="E1134" s="26"/>
      <x:c r="F1134" s="26" t="str">
        <x:v>otag:"Infect / Toxic"</x:v>
      </x:c>
      <x:c r="G1134" s="26" t="str">
        <x:v>Tag-dependent</x:v>
      </x:c>
      <x:c r="H1134" s="26" t="str">
        <x:v>Named mechanics</x:v>
      </x:c>
      <x:c r="I1134" s="26" t="str">
        <x:v>native / tag / regex recipe</x:v>
      </x:c>
      <x:c r="J1134" s="26" t="str">
        <x:v>(kw:infect or kw:toxic)</x:v>
      </x:c>
      <x:c r="K1134" s="26" t="str"/>
      <x:c r="L1134" s="26" t="str">
        <x:v>infect; toxic; poison</x:v>
      </x:c>
      <x:c r="M1134" s="26" t="str">
        <x:v>Expand to governed recipe</x:v>
      </x:c>
      <x:c r="N1134" s="26" t="str">
        <x:v>Production-ready</x:v>
      </x:c>
      <x:c r="O1134" s="43" t="n">
        <x:v>0.94</x:v>
      </x:c>
      <x:c r="P1134" s="26" t="str">
        <x:v>Direct keywords; 'poison counters matter' is broader.</x:v>
      </x:c>
      <x:c r="Q1134" s="26" t="str">
        <x:v>https://scryfall.com/docs/syntax | https://scryfall.com/docs/tagger-tags</x:v>
      </x:c>
      <x:c r="R1134" s="26" t="str">
        <x:v>2026-08-21</x:v>
      </x:c>
    </x:row>
    <x:row r="1135">
      <x:c r="A1135" s="26" t="str">
        <x:v>DeckArchetypes!B52</x:v>
      </x:c>
      <x:c r="B1135" s="26" t="str">
        <x:v>Deck Archetype</x:v>
      </x:c>
      <x:c r="C1135" s="26" t="str">
        <x:v>Toolbox / Tutors</x:v>
      </x:c>
      <x:c r="D1135" s="26" t="str">
        <x:v>Archetype column only</x:v>
      </x:c>
      <x:c r="E1135" s="26"/>
      <x:c r="F1135" s="26" t="str">
        <x:v>otag:"Toolbox / Tutors"</x:v>
      </x:c>
      <x:c r="G1135" s="26" t="str">
        <x:v>Tag-dependent</x:v>
      </x:c>
      <x:c r="H1135" s="26" t="str">
        <x:v>Semantic function</x:v>
      </x:c>
      <x:c r="I1135" s="26" t="str">
        <x:v>native / tag / regex recipe</x:v>
      </x:c>
      <x:c r="J1135" s="26" t="str">
        <x:v>o:/search your library/</x:v>
      </x:c>
      <x:c r="K1135" s="26" t="str"/>
      <x:c r="L1135" s="26" t="str">
        <x:v>tutor; tutors; toolbox</x:v>
      </x:c>
      <x:c r="M1135" s="26" t="str">
        <x:v>Expand to governed recipe</x:v>
      </x:c>
      <x:c r="N1135" s="26" t="str">
        <x:v>Review</x:v>
      </x:c>
      <x:c r="O1135" s="43" t="n">
        <x:v>0.68</x:v>
      </x:c>
      <x:c r="P1135" s="26" t="str">
        <x:v>Search-library regex is broad and includes lands/other searches; object should refine.</x:v>
      </x:c>
      <x:c r="Q1135" s="26" t="str">
        <x:v>https://scryfall.com/docs/syntax | https://scryfall.com/docs/tagger-tags</x:v>
      </x:c>
      <x:c r="R1135" s="26" t="str">
        <x:v>2026-08-21</x:v>
      </x:c>
    </x:row>
    <x:row r="1136">
      <x:c r="A1136" s="26" t="str">
        <x:v>DeckArchetypes!B53</x:v>
      </x:c>
      <x:c r="B1136" s="26" t="str">
        <x:v>Deck Archetype</x:v>
      </x:c>
      <x:c r="C1136" s="26" t="str">
        <x:v>Land Destruction</x:v>
      </x:c>
      <x:c r="D1136" s="26" t="str">
        <x:v>Archetype column only</x:v>
      </x:c>
      <x:c r="E1136" s="26"/>
      <x:c r="F1136" s="26" t="str">
        <x:v>otag:"Land Destruction"</x:v>
      </x:c>
      <x:c r="G1136" s="26" t="str">
        <x:v>Tag-dependent</x:v>
      </x:c>
      <x:c r="H1136" s="26" t="str">
        <x:v>Semantic function</x:v>
      </x:c>
      <x:c r="I1136" s="26" t="str">
        <x:v>native / tag / regex recipe</x:v>
      </x:c>
      <x:c r="J1136" s="26" t="str">
        <x:v>o:/destroy target land|destroy all lands/</x:v>
      </x:c>
      <x:c r="K1136" s="26" t="str"/>
      <x:c r="L1136" s="26" t="str">
        <x:v>land destruction; ld; destroy lands</x:v>
      </x:c>
      <x:c r="M1136" s="26" t="str">
        <x:v>Expand to governed recipe</x:v>
      </x:c>
      <x:c r="N1136" s="26" t="str">
        <x:v>Review</x:v>
      </x:c>
      <x:c r="O1136" s="43" t="n">
        <x:v>0.68</x:v>
      </x:c>
      <x:c r="P1136" s="26" t="str">
        <x:v>Literal baseline; misses sacrifice/exile and non-destroy denial.</x:v>
      </x:c>
      <x:c r="Q1136" s="26" t="str">
        <x:v>https://scryfall.com/docs/syntax | https://scryfall.com/docs/tagger-tags</x:v>
      </x:c>
      <x:c r="R1136" s="26" t="str">
        <x:v>2026-08-21</x:v>
      </x:c>
    </x:row>
    <x:row r="1137">
      <x:c r="A1137" s="26" t="str">
        <x:v>DeckArchetypes!B54</x:v>
      </x:c>
      <x:c r="B1137" s="26" t="str">
        <x:v>Deck Archetype</x:v>
      </x:c>
      <x:c r="C1137" s="26" t="str">
        <x:v>Chaos</x:v>
      </x:c>
      <x:c r="D1137" s="26" t="str">
        <x:v>Archetype column only</x:v>
      </x:c>
      <x:c r="E1137" s="26"/>
      <x:c r="F1137" s="26" t="str">
        <x:v>otag:"Chaos"</x:v>
      </x:c>
      <x:c r="G1137" s="26" t="str">
        <x:v>Tag-dependent</x:v>
      </x:c>
      <x:c r="H1137" s="26" t="str">
        <x:v>Subjective archetype</x:v>
      </x:c>
      <x:c r="I1137" s="26" t="str">
        <x:v>native / tag / regex recipe</x:v>
      </x:c>
      <x:c r="J1137" s="26" t="str"/>
      <x:c r="K1137" s="26" t="str"/>
      <x:c r="L1137" s="26" t="str">
        <x:v>chaos; random effects</x:v>
      </x:c>
      <x:c r="M1137" s="26" t="str">
        <x:v>Surface semantic intent; do not guess</x:v>
      </x:c>
      <x:c r="N1137" s="26" t="str">
        <x:v>Semantic</x:v>
      </x:c>
      <x:c r="O1137" s="43" t="n">
        <x:v>0.3</x:v>
      </x:c>
      <x:c r="P1137" s="26" t="str">
        <x:v>Subjective community archetype.</x:v>
      </x:c>
      <x:c r="Q1137" s="26" t="str">
        <x:v>https://scryfall.com/docs/syntax | https://scryfall.com/docs/tagger-tags</x:v>
      </x:c>
      <x:c r="R1137" s="26" t="str">
        <x:v>2026-08-21</x:v>
      </x:c>
    </x:row>
    <x:row r="1138">
      <x:c r="A1138" s="26" t="str">
        <x:v>DeckArchetypes!B55</x:v>
      </x:c>
      <x:c r="B1138" s="26" t="str">
        <x:v>Deck Archetype</x:v>
      </x:c>
      <x:c r="C1138" s="26" t="str">
        <x:v>Goodstuff</x:v>
      </x:c>
      <x:c r="D1138" s="26" t="str">
        <x:v>Archetype column only</x:v>
      </x:c>
      <x:c r="E1138" s="26"/>
      <x:c r="F1138" s="26" t="str">
        <x:v>otag:"Goodstuff"</x:v>
      </x:c>
      <x:c r="G1138" s="26" t="str">
        <x:v>Tag-dependent</x:v>
      </x:c>
      <x:c r="H1138" s="26" t="str">
        <x:v>Subjective archetype</x:v>
      </x:c>
      <x:c r="I1138" s="26" t="str">
        <x:v>native / tag / regex recipe</x:v>
      </x:c>
      <x:c r="J1138" s="26" t="str"/>
      <x:c r="K1138" s="26" t="str"/>
      <x:c r="L1138" s="26" t="str">
        <x:v>goodstuff; best cards; staples</x:v>
      </x:c>
      <x:c r="M1138" s="26" t="str">
        <x:v>Surface semantic intent; do not guess</x:v>
      </x:c>
      <x:c r="N1138" s="26" t="str">
        <x:v>Semantic</x:v>
      </x:c>
      <x:c r="O1138" s="43" t="n">
        <x:v>0.3</x:v>
      </x:c>
      <x:c r="P1138" s="26" t="str">
        <x:v>Subjective ranking request, not native syntax.</x:v>
      </x:c>
      <x:c r="Q1138" s="26" t="str">
        <x:v>https://scryfall.com/docs/syntax | https://scryfall.com/docs/tagger-tags</x:v>
      </x:c>
      <x:c r="R1138" s="26" t="str">
        <x:v>2026-08-21</x:v>
      </x:c>
    </x:row>
    <x:row r="1139">
      <x:c r="A1139" s="26" t="str">
        <x:v>DeckArchetypes!B56</x:v>
      </x:c>
      <x:c r="B1139" s="26" t="str">
        <x:v>Deck Archetype</x:v>
      </x:c>
      <x:c r="C1139" s="26" t="str">
        <x:v>Sneak and Show</x:v>
      </x:c>
      <x:c r="D1139" s="26" t="str">
        <x:v>Archetype column only</x:v>
      </x:c>
      <x:c r="E1139" s="26"/>
      <x:c r="F1139" s="26" t="str">
        <x:v>otag:"Sneak and Show"</x:v>
      </x:c>
      <x:c r="G1139" s="26" t="str">
        <x:v>Tag-dependent</x:v>
      </x:c>
      <x:c r="H1139" s="26" t="str">
        <x:v>Composite archetype</x:v>
      </x:c>
      <x:c r="I1139" s="26" t="str">
        <x:v>native / tag / regex recipe</x:v>
      </x:c>
      <x:c r="J1139" s="26" t="str">
        <x:v>o:/put.*permanent.*onto the battlefield/</x:v>
      </x:c>
      <x:c r="K1139" s="26" t="str"/>
      <x:c r="L1139" s="26" t="str">
        <x:v>sneak and show; cheat into play; cheat permanents</x:v>
      </x:c>
      <x:c r="M1139" s="26" t="str">
        <x:v>Expand to governed recipe</x:v>
      </x:c>
      <x:c r="N1139" s="26" t="str">
        <x:v>Review</x:v>
      </x:c>
      <x:c r="O1139" s="43" t="n">
        <x:v>0.68</x:v>
      </x:c>
      <x:c r="P1139" s="26" t="str">
        <x:v>Broad cheating-into-play template; object/zone may refine.</x:v>
      </x:c>
      <x:c r="Q1139" s="26" t="str">
        <x:v>https://scryfall.com/docs/syntax | https://scryfall.com/docs/tagger-tags</x:v>
      </x:c>
      <x:c r="R1139" s="26" t="str">
        <x:v>2026-08-21</x:v>
      </x:c>
    </x:row>
    <x:row r="1140">
      <x:c r="A1140" s="26" t="str">
        <x:v>DeckArchetypes!B57</x:v>
      </x:c>
      <x:c r="B1140" s="26" t="str">
        <x:v>Deck Archetype</x:v>
      </x:c>
      <x:c r="C1140" s="26" t="str">
        <x:v>Self-Mill</x:v>
      </x:c>
      <x:c r="D1140" s="26" t="str">
        <x:v>Archetype column only</x:v>
      </x:c>
      <x:c r="E1140" s="26"/>
      <x:c r="F1140" s="26" t="str">
        <x:v>otag:"Self-Mill"</x:v>
      </x:c>
      <x:c r="G1140" s="26" t="str">
        <x:v>Tag-dependent</x:v>
      </x:c>
      <x:c r="H1140" s="26" t="str">
        <x:v>Semantic function</x:v>
      </x:c>
      <x:c r="I1140" s="26" t="str">
        <x:v>native / tag / regex recipe</x:v>
      </x:c>
      <x:c r="J1140" s="26" t="str">
        <x:v>o:/mill.*yourself|you mill/</x:v>
      </x:c>
      <x:c r="K1140" s="26" t="str">
        <x:v>otag:mill-self</x:v>
      </x:c>
      <x:c r="L1140" s="26" t="str">
        <x:v>self mill; mill myself; fill my graveyard</x:v>
      </x:c>
      <x:c r="M1140" s="26" t="str">
        <x:v>Expand to governed recipe</x:v>
      </x:c>
      <x:c r="N1140" s="26" t="str">
        <x:v>Production-ready</x:v>
      </x:c>
      <x:c r="O1140" s="43" t="n">
        <x:v>0.94</x:v>
      </x:c>
      <x:c r="P1140" s="26" t="str">
        <x:v>EDHREC validates mill-self tag; Oracle fallback is wording-sensitive.</x:v>
      </x:c>
      <x:c r="Q1140" s="26" t="str">
        <x:v>https://scryfall.com/docs/syntax | https://scryfall.com/docs/tagger-tags</x:v>
      </x:c>
      <x:c r="R1140" s="26" t="str">
        <x:v>2026-08-21</x:v>
      </x:c>
    </x:row>
    <x:row r="1141">
      <x:c r="A1141" s="26" t="str">
        <x:v>DeckArchetypes!B58</x:v>
      </x:c>
      <x:c r="B1141" s="26" t="str">
        <x:v>Deck Archetype</x:v>
      </x:c>
      <x:c r="C1141" s="26" t="str">
        <x:v>-1/-1 Counters</x:v>
      </x:c>
      <x:c r="D1141" s="26" t="str">
        <x:v>Archetype column only</x:v>
      </x:c>
      <x:c r="E1141" s="26"/>
      <x:c r="F1141" s="26" t="str">
        <x:v>otag:"-1/-1 Counters"</x:v>
      </x:c>
      <x:c r="G1141" s="26" t="str">
        <x:v>Tag-dependent</x:v>
      </x:c>
      <x:c r="H1141" s="26" t="str">
        <x:v>Semantic function</x:v>
      </x:c>
      <x:c r="I1141" s="26" t="str">
        <x:v>native / tag / regex recipe</x:v>
      </x:c>
      <x:c r="J1141" s="26" t="str">
        <x:v>o:/-1\/-1 counter/</x:v>
      </x:c>
      <x:c r="K1141" s="26" t="str">
        <x:v>(otag:mm-counters-matter or otag:gives-mm-counters)</x:v>
      </x:c>
      <x:c r="L1141" s="26" t="str">
        <x:v>-1 counters; minus one counters; wither counters</x:v>
      </x:c>
      <x:c r="M1141" s="26" t="str">
        <x:v>Expand to governed recipe</x:v>
      </x:c>
      <x:c r="N1141" s="26" t="str">
        <x:v>Review</x:v>
      </x:c>
      <x:c r="O1141" s="43" t="n">
        <x:v>0.68</x:v>
      </x:c>
      <x:c r="P1141" s="26" t="str">
        <x:v>Recent community evidence confirms mm-counter Tagger family; validate before production allowlist.</x:v>
      </x:c>
      <x:c r="Q1141" s="26" t="str">
        <x:v>https://scryfall.com/docs/syntax | https://scryfall.com/docs/tagger-tags</x:v>
      </x:c>
      <x:c r="R1141" s="26" t="str">
        <x:v>2026-08-21</x:v>
      </x:c>
    </x:row>
    <x:row r="1142">
      <x:c r="A1142" s="26" t="str">
        <x:v>DeckArchetypes!B59</x:v>
      </x:c>
      <x:c r="B1142" s="26" t="str">
        <x:v>Deck Archetype</x:v>
      </x:c>
      <x:c r="C1142" s="26" t="str">
        <x:v>Energy</x:v>
      </x:c>
      <x:c r="D1142" s="26" t="str">
        <x:v>Archetype column only</x:v>
      </x:c>
      <x:c r="E1142" s="26"/>
      <x:c r="F1142" s="26" t="str">
        <x:v>otag:"Energy"</x:v>
      </x:c>
      <x:c r="G1142" s="26" t="str">
        <x:v>Tag-dependent</x:v>
      </x:c>
      <x:c r="H1142" s="26" t="str">
        <x:v>Named resource</x:v>
      </x:c>
      <x:c r="I1142" s="26" t="str">
        <x:v>native / tag / regex recipe</x:v>
      </x:c>
      <x:c r="J1142" s="26" t="str">
        <x:v>o:/energy counter|\{E\}/</x:v>
      </x:c>
      <x:c r="K1142" s="26" t="str"/>
      <x:c r="L1142" s="26" t="str">
        <x:v>energy; energy counters</x:v>
      </x:c>
      <x:c r="M1142" s="26" t="str">
        <x:v>Expand to governed recipe</x:v>
      </x:c>
      <x:c r="N1142" s="26" t="str">
        <x:v>Review</x:v>
      </x:c>
      <x:c r="O1142" s="43" t="n">
        <x:v>0.68</x:v>
      </x:c>
      <x:c r="P1142" s="26" t="str">
        <x:v>Oracle text/symbol baseline; refine for producers vs payoffs.</x:v>
      </x:c>
      <x:c r="Q1142" s="26" t="str">
        <x:v>https://scryfall.com/docs/syntax | https://scryfall.com/docs/tagger-tags</x:v>
      </x:c>
      <x:c r="R1142" s="26" t="str">
        <x:v>2026-08-21</x:v>
      </x:c>
    </x:row>
  </x:sheetData>
  <x:mergeCells>
    <x:mergeCell ref="A1:R1"/>
    <x:mergeCell ref="A2:R2"/>
  </x:mergeCells>
  <x:conditionalFormatting sqref="N5:N1142">
    <x:cfRule type="expression" dxfId="8" priority="1">
      <x:formula>N5="Production-ready"</x:formula>
    </x:cfRule>
    <x:cfRule type="expression" dxfId="9" priority="2">
      <x:formula>N5="Review"</x:formula>
    </x:cfRule>
    <x:cfRule type="expression" dxfId="10" priority="3">
      <x:formula>N5="Semantic"</x:formula>
    </x:cfRule>
  </x:conditionalFormatting>
  <x:pageMargins left="0.7" right="0.7" top="0.75" bottom="0.75" header="0.3" footer="0.3"/>
  <x:tableParts count="1">
    <x:tablePart xmlns:r="http://schemas.openxmlformats.org/officeDocument/2006/relationships" r:id="Rd46dc067eeb8448c"/>
  </x:tableParts>
</x:worksheet>
</file>

<file path=xl/worksheets/sheet4.xml><?xml version="1.0" encoding="utf-8"?>
<x:worksheet xmlns:x="http://schemas.openxmlformats.org/spreadsheetml/2006/main">
  <x:sheetFormatPr defaultRowHeight="15"/>
  <x:cols>
    <x:col min="1" max="1" width="18" hidden="0" customWidth="1"/>
    <x:col min="2" max="2" width="22" hidden="0" customWidth="1"/>
    <x:col min="3" max="3" width="24" hidden="0" customWidth="1"/>
    <x:col min="4" max="4" width="18" hidden="0" customWidth="1"/>
    <x:col min="5" max="5" width="24" hidden="0" customWidth="1"/>
    <x:col min="6" max="6" width="20" hidden="0" customWidth="1"/>
    <x:col min="7" max="7" width="34" hidden="0" customWidth="1"/>
    <x:col min="8" max="8" width="34" hidden="0" customWidth="1"/>
    <x:col min="9" max="9" width="50" hidden="0" customWidth="1"/>
    <x:col min="10" max="10" width="44" hidden="0" customWidth="1"/>
    <x:col min="11" max="11" width="18" hidden="0" customWidth="1"/>
  </x:cols>
  <x:sheetData>
    <x:row r="1" ht="28" customHeight="1">
      <x:c r="A1" s="33" t="str">
        <x:v>SCRYFALL OPERATOR CATALOG</x:v>
      </x:c>
      <x:c r="B1" s="33"/>
      <x:c r="C1" s="33"/>
      <x:c r="D1" s="33"/>
      <x:c r="E1" s="33"/>
      <x:c r="F1" s="33"/>
      <x:c r="G1" s="33"/>
      <x:c r="H1" s="33"/>
      <x:c r="I1" s="33"/>
      <x:c r="J1" s="33"/>
      <x:c r="K1" s="33"/>
    </x:row>
    <x:row r="2" ht="30" customHeight="1">
      <x:c r="A2" s="35" t="str">
        <x:v>Canonical operator inventory for the translator. Scope is explicit so Plain Reading can distinguish card identity, card history, printing metadata, and result controls.</x:v>
      </x:c>
      <x:c r="B2" s="35"/>
      <x:c r="C2" s="35"/>
      <x:c r="D2" s="35"/>
      <x:c r="E2" s="35"/>
      <x:c r="F2" s="35"/>
      <x:c r="G2" s="35"/>
      <x:c r="H2" s="35"/>
      <x:c r="I2" s="35"/>
      <x:c r="J2" s="35"/>
      <x:c r="K2" s="35"/>
    </x:row>
    <x:row r="4" ht="28" customHeight="1">
      <x:c r="A4" s="39" t="str">
        <x:v>Category</x:v>
      </x:c>
      <x:c r="B4" s="39" t="str">
        <x:v>Canonical Syntax</x:v>
      </x:c>
      <x:c r="C4" s="39" t="str">
        <x:v>Aliases / Compatibility</x:v>
      </x:c>
      <x:c r="D4" s="39" t="str">
        <x:v>Scope</x:v>
      </x:c>
      <x:c r="E4" s="39" t="str">
        <x:v>Value Type</x:v>
      </x:c>
      <x:c r="F4" s="39" t="str">
        <x:v>Comparisons</x:v>
      </x:c>
      <x:c r="G4" s="39" t="str">
        <x:v>Plain-Language Intent</x:v>
      </x:c>
      <x:c r="H4" s="39" t="str">
        <x:v>Example</x:v>
      </x:c>
      <x:c r="I4" s="39" t="str">
        <x:v>Meaning / Guardrail</x:v>
      </x:c>
      <x:c r="J4" s="39" t="str">
        <x:v>Source</x:v>
      </x:c>
      <x:c r="K4" s="39" t="str">
        <x:v>Status</x:v>
      </x:c>
    </x:row>
    <x:row r="5">
      <x:c r="A5" s="26" t="str">
        <x:v>Names</x:v>
      </x:c>
      <x:c r="B5" s="26" t="str">
        <x:v>loose name words</x:v>
      </x:c>
      <x:c r="C5" s="26" t="str"/>
      <x:c r="D5" s="26" t="str">
        <x:v>Card</x:v>
      </x:c>
      <x:c r="E5" s="26" t="str">
        <x:v>text</x:v>
      </x:c>
      <x:c r="F5" s="26" t="str">
        <x:v>No</x:v>
      </x:c>
      <x:c r="G5" s="26" t="str">
        <x:v>name contains words</x:v>
      </x:c>
      <x:c r="H5" s="26" t="str">
        <x:v>lightning bolt</x:v>
      </x:c>
      <x:c r="I5" s="26" t="str">
        <x:v>Unprefixed words search card names.</x:v>
      </x:c>
      <x:c r="J5" s="26" t="str">
        <x:v>https://scryfall.com/docs/syntax</x:v>
      </x:c>
      <x:c r="K5" s="26" t="str">
        <x:v>Production-ready</x:v>
      </x:c>
    </x:row>
    <x:row r="6">
      <x:c r="A6" s="26" t="str">
        <x:v>Names</x:v>
      </x:c>
      <x:c r="B6" s="26" t="str">
        <x:v>!</x:v>
      </x:c>
      <x:c r="C6" s="26" t="str">
        <x:v>Exact-name marker</x:v>
      </x:c>
      <x:c r="D6" s="26" t="str">
        <x:v>Card</x:v>
      </x:c>
      <x:c r="E6" s="26" t="str">
        <x:v>card name</x:v>
      </x:c>
      <x:c r="F6" s="26" t="str">
        <x:v>No</x:v>
      </x:c>
      <x:c r="G6" s="26" t="str">
        <x:v>exactly named</x:v>
      </x:c>
      <x:c r="H6" s="26" t="str">
        <x:v>!"Lightning Bolt"</x:v>
      </x:c>
      <x:c r="I6" s="26" t="str">
        <x:v>Exact card name, case-insensitive.</x:v>
      </x:c>
      <x:c r="J6" s="26" t="str">
        <x:v>https://scryfall.com/docs/syntax</x:v>
      </x:c>
      <x:c r="K6" s="26" t="str">
        <x:v>Production-ready</x:v>
      </x:c>
    </x:row>
    <x:row r="7">
      <x:c r="A7" s="26" t="str">
        <x:v>Names</x:v>
      </x:c>
      <x:c r="B7" s="26" t="str">
        <x:v>name:/.../</x:v>
      </x:c>
      <x:c r="C7" s="26" t="str"/>
      <x:c r="D7" s="26" t="str">
        <x:v>Card</x:v>
      </x:c>
      <x:c r="E7" s="26" t="str">
        <x:v>regex</x:v>
      </x:c>
      <x:c r="F7" s="26" t="str">
        <x:v>Regex</x:v>
      </x:c>
      <x:c r="G7" s="26" t="str">
        <x:v>name pattern</x:v>
      </x:c>
      <x:c r="H7" s="26" t="str">
        <x:v>name:/\bizzet\b/</x:v>
      </x:c>
      <x:c r="I7" s="26" t="str">
        <x:v>Regex over card name.</x:v>
      </x:c>
      <x:c r="J7" s="26" t="str">
        <x:v>https://scryfall.com/docs/syntax</x:v>
      </x:c>
      <x:c r="K7" s="26" t="str">
        <x:v>Production-ready</x:v>
      </x:c>
    </x:row>
    <x:row r="8">
      <x:c r="A8" s="26" t="str">
        <x:v>Type</x:v>
      </x:c>
      <x:c r="B8" s="26" t="str">
        <x:v>t:</x:v>
      </x:c>
      <x:c r="C8" s="26" t="str">
        <x:v>type:</x:v>
      </x:c>
      <x:c r="D8" s="26" t="str">
        <x:v>Card</x:v>
      </x:c>
      <x:c r="E8" s="26" t="str">
        <x:v>type/supertype/subtype</x:v>
      </x:c>
      <x:c r="F8" s="26" t="str">
        <x:v>No</x:v>
      </x:c>
      <x:c r="G8" s="26" t="str">
        <x:v>creature, Elf, legendary, Equipment</x:v>
      </x:c>
      <x:c r="H8" s="26" t="str">
        <x:v>t:legendary t:elf</x:v>
      </x:c>
      <x:c r="I8" s="26" t="str">
        <x:v>Native type-line taxonomy.</x:v>
      </x:c>
      <x:c r="J8" s="26" t="str">
        <x:v>https://scryfall.com/docs/syntax</x:v>
      </x:c>
      <x:c r="K8" s="26" t="str">
        <x:v>Production-ready</x:v>
      </x:c>
    </x:row>
    <x:row r="9">
      <x:c r="A9" s="26" t="str">
        <x:v>Oracle</x:v>
      </x:c>
      <x:c r="B9" s="26" t="str">
        <x:v>o:</x:v>
      </x:c>
      <x:c r="C9" s="26" t="str">
        <x:v>oracle:</x:v>
      </x:c>
      <x:c r="D9" s="26" t="str">
        <x:v>Card</x:v>
      </x:c>
      <x:c r="E9" s="26" t="str">
        <x:v>text/phrase</x:v>
      </x:c>
      <x:c r="F9" s="26" t="str">
        <x:v>Regex supported</x:v>
      </x:c>
      <x:c r="G9" s="26" t="str">
        <x:v>rules text says</x:v>
      </x:c>
      <x:c r="H9" s="26" t="str">
        <x:v>o:"draw a card"</x:v>
      </x:c>
      <x:c r="I9" s="26" t="str">
        <x:v>Current Oracle text; reminder text excluded.</x:v>
      </x:c>
      <x:c r="J9" s="26" t="str">
        <x:v>https://scryfall.com/docs/syntax</x:v>
      </x:c>
      <x:c r="K9" s="26" t="str">
        <x:v>Production-ready</x:v>
      </x:c>
    </x:row>
    <x:row r="10">
      <x:c r="A10" s="26" t="str">
        <x:v>Oracle</x:v>
      </x:c>
      <x:c r="B10" s="26" t="str">
        <x:v>fo:</x:v>
      </x:c>
      <x:c r="C10" s="26" t="str">
        <x:v>fulloracle:</x:v>
      </x:c>
      <x:c r="D10" s="26" t="str">
        <x:v>Card</x:v>
      </x:c>
      <x:c r="E10" s="26" t="str">
        <x:v>text/phrase</x:v>
      </x:c>
      <x:c r="F10" s="26" t="str">
        <x:v>Regex supported</x:v>
      </x:c>
      <x:c r="G10" s="26" t="str">
        <x:v>include reminder text</x:v>
      </x:c>
      <x:c r="H10" s="26" t="str">
        <x:v>fo:mill</x:v>
      </x:c>
      <x:c r="I10" s="26" t="str">
        <x:v>Full Oracle including reminder text.</x:v>
      </x:c>
      <x:c r="J10" s="26" t="str">
        <x:v>https://scryfall.com/docs/syntax</x:v>
      </x:c>
      <x:c r="K10" s="26" t="str">
        <x:v>Production-ready</x:v>
      </x:c>
    </x:row>
    <x:row r="11">
      <x:c r="A11" s="26" t="str">
        <x:v>Oracle</x:v>
      </x:c>
      <x:c r="B11" s="26" t="str">
        <x:v>kw:</x:v>
      </x:c>
      <x:c r="C11" s="26" t="str">
        <x:v>keyword:</x:v>
      </x:c>
      <x:c r="D11" s="26" t="str">
        <x:v>Card</x:v>
      </x:c>
      <x:c r="E11" s="26" t="str">
        <x:v>keyword ability</x:v>
      </x:c>
      <x:c r="F11" s="26" t="str">
        <x:v>No</x:v>
      </x:c>
      <x:c r="G11" s="26" t="str">
        <x:v>has flying / has cycling</x:v>
      </x:c>
      <x:c r="H11" s="26" t="str">
        <x:v>kw:flying</x:v>
      </x:c>
      <x:c r="I11" s="26" t="str">
        <x:v>Has the keyword; more precise than searching the word.</x:v>
      </x:c>
      <x:c r="J11" s="26" t="str">
        <x:v>https://scryfall.com/docs/syntax</x:v>
      </x:c>
      <x:c r="K11" s="26" t="str">
        <x:v>Production-ready</x:v>
      </x:c>
    </x:row>
    <x:row r="12">
      <x:c r="A12" s="26" t="str">
        <x:v>Oracle</x:v>
      </x:c>
      <x:c r="B12" s="26" t="str">
        <x:v>~</x:v>
      </x:c>
      <x:c r="C12" s="26" t="str">
        <x:v>self-name placeholder</x:v>
      </x:c>
      <x:c r="D12" s="26" t="str">
        <x:v>Card</x:v>
      </x:c>
      <x:c r="E12" s="26" t="str">
        <x:v>placeholder</x:v>
      </x:c>
      <x:c r="F12" s="26" t="str">
        <x:v>No</x:v>
      </x:c>
      <x:c r="G12" s="26" t="str">
        <x:v>this card / its own name</x:v>
      </x:c>
      <x:c r="H12" s="26" t="str">
        <x:v>o:"when ~ enters"</x:v>
      </x:c>
      <x:c r="I12" s="26" t="str">
        <x:v>Represents the card's own name inside text searches.</x:v>
      </x:c>
      <x:c r="J12" s="26" t="str">
        <x:v>https://scryfall.com/docs/syntax</x:v>
      </x:c>
      <x:c r="K12" s="26" t="str">
        <x:v>Production-ready</x:v>
      </x:c>
    </x:row>
    <x:row r="13">
      <x:c r="A13" s="26" t="str">
        <x:v>Color</x:v>
      </x:c>
      <x:c r="B13" s="26" t="str">
        <x:v>c:</x:v>
      </x:c>
      <x:c r="C13" s="26" t="str">
        <x:v>color:</x:v>
      </x:c>
      <x:c r="D13" s="26" t="str">
        <x:v>Card</x:v>
      </x:c>
      <x:c r="E13" s="26" t="str">
        <x:v>WUBRG/color name</x:v>
      </x:c>
      <x:c r="F13" s="26" t="str">
        <x:v>= != &lt; &lt;= &gt; &gt;=</x:v>
      </x:c>
      <x:c r="G13" s="26" t="str">
        <x:v>is blue / red-green</x:v>
      </x:c>
      <x:c r="H13" s="26" t="str">
        <x:v>c:ug</x:v>
      </x:c>
      <x:c r="I13" s="26" t="str">
        <x:v>Card color.</x:v>
      </x:c>
      <x:c r="J13" s="26" t="str">
        <x:v>https://scryfall.com/docs/syntax</x:v>
      </x:c>
      <x:c r="K13" s="26" t="str">
        <x:v>Production-ready</x:v>
      </x:c>
    </x:row>
    <x:row r="14">
      <x:c r="A14" s="26" t="str">
        <x:v>Color</x:v>
      </x:c>
      <x:c r="B14" s="26" t="str">
        <x:v>id:</x:v>
      </x:c>
      <x:c r="C14" s="26" t="str">
        <x:v>identity:</x:v>
      </x:c>
      <x:c r="D14" s="26" t="str">
        <x:v>Card</x:v>
      </x:c>
      <x:c r="E14" s="26" t="str">
        <x:v>WUBRG/color name</x:v>
      </x:c>
      <x:c r="F14" s="26" t="str">
        <x:v>= != &lt; &lt;= &gt; &gt;=</x:v>
      </x:c>
      <x:c r="G14" s="26" t="str">
        <x:v>fits in Commander colors</x:v>
      </x:c>
      <x:c r="H14" s="26" t="str">
        <x:v>id&lt;=wub</x:v>
      </x:c>
      <x:c r="I14" s="26" t="str">
        <x:v>Color identity; normally preferred for Commander deckbuilding.</x:v>
      </x:c>
      <x:c r="J14" s="26" t="str">
        <x:v>https://scryfall.com/docs/syntax</x:v>
      </x:c>
      <x:c r="K14" s="26" t="str">
        <x:v>Production-ready</x:v>
      </x:c>
    </x:row>
    <x:row r="15">
      <x:c r="A15" s="26" t="str">
        <x:v>Color</x:v>
      </x:c>
      <x:c r="B15" s="26" t="str">
        <x:v>has:indicator</x:v>
      </x:c>
      <x:c r="C15" s="26" t="str"/>
      <x:c r="D15" s="26" t="str">
        <x:v>Card</x:v>
      </x:c>
      <x:c r="E15" s="26" t="str">
        <x:v>boolean</x:v>
      </x:c>
      <x:c r="F15" s="26" t="str">
        <x:v>No</x:v>
      </x:c>
      <x:c r="G15" s="26" t="str">
        <x:v>has a color indicator</x:v>
      </x:c>
      <x:c r="H15" s="26" t="str">
        <x:v>has:indicator</x:v>
      </x:c>
      <x:c r="I15" s="26" t="str">
        <x:v>Cards with a color indicator.</x:v>
      </x:c>
      <x:c r="J15" s="26" t="str">
        <x:v>https://scryfall.com/docs/syntax</x:v>
      </x:c>
      <x:c r="K15" s="26" t="str">
        <x:v>Production-ready</x:v>
      </x:c>
    </x:row>
    <x:row r="16">
      <x:c r="A16" s="26" t="str">
        <x:v>Mana</x:v>
      </x:c>
      <x:c r="B16" s="26" t="str">
        <x:v>mv</x:v>
      </x:c>
      <x:c r="C16" s="26" t="str">
        <x:v>manavalue</x:v>
      </x:c>
      <x:c r="D16" s="26" t="str">
        <x:v>Card</x:v>
      </x:c>
      <x:c r="E16" s="26" t="str">
        <x:v>number/even/odd</x:v>
      </x:c>
      <x:c r="F16" s="26" t="str">
        <x:v>= != &lt; &lt;= &gt; &gt;=</x:v>
      </x:c>
      <x:c r="G16" s="26" t="str">
        <x:v>costs 3 / 3 or less</x:v>
      </x:c>
      <x:c r="H16" s="26" t="str">
        <x:v>mv&lt;=3</x:v>
      </x:c>
      <x:c r="I16" s="26" t="str">
        <x:v>Mana value.</x:v>
      </x:c>
      <x:c r="J16" s="26" t="str">
        <x:v>https://scryfall.com/docs/syntax</x:v>
      </x:c>
      <x:c r="K16" s="26" t="str">
        <x:v>Production-ready</x:v>
      </x:c>
    </x:row>
    <x:row r="17">
      <x:c r="A17" s="26" t="str">
        <x:v>Mana</x:v>
      </x:c>
      <x:c r="B17" s="26" t="str">
        <x:v>m:</x:v>
      </x:c>
      <x:c r="C17" s="26" t="str">
        <x:v>mana:</x:v>
      </x:c>
      <x:c r="D17" s="26" t="str">
        <x:v>Card</x:v>
      </x:c>
      <x:c r="E17" s="26" t="str">
        <x:v>mana symbols</x:v>
      </x:c>
      <x:c r="F17" s="26" t="str">
        <x:v>= != &lt; &lt;= &gt; &gt;=</x:v>
      </x:c>
      <x:c r="G17" s="26" t="str">
        <x:v>mana cost contains</x:v>
      </x:c>
      <x:c r="H17" s="26" t="str">
        <x:v>mana:{G}{U}</x:v>
      </x:c>
      <x:c r="I17" s="26" t="str">
        <x:v>Printed mana-cost symbol structure.</x:v>
      </x:c>
      <x:c r="J17" s="26" t="str">
        <x:v>https://scryfall.com/docs/syntax</x:v>
      </x:c>
      <x:c r="K17" s="26" t="str">
        <x:v>Production-ready</x:v>
      </x:c>
    </x:row>
    <x:row r="18">
      <x:c r="A18" s="26" t="str">
        <x:v>Mana</x:v>
      </x:c>
      <x:c r="B18" s="26" t="str">
        <x:v>is:hybrid</x:v>
      </x:c>
      <x:c r="C18" s="26" t="str"/>
      <x:c r="D18" s="26" t="str">
        <x:v>Card</x:v>
      </x:c>
      <x:c r="E18" s="26" t="str">
        <x:v>boolean</x:v>
      </x:c>
      <x:c r="F18" s="26" t="str">
        <x:v>No</x:v>
      </x:c>
      <x:c r="G18" s="26" t="str">
        <x:v>hybrid mana</x:v>
      </x:c>
      <x:c r="H18" s="26" t="str">
        <x:v>is:hybrid</x:v>
      </x:c>
      <x:c r="I18" s="26" t="str">
        <x:v>Contains hybrid mana symbols.</x:v>
      </x:c>
      <x:c r="J18" s="26" t="str">
        <x:v>https://scryfall.com/docs/syntax</x:v>
      </x:c>
      <x:c r="K18" s="26" t="str">
        <x:v>Production-ready</x:v>
      </x:c>
    </x:row>
    <x:row r="19">
      <x:c r="A19" s="26" t="str">
        <x:v>Mana</x:v>
      </x:c>
      <x:c r="B19" s="26" t="str">
        <x:v>is:phyrexian</x:v>
      </x:c>
      <x:c r="C19" s="26" t="str"/>
      <x:c r="D19" s="26" t="str">
        <x:v>Card</x:v>
      </x:c>
      <x:c r="E19" s="26" t="str">
        <x:v>boolean</x:v>
      </x:c>
      <x:c r="F19" s="26" t="str">
        <x:v>No</x:v>
      </x:c>
      <x:c r="G19" s="26" t="str">
        <x:v>Phyrexian mana</x:v>
      </x:c>
      <x:c r="H19" s="26" t="str">
        <x:v>is:phyrexian</x:v>
      </x:c>
      <x:c r="I19" s="26" t="str">
        <x:v>Contains Phyrexian mana symbols.</x:v>
      </x:c>
      <x:c r="J19" s="26" t="str">
        <x:v>https://scryfall.com/docs/syntax</x:v>
      </x:c>
      <x:c r="K19" s="26" t="str">
        <x:v>Production-ready</x:v>
      </x:c>
    </x:row>
    <x:row r="20">
      <x:c r="A20" s="26" t="str">
        <x:v>Mana</x:v>
      </x:c>
      <x:c r="B20" s="26" t="str">
        <x:v>devotion:</x:v>
      </x:c>
      <x:c r="C20" s="26" t="str"/>
      <x:c r="D20" s="26" t="str">
        <x:v>Card</x:v>
      </x:c>
      <x:c r="E20" s="26" t="str">
        <x:v>mana symbols/count</x:v>
      </x:c>
      <x:c r="F20" s="26" t="str">
        <x:v>Comparisons</x:v>
      </x:c>
      <x:c r="G20" s="26" t="str">
        <x:v>devotion contribution</x:v>
      </x:c>
      <x:c r="H20" s="26" t="str">
        <x:v>devotion:{u/b}{u/b}{u/b}</x:v>
      </x:c>
      <x:c r="I20" s="26" t="str">
        <x:v>Finds permanents contributing specified devotion.</x:v>
      </x:c>
      <x:c r="J20" s="26" t="str">
        <x:v>https://scryfall.com/docs/syntax</x:v>
      </x:c>
      <x:c r="K20" s="26" t="str">
        <x:v>Production-ready</x:v>
      </x:c>
    </x:row>
    <x:row r="21">
      <x:c r="A21" s="26" t="str">
        <x:v>Mana</x:v>
      </x:c>
      <x:c r="B21" s="26" t="str">
        <x:v>produces:</x:v>
      </x:c>
      <x:c r="C21" s="26" t="str"/>
      <x:c r="D21" s="26" t="str">
        <x:v>Card</x:v>
      </x:c>
      <x:c r="E21" s="26" t="str">
        <x:v>WUBRG/mana types</x:v>
      </x:c>
      <x:c r="F21" s="26" t="str">
        <x:v>= etc.</x:v>
      </x:c>
      <x:c r="G21" s="26" t="str">
        <x:v>produces blue and white</x:v>
      </x:c>
      <x:c r="H21" s="26" t="str">
        <x:v>produces=wu</x:v>
      </x:c>
      <x:c r="I21" s="26" t="str">
        <x:v>Mana a card can produce.</x:v>
      </x:c>
      <x:c r="J21" s="26" t="str">
        <x:v>https://scryfall.com/docs/syntax</x:v>
      </x:c>
      <x:c r="K21" s="26" t="str">
        <x:v>Production-ready</x:v>
      </x:c>
    </x:row>
    <x:row r="22">
      <x:c r="A22" s="26" t="str">
        <x:v>Stats</x:v>
      </x:c>
      <x:c r="B22" s="26" t="str">
        <x:v>pow</x:v>
      </x:c>
      <x:c r="C22" s="26" t="str">
        <x:v>power</x:v>
      </x:c>
      <x:c r="D22" s="26" t="str">
        <x:v>Card</x:v>
      </x:c>
      <x:c r="E22" s="26" t="str">
        <x:v>number/field</x:v>
      </x:c>
      <x:c r="F22" s="26" t="str">
        <x:v>= != &lt; &lt;= &gt; &gt;=</x:v>
      </x:c>
      <x:c r="G22" s="26" t="str">
        <x:v>power at least 4</x:v>
      </x:c>
      <x:c r="H22" s="26" t="str">
        <x:v>pow&gt;=4</x:v>
      </x:c>
      <x:c r="I22" s="26" t="str">
        <x:v>Power.</x:v>
      </x:c>
      <x:c r="J22" s="26" t="str">
        <x:v>https://scryfall.com/docs/syntax</x:v>
      </x:c>
      <x:c r="K22" s="26" t="str">
        <x:v>Production-ready</x:v>
      </x:c>
    </x:row>
    <x:row r="23">
      <x:c r="A23" s="26" t="str">
        <x:v>Stats</x:v>
      </x:c>
      <x:c r="B23" s="26" t="str">
        <x:v>tou</x:v>
      </x:c>
      <x:c r="C23" s="26" t="str">
        <x:v>toughness</x:v>
      </x:c>
      <x:c r="D23" s="26" t="str">
        <x:v>Card</x:v>
      </x:c>
      <x:c r="E23" s="26" t="str">
        <x:v>number/field</x:v>
      </x:c>
      <x:c r="F23" s="26" t="str">
        <x:v>= != &lt; &lt;= &gt; &gt;=</x:v>
      </x:c>
      <x:c r="G23" s="26" t="str">
        <x:v>toughness 1</x:v>
      </x:c>
      <x:c r="H23" s="26" t="str">
        <x:v>tou=1</x:v>
      </x:c>
      <x:c r="I23" s="26" t="str">
        <x:v>Toughness.</x:v>
      </x:c>
      <x:c r="J23" s="26" t="str">
        <x:v>https://scryfall.com/docs/syntax</x:v>
      </x:c>
      <x:c r="K23" s="26" t="str">
        <x:v>Production-ready</x:v>
      </x:c>
    </x:row>
    <x:row r="24">
      <x:c r="A24" s="26" t="str">
        <x:v>Stats</x:v>
      </x:c>
      <x:c r="B24" s="26" t="str">
        <x:v>pt</x:v>
      </x:c>
      <x:c r="C24" s="26" t="str">
        <x:v>powtou</x:v>
      </x:c>
      <x:c r="D24" s="26" t="str">
        <x:v>Card</x:v>
      </x:c>
      <x:c r="E24" s="26" t="str">
        <x:v>number</x:v>
      </x:c>
      <x:c r="F24" s="26" t="str">
        <x:v>= != &lt; &lt;= &gt; &gt;=</x:v>
      </x:c>
      <x:c r="G24" s="26" t="str">
        <x:v>total power+toughness</x:v>
      </x:c>
      <x:c r="H24" s="26" t="str">
        <x:v>pt&gt;=10</x:v>
      </x:c>
      <x:c r="I24" s="26" t="str">
        <x:v>Combined power and toughness.</x:v>
      </x:c>
      <x:c r="J24" s="26" t="str">
        <x:v>https://scryfall.com/docs/syntax</x:v>
      </x:c>
      <x:c r="K24" s="26" t="str">
        <x:v>Production-ready</x:v>
      </x:c>
    </x:row>
    <x:row r="25">
      <x:c r="A25" s="26" t="str">
        <x:v>Stats</x:v>
      </x:c>
      <x:c r="B25" s="26" t="str">
        <x:v>loy</x:v>
      </x:c>
      <x:c r="C25" s="26" t="str">
        <x:v>loyalty</x:v>
      </x:c>
      <x:c r="D25" s="26" t="str">
        <x:v>Card</x:v>
      </x:c>
      <x:c r="E25" s="26" t="str">
        <x:v>number</x:v>
      </x:c>
      <x:c r="F25" s="26" t="str">
        <x:v>= != &lt; &lt;= &gt; &gt;=</x:v>
      </x:c>
      <x:c r="G25" s="26" t="str">
        <x:v>starts with 4 loyalty</x:v>
      </x:c>
      <x:c r="H25" s="26" t="str">
        <x:v>loy&gt;=4</x:v>
      </x:c>
      <x:c r="I25" s="26" t="str">
        <x:v>Starting planeswalker loyalty.</x:v>
      </x:c>
      <x:c r="J25" s="26" t="str">
        <x:v>https://scryfall.com/docs/syntax</x:v>
      </x:c>
      <x:c r="K25" s="26" t="str">
        <x:v>Production-ready</x:v>
      </x:c>
    </x:row>
    <x:row r="26">
      <x:c r="A26" s="26" t="str">
        <x:v>Faces</x:v>
      </x:c>
      <x:c r="B26" s="26" t="str">
        <x:v>is:split</x:v>
      </x:c>
      <x:c r="C26" s="26" t="str"/>
      <x:c r="D26" s="26" t="str">
        <x:v>Card</x:v>
      </x:c>
      <x:c r="E26" s="26" t="str">
        <x:v>boolean</x:v>
      </x:c>
      <x:c r="F26" s="26" t="str">
        <x:v>No</x:v>
      </x:c>
      <x:c r="G26" s="26" t="str">
        <x:v>split card</x:v>
      </x:c>
      <x:c r="H26" s="26" t="str">
        <x:v>is:split</x:v>
      </x:c>
      <x:c r="I26" s="26" t="str">
        <x:v>Split cards.</x:v>
      </x:c>
      <x:c r="J26" s="26" t="str">
        <x:v>https://scryfall.com/docs/syntax</x:v>
      </x:c>
      <x:c r="K26" s="26" t="str">
        <x:v>Production-ready</x:v>
      </x:c>
    </x:row>
    <x:row r="27">
      <x:c r="A27" s="26" t="str">
        <x:v>Faces</x:v>
      </x:c>
      <x:c r="B27" s="26" t="str">
        <x:v>is:flip</x:v>
      </x:c>
      <x:c r="C27" s="26" t="str"/>
      <x:c r="D27" s="26" t="str">
        <x:v>Card</x:v>
      </x:c>
      <x:c r="E27" s="26" t="str">
        <x:v>boolean</x:v>
      </x:c>
      <x:c r="F27" s="26" t="str">
        <x:v>No</x:v>
      </x:c>
      <x:c r="G27" s="26" t="str">
        <x:v>flip card</x:v>
      </x:c>
      <x:c r="H27" s="26" t="str">
        <x:v>is:flip</x:v>
      </x:c>
      <x:c r="I27" s="26" t="str">
        <x:v>Flip cards.</x:v>
      </x:c>
      <x:c r="J27" s="26" t="str">
        <x:v>https://scryfall.com/docs/syntax</x:v>
      </x:c>
      <x:c r="K27" s="26" t="str">
        <x:v>Production-ready</x:v>
      </x:c>
    </x:row>
    <x:row r="28">
      <x:c r="A28" s="26" t="str">
        <x:v>Faces</x:v>
      </x:c>
      <x:c r="B28" s="26" t="str">
        <x:v>is:transform</x:v>
      </x:c>
      <x:c r="C28" s="26" t="str">
        <x:v>tdfc</x:v>
      </x:c>
      <x:c r="D28" s="26" t="str">
        <x:v>Card</x:v>
      </x:c>
      <x:c r="E28" s="26" t="str">
        <x:v>boolean</x:v>
      </x:c>
      <x:c r="F28" s="26" t="str">
        <x:v>No</x:v>
      </x:c>
      <x:c r="G28" s="26" t="str">
        <x:v>transforming card</x:v>
      </x:c>
      <x:c r="H28" s="26" t="str">
        <x:v>is:transform</x:v>
      </x:c>
      <x:c r="I28" s="26" t="str">
        <x:v>Transforming double-faced cards.</x:v>
      </x:c>
      <x:c r="J28" s="26" t="str">
        <x:v>https://scryfall.com/docs/syntax</x:v>
      </x:c>
      <x:c r="K28" s="26" t="str">
        <x:v>Production-ready</x:v>
      </x:c>
    </x:row>
    <x:row r="29">
      <x:c r="A29" s="26" t="str">
        <x:v>Faces</x:v>
      </x:c>
      <x:c r="B29" s="26" t="str">
        <x:v>is:meld</x:v>
      </x:c>
      <x:c r="C29" s="26" t="str"/>
      <x:c r="D29" s="26" t="str">
        <x:v>Card</x:v>
      </x:c>
      <x:c r="E29" s="26" t="str">
        <x:v>boolean</x:v>
      </x:c>
      <x:c r="F29" s="26" t="str">
        <x:v>No</x:v>
      </x:c>
      <x:c r="G29" s="26" t="str">
        <x:v>meld card</x:v>
      </x:c>
      <x:c r="H29" s="26" t="str">
        <x:v>is:meld</x:v>
      </x:c>
      <x:c r="I29" s="26" t="str">
        <x:v>Meld family.</x:v>
      </x:c>
      <x:c r="J29" s="26" t="str">
        <x:v>https://scryfall.com/docs/syntax</x:v>
      </x:c>
      <x:c r="K29" s="26" t="str">
        <x:v>Production-ready</x:v>
      </x:c>
    </x:row>
    <x:row r="30">
      <x:c r="A30" s="26" t="str">
        <x:v>Faces</x:v>
      </x:c>
      <x:c r="B30" s="26" t="str">
        <x:v>is:meldpart</x:v>
      </x:c>
      <x:c r="C30" s="26" t="str"/>
      <x:c r="D30" s="26" t="str">
        <x:v>Card</x:v>
      </x:c>
      <x:c r="E30" s="26" t="str">
        <x:v>boolean</x:v>
      </x:c>
      <x:c r="F30" s="26" t="str">
        <x:v>No</x:v>
      </x:c>
      <x:c r="G30" s="26" t="str">
        <x:v>meld component</x:v>
      </x:c>
      <x:c r="H30" s="26" t="str">
        <x:v>is:meldpart</x:v>
      </x:c>
      <x:c r="I30" s="26" t="str">
        <x:v>Meld parts.</x:v>
      </x:c>
      <x:c r="J30" s="26" t="str">
        <x:v>https://scryfall.com/docs/syntax</x:v>
      </x:c>
      <x:c r="K30" s="26" t="str">
        <x:v>Production-ready</x:v>
      </x:c>
    </x:row>
    <x:row r="31">
      <x:c r="A31" s="26" t="str">
        <x:v>Faces</x:v>
      </x:c>
      <x:c r="B31" s="26" t="str">
        <x:v>is:meldresult</x:v>
      </x:c>
      <x:c r="C31" s="26" t="str"/>
      <x:c r="D31" s="26" t="str">
        <x:v>Card</x:v>
      </x:c>
      <x:c r="E31" s="26" t="str">
        <x:v>boolean</x:v>
      </x:c>
      <x:c r="F31" s="26" t="str">
        <x:v>No</x:v>
      </x:c>
      <x:c r="G31" s="26" t="str">
        <x:v>meld result</x:v>
      </x:c>
      <x:c r="H31" s="26" t="str">
        <x:v>is:meldresult</x:v>
      </x:c>
      <x:c r="I31" s="26" t="str">
        <x:v>Meld results.</x:v>
      </x:c>
      <x:c r="J31" s="26" t="str">
        <x:v>https://scryfall.com/docs/syntax</x:v>
      </x:c>
      <x:c r="K31" s="26" t="str">
        <x:v>Production-ready</x:v>
      </x:c>
    </x:row>
    <x:row r="32">
      <x:c r="A32" s="26" t="str">
        <x:v>Faces</x:v>
      </x:c>
      <x:c r="B32" s="26" t="str">
        <x:v>is:dfc</x:v>
      </x:c>
      <x:c r="C32" s="26" t="str"/>
      <x:c r="D32" s="26" t="str">
        <x:v>Card</x:v>
      </x:c>
      <x:c r="E32" s="26" t="str">
        <x:v>boolean</x:v>
      </x:c>
      <x:c r="F32" s="26" t="str">
        <x:v>No</x:v>
      </x:c>
      <x:c r="G32" s="26" t="str">
        <x:v>double-faced card</x:v>
      </x:c>
      <x:c r="H32" s="26" t="str">
        <x:v>is:dfc</x:v>
      </x:c>
      <x:c r="I32" s="26" t="str">
        <x:v>Double-faced cards.</x:v>
      </x:c>
      <x:c r="J32" s="26" t="str">
        <x:v>https://scryfall.com/docs/syntax</x:v>
      </x:c>
      <x:c r="K32" s="26" t="str">
        <x:v>Production-ready</x:v>
      </x:c>
    </x:row>
    <x:row r="33">
      <x:c r="A33" s="26" t="str">
        <x:v>Faces</x:v>
      </x:c>
      <x:c r="B33" s="26" t="str">
        <x:v>is:mdfc</x:v>
      </x:c>
      <x:c r="C33" s="26" t="str"/>
      <x:c r="D33" s="26" t="str">
        <x:v>Card</x:v>
      </x:c>
      <x:c r="E33" s="26" t="str">
        <x:v>boolean</x:v>
      </x:c>
      <x:c r="F33" s="26" t="str">
        <x:v>No</x:v>
      </x:c>
      <x:c r="G33" s="26" t="str">
        <x:v>modal double-faced card</x:v>
      </x:c>
      <x:c r="H33" s="26" t="str">
        <x:v>is:mdfc</x:v>
      </x:c>
      <x:c r="I33" s="26" t="str">
        <x:v>Modal DFCs.</x:v>
      </x:c>
      <x:c r="J33" s="26" t="str">
        <x:v>https://scryfall.com/docs/syntax</x:v>
      </x:c>
      <x:c r="K33" s="26" t="str">
        <x:v>Production-ready</x:v>
      </x:c>
    </x:row>
    <x:row r="34">
      <x:c r="A34" s="26" t="str">
        <x:v>Faces</x:v>
      </x:c>
      <x:c r="B34" s="26" t="str">
        <x:v>is:leveler</x:v>
      </x:c>
      <x:c r="C34" s="26" t="str"/>
      <x:c r="D34" s="26" t="str">
        <x:v>Card</x:v>
      </x:c>
      <x:c r="E34" s="26" t="str">
        <x:v>boolean</x:v>
      </x:c>
      <x:c r="F34" s="26" t="str">
        <x:v>No</x:v>
      </x:c>
      <x:c r="G34" s="26" t="str">
        <x:v>level up card</x:v>
      </x:c>
      <x:c r="H34" s="26" t="str">
        <x:v>is:leveler</x:v>
      </x:c>
      <x:c r="I34" s="26" t="str">
        <x:v>Level Up / leveler cards.</x:v>
      </x:c>
      <x:c r="J34" s="26" t="str">
        <x:v>https://scryfall.com/docs/syntax</x:v>
      </x:c>
      <x:c r="K34" s="26" t="str">
        <x:v>Production-ready</x:v>
      </x:c>
    </x:row>
    <x:row r="35">
      <x:c r="A35" s="26" t="str">
        <x:v>Intrinsic</x:v>
      </x:c>
      <x:c r="B35" s="26" t="str">
        <x:v>is:spell</x:v>
      </x:c>
      <x:c r="C35" s="26" t="str"/>
      <x:c r="D35" s="26" t="str">
        <x:v>Card</x:v>
      </x:c>
      <x:c r="E35" s="26" t="str">
        <x:v>boolean</x:v>
      </x:c>
      <x:c r="F35" s="26" t="str">
        <x:v>No</x:v>
      </x:c>
      <x:c r="G35" s="26" t="str">
        <x:v>castable spell</x:v>
      </x:c>
      <x:c r="H35" s="26" t="str">
        <x:v>is:spell</x:v>
      </x:c>
      <x:c r="I35" s="26" t="str">
        <x:v>Cards cast as spells.</x:v>
      </x:c>
      <x:c r="J35" s="26" t="str">
        <x:v>https://scryfall.com/docs/syntax</x:v>
      </x:c>
      <x:c r="K35" s="26" t="str">
        <x:v>Production-ready</x:v>
      </x:c>
    </x:row>
    <x:row r="36">
      <x:c r="A36" s="26" t="str">
        <x:v>Intrinsic</x:v>
      </x:c>
      <x:c r="B36" s="26" t="str">
        <x:v>is:permanent</x:v>
      </x:c>
      <x:c r="C36" s="26" t="str"/>
      <x:c r="D36" s="26" t="str">
        <x:v>Card</x:v>
      </x:c>
      <x:c r="E36" s="26" t="str">
        <x:v>boolean</x:v>
      </x:c>
      <x:c r="F36" s="26" t="str">
        <x:v>No</x:v>
      </x:c>
      <x:c r="G36" s="26" t="str">
        <x:v>permanent card</x:v>
      </x:c>
      <x:c r="H36" s="26" t="str">
        <x:v>is:permanent</x:v>
      </x:c>
      <x:c r="I36" s="26" t="str">
        <x:v>Permanent cards.</x:v>
      </x:c>
      <x:c r="J36" s="26" t="str">
        <x:v>https://scryfall.com/docs/syntax</x:v>
      </x:c>
      <x:c r="K36" s="26" t="str">
        <x:v>Production-ready</x:v>
      </x:c>
    </x:row>
    <x:row r="37">
      <x:c r="A37" s="26" t="str">
        <x:v>Intrinsic</x:v>
      </x:c>
      <x:c r="B37" s="26" t="str">
        <x:v>is:historic</x:v>
      </x:c>
      <x:c r="C37" s="26" t="str"/>
      <x:c r="D37" s="26" t="str">
        <x:v>Card</x:v>
      </x:c>
      <x:c r="E37" s="26" t="str">
        <x:v>boolean</x:v>
      </x:c>
      <x:c r="F37" s="26" t="str">
        <x:v>No</x:v>
      </x:c>
      <x:c r="G37" s="26" t="str">
        <x:v>historic card</x:v>
      </x:c>
      <x:c r="H37" s="26" t="str">
        <x:v>is:historic</x:v>
      </x:c>
      <x:c r="I37" s="26" t="str">
        <x:v>Artifact, legendary, or Saga under historic definition.</x:v>
      </x:c>
      <x:c r="J37" s="26" t="str">
        <x:v>https://scryfall.com/docs/syntax</x:v>
      </x:c>
      <x:c r="K37" s="26" t="str">
        <x:v>Production-ready</x:v>
      </x:c>
    </x:row>
    <x:row r="38">
      <x:c r="A38" s="26" t="str">
        <x:v>Intrinsic</x:v>
      </x:c>
      <x:c r="B38" s="26" t="str">
        <x:v>is:party</x:v>
      </x:c>
      <x:c r="C38" s="26" t="str"/>
      <x:c r="D38" s="26" t="str">
        <x:v>Card</x:v>
      </x:c>
      <x:c r="E38" s="26" t="str">
        <x:v>boolean</x:v>
      </x:c>
      <x:c r="F38" s="26" t="str">
        <x:v>No</x:v>
      </x:c>
      <x:c r="G38" s="26" t="str">
        <x:v>party creature</x:v>
      </x:c>
      <x:c r="H38" s="26" t="str">
        <x:v>is:party</x:v>
      </x:c>
      <x:c r="I38" s="26" t="str">
        <x:v>Creature that can fill a party role.</x:v>
      </x:c>
      <x:c r="J38" s="26" t="str">
        <x:v>https://scryfall.com/docs/syntax</x:v>
      </x:c>
      <x:c r="K38" s="26" t="str">
        <x:v>Production-ready</x:v>
      </x:c>
    </x:row>
    <x:row r="39">
      <x:c r="A39" s="26" t="str">
        <x:v>Intrinsic</x:v>
      </x:c>
      <x:c r="B39" s="26" t="str">
        <x:v>is:outlaw</x:v>
      </x:c>
      <x:c r="C39" s="26" t="str"/>
      <x:c r="D39" s="26" t="str">
        <x:v>Card</x:v>
      </x:c>
      <x:c r="E39" s="26" t="str">
        <x:v>boolean</x:v>
      </x:c>
      <x:c r="F39" s="26" t="str">
        <x:v>No</x:v>
      </x:c>
      <x:c r="G39" s="26" t="str">
        <x:v>outlaw creature</x:v>
      </x:c>
      <x:c r="H39" s="26" t="str">
        <x:v>is:outlaw</x:v>
      </x:c>
      <x:c r="I39" s="26" t="str">
        <x:v>Creature in an Outlaw type.</x:v>
      </x:c>
      <x:c r="J39" s="26" t="str">
        <x:v>https://scryfall.com/docs/syntax</x:v>
      </x:c>
      <x:c r="K39" s="26" t="str">
        <x:v>Production-ready</x:v>
      </x:c>
    </x:row>
    <x:row r="40">
      <x:c r="A40" s="26" t="str">
        <x:v>Intrinsic</x:v>
      </x:c>
      <x:c r="B40" s="26" t="str">
        <x:v>is:modal</x:v>
      </x:c>
      <x:c r="C40" s="26" t="str"/>
      <x:c r="D40" s="26" t="str">
        <x:v>Card</x:v>
      </x:c>
      <x:c r="E40" s="26" t="str">
        <x:v>boolean</x:v>
      </x:c>
      <x:c r="F40" s="26" t="str">
        <x:v>No</x:v>
      </x:c>
      <x:c r="G40" s="26" t="str">
        <x:v>modal card/effect</x:v>
      </x:c>
      <x:c r="H40" s="26" t="str">
        <x:v>is:modal</x:v>
      </x:c>
      <x:c r="I40" s="26" t="str">
        <x:v>Modal cards.</x:v>
      </x:c>
      <x:c r="J40" s="26" t="str">
        <x:v>https://scryfall.com/docs/syntax</x:v>
      </x:c>
      <x:c r="K40" s="26" t="str">
        <x:v>Production-ready</x:v>
      </x:c>
    </x:row>
    <x:row r="41">
      <x:c r="A41" s="26" t="str">
        <x:v>Intrinsic</x:v>
      </x:c>
      <x:c r="B41" s="26" t="str">
        <x:v>is:vanilla</x:v>
      </x:c>
      <x:c r="C41" s="26" t="str"/>
      <x:c r="D41" s="26" t="str">
        <x:v>Card</x:v>
      </x:c>
      <x:c r="E41" s="26" t="str">
        <x:v>boolean</x:v>
      </x:c>
      <x:c r="F41" s="26" t="str">
        <x:v>No</x:v>
      </x:c>
      <x:c r="G41" s="26" t="str">
        <x:v>vanilla creature</x:v>
      </x:c>
      <x:c r="H41" s="26" t="str">
        <x:v>is:vanilla</x:v>
      </x:c>
      <x:c r="I41" s="26" t="str">
        <x:v>Vanilla creatures.</x:v>
      </x:c>
      <x:c r="J41" s="26" t="str">
        <x:v>https://scryfall.com/docs/syntax</x:v>
      </x:c>
      <x:c r="K41" s="26" t="str">
        <x:v>Production-ready</x:v>
      </x:c>
    </x:row>
    <x:row r="42">
      <x:c r="A42" s="26" t="str">
        <x:v>Intrinsic</x:v>
      </x:c>
      <x:c r="B42" s="26" t="str">
        <x:v>is:frenchvanilla</x:v>
      </x:c>
      <x:c r="C42" s="26" t="str"/>
      <x:c r="D42" s="26" t="str">
        <x:v>Card</x:v>
      </x:c>
      <x:c r="E42" s="26" t="str">
        <x:v>boolean</x:v>
      </x:c>
      <x:c r="F42" s="26" t="str">
        <x:v>No</x:v>
      </x:c>
      <x:c r="G42" s="26" t="str">
        <x:v>French vanilla creature</x:v>
      </x:c>
      <x:c r="H42" s="26" t="str">
        <x:v>is:frenchvanilla</x:v>
      </x:c>
      <x:c r="I42" s="26" t="str">
        <x:v>French vanilla creatures.</x:v>
      </x:c>
      <x:c r="J42" s="26" t="str">
        <x:v>https://scryfall.com/docs/syntax</x:v>
      </x:c>
      <x:c r="K42" s="26" t="str">
        <x:v>Production-ready</x:v>
      </x:c>
    </x:row>
    <x:row r="43">
      <x:c r="A43" s="26" t="str">
        <x:v>Intrinsic</x:v>
      </x:c>
      <x:c r="B43" s="26" t="str">
        <x:v>is:bear</x:v>
      </x:c>
      <x:c r="C43" s="26" t="str"/>
      <x:c r="D43" s="26" t="str">
        <x:v>Card</x:v>
      </x:c>
      <x:c r="E43" s="26" t="str">
        <x:v>boolean</x:v>
      </x:c>
      <x:c r="F43" s="26" t="str">
        <x:v>No</x:v>
      </x:c>
      <x:c r="G43" s="26" t="str">
        <x:v>2-mana 2/2 bear</x:v>
      </x:c>
      <x:c r="H43" s="26" t="str">
        <x:v>is:bear</x:v>
      </x:c>
      <x:c r="I43" s="26" t="str">
        <x:v>Scryfall's bear shortcut.</x:v>
      </x:c>
      <x:c r="J43" s="26" t="str">
        <x:v>https://scryfall.com/docs/syntax</x:v>
      </x:c>
      <x:c r="K43" s="26" t="str">
        <x:v>Production-ready</x:v>
      </x:c>
    </x:row>
    <x:row r="44">
      <x:c r="A44" s="26" t="str">
        <x:v>Intrinsic</x:v>
      </x:c>
      <x:c r="B44" s="26" t="str">
        <x:v>is:manland</x:v>
      </x:c>
      <x:c r="C44" s="26" t="str"/>
      <x:c r="D44" s="26" t="str">
        <x:v>Card</x:v>
      </x:c>
      <x:c r="E44" s="26" t="str">
        <x:v>boolean</x:v>
      </x:c>
      <x:c r="F44" s="26" t="str">
        <x:v>No</x:v>
      </x:c>
      <x:c r="G44" s="26" t="str">
        <x:v>land that becomes a creature</x:v>
      </x:c>
      <x:c r="H44" s="26" t="str">
        <x:v>is:manland</x:v>
      </x:c>
      <x:c r="I44" s="26" t="str">
        <x:v>Manlands.</x:v>
      </x:c>
      <x:c r="J44" s="26" t="str">
        <x:v>https://scryfall.com/docs/syntax</x:v>
      </x:c>
      <x:c r="K44" s="26" t="str">
        <x:v>Production-ready</x:v>
      </x:c>
    </x:row>
    <x:row r="45">
      <x:c r="A45" s="26" t="str">
        <x:v>Extras</x:v>
      </x:c>
      <x:c r="B45" s="26" t="str">
        <x:v>is:funny</x:v>
      </x:c>
      <x:c r="C45" s="26" t="str"/>
      <x:c r="D45" s="26" t="str">
        <x:v>Card</x:v>
      </x:c>
      <x:c r="E45" s="26" t="str">
        <x:v>boolean</x:v>
      </x:c>
      <x:c r="F45" s="26" t="str">
        <x:v>No</x:v>
      </x:c>
      <x:c r="G45" s="26" t="str">
        <x:v>Un-/funny cards</x:v>
      </x:c>
      <x:c r="H45" s="26" t="str">
        <x:v>is:funny</x:v>
      </x:c>
      <x:c r="I45" s="26" t="str">
        <x:v>Funny/unusual cards.</x:v>
      </x:c>
      <x:c r="J45" s="26" t="str">
        <x:v>https://scryfall.com/docs/syntax</x:v>
      </x:c>
      <x:c r="K45" s="26" t="str">
        <x:v>Production-ready</x:v>
      </x:c>
    </x:row>
    <x:row r="46">
      <x:c r="A46" s="26" t="str">
        <x:v>Extras</x:v>
      </x:c>
      <x:c r="B46" s="26" t="str">
        <x:v>include:extras</x:v>
      </x:c>
      <x:c r="C46" s="26" t="str"/>
      <x:c r="D46" s="26" t="str">
        <x:v>Result pool</x:v>
      </x:c>
      <x:c r="E46" s="26" t="str">
        <x:v>boolean</x:v>
      </x:c>
      <x:c r="F46" s="26" t="str">
        <x:v>No</x:v>
      </x:c>
      <x:c r="G46" s="26" t="str">
        <x:v>include all hidden extras</x:v>
      </x:c>
      <x:c r="H46" s="26" t="str">
        <x:v>include:extras</x:v>
      </x:c>
      <x:c r="I46" s="26" t="str">
        <x:v>Reveal normally hidden extra/memorabilia records.</x:v>
      </x:c>
      <x:c r="J46" s="26" t="str">
        <x:v>https://scryfall.com/docs/syntax</x:v>
      </x:c>
      <x:c r="K46" s="26" t="str">
        <x:v>Production-ready</x:v>
      </x:c>
    </x:row>
    <x:row r="47">
      <x:c r="A47" s="26" t="str">
        <x:v>Rarity</x:v>
      </x:c>
      <x:c r="B47" s="26" t="str">
        <x:v>r:</x:v>
      </x:c>
      <x:c r="C47" s="26" t="str">
        <x:v>rarity:</x:v>
      </x:c>
      <x:c r="D47" s="26" t="str">
        <x:v>Printing</x:v>
      </x:c>
      <x:c r="E47" s="26" t="str">
        <x:v>rarity</x:v>
      </x:c>
      <x:c r="F47" s="26" t="str">
        <x:v>&lt; &lt;= = &gt;= &gt;</x:v>
      </x:c>
      <x:c r="G47" s="26" t="str">
        <x:v>rare / uncommon or lower</x:v>
      </x:c>
      <x:c r="H47" s="26" t="str">
        <x:v>r&lt;=u</x:v>
      </x:c>
      <x:c r="I47" s="26" t="str">
        <x:v>Current printing rarity.</x:v>
      </x:c>
      <x:c r="J47" s="26" t="str">
        <x:v>https://scryfall.com/docs/syntax</x:v>
      </x:c>
      <x:c r="K47" s="26" t="str">
        <x:v>Production-ready</x:v>
      </x:c>
    </x:row>
    <x:row r="48">
      <x:c r="A48" s="26" t="str">
        <x:v>Rarity</x:v>
      </x:c>
      <x:c r="B48" s="26" t="str">
        <x:v>new:rarity</x:v>
      </x:c>
      <x:c r="C48" s="26" t="str"/>
      <x:c r="D48" s="26" t="str">
        <x:v>Printing</x:v>
      </x:c>
      <x:c r="E48" s="26" t="str">
        <x:v>boolean</x:v>
      </x:c>
      <x:c r="F48" s="26" t="str">
        <x:v>No</x:v>
      </x:c>
      <x:c r="G48" s="26" t="str">
        <x:v>first time at this rarity</x:v>
      </x:c>
      <x:c r="H48" s="26" t="str">
        <x:v>new:rarity</x:v>
      </x:c>
      <x:c r="I48" s="26" t="str">
        <x:v>Reprint receiving a new rarity for first time.</x:v>
      </x:c>
      <x:c r="J48" s="26" t="str">
        <x:v>https://scryfall.com/docs/syntax</x:v>
      </x:c>
      <x:c r="K48" s="26" t="str">
        <x:v>Production-ready</x:v>
      </x:c>
    </x:row>
    <x:row r="49">
      <x:c r="A49" s="26" t="str">
        <x:v>Rarity</x:v>
      </x:c>
      <x:c r="B49" s="26" t="str">
        <x:v>in:[rarity]</x:v>
      </x:c>
      <x:c r="C49" s="26" t="str"/>
      <x:c r="D49" s="26" t="str">
        <x:v>Card history</x:v>
      </x:c>
      <x:c r="E49" s="26" t="str">
        <x:v>rarity</x:v>
      </x:c>
      <x:c r="F49" s="26" t="str">
        <x:v>No</x:v>
      </x:c>
      <x:c r="G49" s="26" t="str">
        <x:v>ever printed at rare</x:v>
      </x:c>
      <x:c r="H49" s="26" t="str">
        <x:v>in:rare</x:v>
      </x:c>
      <x:c r="I49" s="26" t="str">
        <x:v>Historical rarity membership.</x:v>
      </x:c>
      <x:c r="J49" s="26" t="str">
        <x:v>https://scryfall.com/docs/syntax</x:v>
      </x:c>
      <x:c r="K49" s="26" t="str">
        <x:v>Production-ready</x:v>
      </x:c>
    </x:row>
    <x:row r="50">
      <x:c r="A50" s="26" t="str">
        <x:v>Rarity</x:v>
      </x:c>
      <x:c r="B50" s="26" t="str">
        <x:v>is:newinpauper</x:v>
      </x:c>
      <x:c r="C50" s="26" t="str"/>
      <x:c r="D50" s="26" t="str">
        <x:v>Card</x:v>
      </x:c>
      <x:c r="E50" s="26" t="str">
        <x:v>boolean</x:v>
      </x:c>
      <x:c r="F50" s="26" t="str">
        <x:v>No</x:v>
      </x:c>
      <x:c r="G50" s="26" t="str">
        <x:v>new to Pauper</x:v>
      </x:c>
      <x:c r="H50" s="26" t="str">
        <x:v>is:newinpauper</x:v>
      </x:c>
      <x:c r="I50" s="26" t="str">
        <x:v>Cards newly entering Pauper.</x:v>
      </x:c>
      <x:c r="J50" s="26" t="str">
        <x:v>https://scryfall.com/docs/syntax</x:v>
      </x:c>
      <x:c r="K50" s="26" t="str">
        <x:v>Production-ready</x:v>
      </x:c>
    </x:row>
    <x:row r="51">
      <x:c r="A51" s="26" t="str">
        <x:v>Sets</x:v>
      </x:c>
      <x:c r="B51" s="26" t="str">
        <x:v>s:</x:v>
      </x:c>
      <x:c r="C51" s="26" t="str">
        <x:v>e: | set: | edition:</x:v>
      </x:c>
      <x:c r="D51" s="26" t="str">
        <x:v>Printing</x:v>
      </x:c>
      <x:c r="E51" s="26" t="str">
        <x:v>set code</x:v>
      </x:c>
      <x:c r="F51" s="26" t="str">
        <x:v>No</x:v>
      </x:c>
      <x:c r="G51" s="26" t="str">
        <x:v>from set</x:v>
      </x:c>
      <x:c r="H51" s="26" t="str">
        <x:v>set:mh3</x:v>
      </x:c>
      <x:c r="I51" s="26" t="str">
        <x:v>Current result printing belongs to set.</x:v>
      </x:c>
      <x:c r="J51" s="26" t="str">
        <x:v>https://scryfall.com/docs/syntax</x:v>
      </x:c>
      <x:c r="K51" s="26" t="str">
        <x:v>Production-ready</x:v>
      </x:c>
    </x:row>
    <x:row r="52">
      <x:c r="A52" s="26" t="str">
        <x:v>Sets</x:v>
      </x:c>
      <x:c r="B52" s="26" t="str">
        <x:v>cn:</x:v>
      </x:c>
      <x:c r="C52" s="26" t="str">
        <x:v>number:</x:v>
      </x:c>
      <x:c r="D52" s="26" t="str">
        <x:v>Printing</x:v>
      </x:c>
      <x:c r="E52" s="26" t="str">
        <x:v>collector number</x:v>
      </x:c>
      <x:c r="F52" s="26" t="str">
        <x:v>= != &lt; &lt;= &gt; &gt;=</x:v>
      </x:c>
      <x:c r="G52" s="26" t="str">
        <x:v>collector number</x:v>
      </x:c>
      <x:c r="H52" s="26" t="str">
        <x:v>set:clb cn:187</x:v>
      </x:c>
      <x:c r="I52" s="26" t="str">
        <x:v>Collector number, usually combined with set.</x:v>
      </x:c>
      <x:c r="J52" s="26" t="str">
        <x:v>https://scryfall.com/docs/syntax</x:v>
      </x:c>
      <x:c r="K52" s="26" t="str">
        <x:v>Production-ready</x:v>
      </x:c>
    </x:row>
    <x:row r="53">
      <x:c r="A53" s="26" t="str">
        <x:v>Sets</x:v>
      </x:c>
      <x:c r="B53" s="26" t="str">
        <x:v>b:</x:v>
      </x:c>
      <x:c r="C53" s="26" t="str">
        <x:v>block:</x:v>
      </x:c>
      <x:c r="D53" s="26" t="str">
        <x:v>Printing group</x:v>
      </x:c>
      <x:c r="E53" s="26" t="str">
        <x:v>set code</x:v>
      </x:c>
      <x:c r="F53" s="26" t="str">
        <x:v>No</x:v>
      </x:c>
      <x:c r="G53" s="26" t="str">
        <x:v>from a block</x:v>
      </x:c>
      <x:c r="H53" s="26" t="str">
        <x:v>b:wwk</x:v>
      </x:c>
      <x:c r="I53" s="26" t="str">
        <x:v>Block membership using a set code from the block.</x:v>
      </x:c>
      <x:c r="J53" s="26" t="str">
        <x:v>https://scryfall.com/docs/syntax</x:v>
      </x:c>
      <x:c r="K53" s="26" t="str">
        <x:v>Production-ready</x:v>
      </x:c>
    </x:row>
    <x:row r="54">
      <x:c r="A54" s="26" t="str">
        <x:v>Sets</x:v>
      </x:c>
      <x:c r="B54" s="26" t="str">
        <x:v>g:</x:v>
      </x:c>
      <x:c r="C54" s="26" t="str">
        <x:v>group:</x:v>
      </x:c>
      <x:c r="D54" s="26" t="str">
        <x:v>Release family</x:v>
      </x:c>
      <x:c r="E54" s="26" t="str">
        <x:v>set code</x:v>
      </x:c>
      <x:c r="F54" s="26" t="str">
        <x:v>No</x:v>
      </x:c>
      <x:c r="G54" s="26" t="str">
        <x:v>related release family</x:v>
      </x:c>
      <x:c r="H54" s="26" t="str">
        <x:v>g:fin</x:v>
      </x:c>
      <x:c r="I54" s="26" t="str">
        <x:v>Parent/sibling/child release group.</x:v>
      </x:c>
      <x:c r="J54" s="26" t="str">
        <x:v>https://scryfall.com/docs/syntax</x:v>
      </x:c>
      <x:c r="K54" s="26" t="str">
        <x:v>Production-ready</x:v>
      </x:c>
    </x:row>
    <x:row r="55">
      <x:c r="A55" s="26" t="str">
        <x:v>Sets</x:v>
      </x:c>
      <x:c r="B55" s="26" t="str">
        <x:v>st:</x:v>
      </x:c>
      <x:c r="C55" s="26" t="str"/>
      <x:c r="D55" s="26" t="str">
        <x:v>Printing</x:v>
      </x:c>
      <x:c r="E55" s="26" t="str">
        <x:v>set/product type</x:v>
      </x:c>
      <x:c r="F55" s="26" t="str">
        <x:v>No</x:v>
      </x:c>
      <x:c r="G55" s="26" t="str">
        <x:v>Commander set / Masters set</x:v>
      </x:c>
      <x:c r="H55" s="26" t="str">
        <x:v>st:commander</x:v>
      </x:c>
      <x:c r="I55" s="26" t="str">
        <x:v>Set/product type.</x:v>
      </x:c>
      <x:c r="J55" s="26" t="str">
        <x:v>https://scryfall.com/docs/syntax</x:v>
      </x:c>
      <x:c r="K55" s="26" t="str">
        <x:v>Production-ready</x:v>
      </x:c>
    </x:row>
    <x:row r="56">
      <x:c r="A56" s="26" t="str">
        <x:v>Sets</x:v>
      </x:c>
      <x:c r="B56" s="26" t="str">
        <x:v>in:[set]</x:v>
      </x:c>
      <x:c r="C56" s="26" t="str"/>
      <x:c r="D56" s="26" t="str">
        <x:v>Card history</x:v>
      </x:c>
      <x:c r="E56" s="26" t="str">
        <x:v>set code</x:v>
      </x:c>
      <x:c r="F56" s="26" t="str">
        <x:v>No</x:v>
      </x:c>
      <x:c r="G56" s="26" t="str">
        <x:v>ever printed in set</x:v>
      </x:c>
      <x:c r="H56" s="26" t="str">
        <x:v>in:lea</x:v>
      </x:c>
      <x:c r="I56" s="26" t="str">
        <x:v>Card has appeared in set at least once.</x:v>
      </x:c>
      <x:c r="J56" s="26" t="str">
        <x:v>https://scryfall.com/docs/syntax</x:v>
      </x:c>
      <x:c r="K56" s="26" t="str">
        <x:v>Production-ready</x:v>
      </x:c>
    </x:row>
    <x:row r="57">
      <x:c r="A57" s="26" t="str">
        <x:v>Sets</x:v>
      </x:c>
      <x:c r="B57" s="26" t="str">
        <x:v>is:booster</x:v>
      </x:c>
      <x:c r="C57" s="26" t="str"/>
      <x:c r="D57" s="26" t="str">
        <x:v>Printing</x:v>
      </x:c>
      <x:c r="E57" s="26" t="str">
        <x:v>boolean</x:v>
      </x:c>
      <x:c r="F57" s="26" t="str">
        <x:v>No</x:v>
      </x:c>
      <x:c r="G57" s="26" t="str">
        <x:v>available in boosters</x:v>
      </x:c>
      <x:c r="H57" s="26" t="str">
        <x:v>is:booster</x:v>
      </x:c>
      <x:c r="I57" s="26" t="str">
        <x:v>Printings sold in boosters.</x:v>
      </x:c>
      <x:c r="J57" s="26" t="str">
        <x:v>https://scryfall.com/docs/syntax</x:v>
      </x:c>
      <x:c r="K57" s="26" t="str">
        <x:v>Production-ready</x:v>
      </x:c>
    </x:row>
    <x:row r="58">
      <x:c r="A58" s="26" t="str">
        <x:v>Sets</x:v>
      </x:c>
      <x:c r="B58" s="26" t="str">
        <x:v>is:planeswalker_deck</x:v>
      </x:c>
      <x:c r="C58" s="26" t="str"/>
      <x:c r="D58" s="26" t="str">
        <x:v>Printing</x:v>
      </x:c>
      <x:c r="E58" s="26" t="str">
        <x:v>boolean</x:v>
      </x:c>
      <x:c r="F58" s="26" t="str">
        <x:v>No</x:v>
      </x:c>
      <x:c r="G58" s="26" t="str">
        <x:v>planeswalker-deck printing</x:v>
      </x:c>
      <x:c r="H58" s="26" t="str">
        <x:v>is:planeswalker_deck</x:v>
      </x:c>
      <x:c r="I58" s="26" t="str">
        <x:v>Specific product availability.</x:v>
      </x:c>
      <x:c r="J58" s="26" t="str">
        <x:v>https://scryfall.com/docs/syntax</x:v>
      </x:c>
      <x:c r="K58" s="26" t="str">
        <x:v>Production-ready</x:v>
      </x:c>
    </x:row>
    <x:row r="59">
      <x:c r="A59" s="26" t="str">
        <x:v>Cubes</x:v>
      </x:c>
      <x:c r="B59" s="26" t="str">
        <x:v>cube:</x:v>
      </x:c>
      <x:c r="C59" s="26" t="str"/>
      <x:c r="D59" s="26" t="str">
        <x:v>Card list</x:v>
      </x:c>
      <x:c r="E59" s="26" t="str">
        <x:v>cube name</x:v>
      </x:c>
      <x:c r="F59" s="26" t="str">
        <x:v>No</x:v>
      </x:c>
      <x:c r="G59" s="26" t="str">
        <x:v>in Vintage Cube</x:v>
      </x:c>
      <x:c r="H59" s="26" t="str">
        <x:v>cube:vintage</x:v>
      </x:c>
      <x:c r="I59" s="26" t="str">
        <x:v>Membership in supported Scryfall cube lists.</x:v>
      </x:c>
      <x:c r="J59" s="26" t="str">
        <x:v>https://scryfall.com/docs/syntax</x:v>
      </x:c>
      <x:c r="K59" s="26" t="str">
        <x:v>Production-ready</x:v>
      </x:c>
    </x:row>
    <x:row r="60">
      <x:c r="A60" s="26" t="str">
        <x:v>Formats</x:v>
      </x:c>
      <x:c r="B60" s="26" t="str">
        <x:v>f:</x:v>
      </x:c>
      <x:c r="C60" s="26" t="str">
        <x:v>format:</x:v>
      </x:c>
      <x:c r="D60" s="26" t="str">
        <x:v>Card legality</x:v>
      </x:c>
      <x:c r="E60" s="26" t="str">
        <x:v>format</x:v>
      </x:c>
      <x:c r="F60" s="26" t="str">
        <x:v>No</x:v>
      </x:c>
      <x:c r="G60" s="26" t="str">
        <x:v>Commander legal</x:v>
      </x:c>
      <x:c r="H60" s="26" t="str">
        <x:v>f:commander</x:v>
      </x:c>
      <x:c r="I60" s="26" t="str">
        <x:v>Legal in format.</x:v>
      </x:c>
      <x:c r="J60" s="26" t="str">
        <x:v>https://scryfall.com/docs/syntax</x:v>
      </x:c>
      <x:c r="K60" s="26" t="str">
        <x:v>Production-ready</x:v>
      </x:c>
    </x:row>
    <x:row r="61">
      <x:c r="A61" s="26" t="str">
        <x:v>Formats</x:v>
      </x:c>
      <x:c r="B61" s="26" t="str">
        <x:v>banned:</x:v>
      </x:c>
      <x:c r="C61" s="26" t="str"/>
      <x:c r="D61" s="26" t="str">
        <x:v>Card legality</x:v>
      </x:c>
      <x:c r="E61" s="26" t="str">
        <x:v>format</x:v>
      </x:c>
      <x:c r="F61" s="26" t="str">
        <x:v>No</x:v>
      </x:c>
      <x:c r="G61" s="26" t="str">
        <x:v>banned in Legacy</x:v>
      </x:c>
      <x:c r="H61" s="26" t="str">
        <x:v>banned:legacy</x:v>
      </x:c>
      <x:c r="I61" s="26" t="str">
        <x:v>Explicitly banned.</x:v>
      </x:c>
      <x:c r="J61" s="26" t="str">
        <x:v>https://scryfall.com/docs/syntax</x:v>
      </x:c>
      <x:c r="K61" s="26" t="str">
        <x:v>Production-ready</x:v>
      </x:c>
    </x:row>
    <x:row r="62">
      <x:c r="A62" s="26" t="str">
        <x:v>Formats</x:v>
      </x:c>
      <x:c r="B62" s="26" t="str">
        <x:v>restricted:</x:v>
      </x:c>
      <x:c r="C62" s="26" t="str"/>
      <x:c r="D62" s="26" t="str">
        <x:v>Card legality</x:v>
      </x:c>
      <x:c r="E62" s="26" t="str">
        <x:v>format</x:v>
      </x:c>
      <x:c r="F62" s="26" t="str">
        <x:v>No</x:v>
      </x:c>
      <x:c r="G62" s="26" t="str">
        <x:v>restricted in Vintage</x:v>
      </x:c>
      <x:c r="H62" s="26" t="str">
        <x:v>restricted:vintage</x:v>
      </x:c>
      <x:c r="I62" s="26" t="str">
        <x:v>Explicitly restricted.</x:v>
      </x:c>
      <x:c r="J62" s="26" t="str">
        <x:v>https://scryfall.com/docs/syntax</x:v>
      </x:c>
      <x:c r="K62" s="26" t="str">
        <x:v>Production-ready</x:v>
      </x:c>
    </x:row>
    <x:row r="63">
      <x:c r="A63" s="26" t="str">
        <x:v>Commander</x:v>
      </x:c>
      <x:c r="B63" s="26" t="str">
        <x:v>is:commander</x:v>
      </x:c>
      <x:c r="C63" s="26" t="str"/>
      <x:c r="D63" s="26" t="str">
        <x:v>Card</x:v>
      </x:c>
      <x:c r="E63" s="26" t="str">
        <x:v>boolean</x:v>
      </x:c>
      <x:c r="F63" s="26" t="str">
        <x:v>No</x:v>
      </x:c>
      <x:c r="G63" s="26" t="str">
        <x:v>can be my commander</x:v>
      </x:c>
      <x:c r="H63" s="26" t="str">
        <x:v>is:commander</x:v>
      </x:c>
      <x:c r="I63" s="26" t="str">
        <x:v>Eligible to be a Commander.</x:v>
      </x:c>
      <x:c r="J63" s="26" t="str">
        <x:v>https://scryfall.com/docs/syntax</x:v>
      </x:c>
      <x:c r="K63" s="26" t="str">
        <x:v>Production-ready</x:v>
      </x:c>
    </x:row>
    <x:row r="64">
      <x:c r="A64" s="26" t="str">
        <x:v>Commander</x:v>
      </x:c>
      <x:c r="B64" s="26" t="str">
        <x:v>is:brawler</x:v>
      </x:c>
      <x:c r="C64" s="26" t="str"/>
      <x:c r="D64" s="26" t="str">
        <x:v>Card</x:v>
      </x:c>
      <x:c r="E64" s="26" t="str">
        <x:v>boolean</x:v>
      </x:c>
      <x:c r="F64" s="26" t="str">
        <x:v>No</x:v>
      </x:c>
      <x:c r="G64" s="26" t="str">
        <x:v>can be Brawl commander</x:v>
      </x:c>
      <x:c r="H64" s="26" t="str">
        <x:v>is:brawler</x:v>
      </x:c>
      <x:c r="I64" s="26" t="str">
        <x:v>Eligible Brawl commander.</x:v>
      </x:c>
      <x:c r="J64" s="26" t="str">
        <x:v>https://scryfall.com/docs/syntax</x:v>
      </x:c>
      <x:c r="K64" s="26" t="str">
        <x:v>Production-ready</x:v>
      </x:c>
    </x:row>
    <x:row r="65">
      <x:c r="A65" s="26" t="str">
        <x:v>Commander</x:v>
      </x:c>
      <x:c r="B65" s="26" t="str">
        <x:v>is:companion</x:v>
      </x:c>
      <x:c r="C65" s="26" t="str"/>
      <x:c r="D65" s="26" t="str">
        <x:v>Card</x:v>
      </x:c>
      <x:c r="E65" s="26" t="str">
        <x:v>boolean</x:v>
      </x:c>
      <x:c r="F65" s="26" t="str">
        <x:v>No</x:v>
      </x:c>
      <x:c r="G65" s="26" t="str">
        <x:v>Companion card</x:v>
      </x:c>
      <x:c r="H65" s="26" t="str">
        <x:v>is:companion</x:v>
      </x:c>
      <x:c r="I65" s="26" t="str">
        <x:v>Companion cards.</x:v>
      </x:c>
      <x:c r="J65" s="26" t="str">
        <x:v>https://scryfall.com/docs/syntax</x:v>
      </x:c>
      <x:c r="K65" s="26" t="str">
        <x:v>Production-ready</x:v>
      </x:c>
    </x:row>
    <x:row r="66">
      <x:c r="A66" s="26" t="str">
        <x:v>Commander</x:v>
      </x:c>
      <x:c r="B66" s="26" t="str">
        <x:v>is:duelcommander</x:v>
      </x:c>
      <x:c r="C66" s="26" t="str"/>
      <x:c r="D66" s="26" t="str">
        <x:v>Card</x:v>
      </x:c>
      <x:c r="E66" s="26" t="str">
        <x:v>boolean</x:v>
      </x:c>
      <x:c r="F66" s="26" t="str">
        <x:v>No</x:v>
      </x:c>
      <x:c r="G66" s="26" t="str">
        <x:v>Duel Commander commander</x:v>
      </x:c>
      <x:c r="H66" s="26" t="str">
        <x:v>is:duelcommander</x:v>
      </x:c>
      <x:c r="I66" s="26" t="str">
        <x:v>Eligible Duel Commander.</x:v>
      </x:c>
      <x:c r="J66" s="26" t="str">
        <x:v>https://scryfall.com/docs/syntax</x:v>
      </x:c>
      <x:c r="K66" s="26" t="str">
        <x:v>Production-ready</x:v>
      </x:c>
    </x:row>
    <x:row r="67">
      <x:c r="A67" s="26" t="str">
        <x:v>Commander</x:v>
      </x:c>
      <x:c r="B67" s="26" t="str">
        <x:v>is:oathbreaker</x:v>
      </x:c>
      <x:c r="C67" s="26" t="str"/>
      <x:c r="D67" s="26" t="str">
        <x:v>Card</x:v>
      </x:c>
      <x:c r="E67" s="26" t="str">
        <x:v>boolean</x:v>
      </x:c>
      <x:c r="F67" s="26" t="str">
        <x:v>No</x:v>
      </x:c>
      <x:c r="G67" s="26" t="str">
        <x:v>Oathbreaker</x:v>
      </x:c>
      <x:c r="H67" s="26" t="str">
        <x:v>is:oathbreaker</x:v>
      </x:c>
      <x:c r="I67" s="26" t="str">
        <x:v>Eligible Oathbreaker.</x:v>
      </x:c>
      <x:c r="J67" s="26" t="str">
        <x:v>https://scryfall.com/docs/syntax</x:v>
      </x:c>
      <x:c r="K67" s="26" t="str">
        <x:v>Production-ready</x:v>
      </x:c>
    </x:row>
    <x:row r="68">
      <x:c r="A68" s="26" t="str">
        <x:v>Commander</x:v>
      </x:c>
      <x:c r="B68" s="26" t="str">
        <x:v>is:partner</x:v>
      </x:c>
      <x:c r="C68" s="26" t="str"/>
      <x:c r="D68" s="26" t="str">
        <x:v>Card</x:v>
      </x:c>
      <x:c r="E68" s="26" t="str">
        <x:v>boolean</x:v>
      </x:c>
      <x:c r="F68" s="26" t="str">
        <x:v>No</x:v>
      </x:c>
      <x:c r="G68" s="26" t="str">
        <x:v>partner mechanic</x:v>
      </x:c>
      <x:c r="H68" s="26" t="str">
        <x:v>is:partner</x:v>
      </x:c>
      <x:c r="I68" s="26" t="str">
        <x:v>Any supported Commander partner mechanic.</x:v>
      </x:c>
      <x:c r="J68" s="26" t="str">
        <x:v>https://scryfall.com/docs/syntax</x:v>
      </x:c>
      <x:c r="K68" s="26" t="str">
        <x:v>Production-ready</x:v>
      </x:c>
    </x:row>
    <x:row r="69">
      <x:c r="A69" s="26" t="str">
        <x:v>Commander</x:v>
      </x:c>
      <x:c r="B69" s="26" t="str">
        <x:v>edhrec</x:v>
      </x:c>
      <x:c r="C69" s="26" t="str">
        <x:v>edhrecrank</x:v>
      </x:c>
      <x:c r="D69" s="26" t="str">
        <x:v>Card</x:v>
      </x:c>
      <x:c r="E69" s="26" t="str">
        <x:v>rank</x:v>
      </x:c>
      <x:c r="F69" s="26" t="str">
        <x:v>= != &lt; &lt;= &gt; &gt;=</x:v>
      </x:c>
      <x:c r="G69" s="26" t="str">
        <x:v>popular in EDHREC</x:v>
      </x:c>
      <x:c r="H69" s="26" t="str">
        <x:v>edhrecrank&lt;=100</x:v>
      </x:c>
      <x:c r="I69" s="26" t="str">
        <x:v>EDHREC rank; lower number means more popular.</x:v>
      </x:c>
      <x:c r="J69" s="26" t="str">
        <x:v>https://scryfall.com/docs/syntax</x:v>
      </x:c>
      <x:c r="K69" s="26" t="str">
        <x:v>Production-ready</x:v>
      </x:c>
    </x:row>
    <x:row r="70">
      <x:c r="A70" s="26" t="str">
        <x:v>Commander</x:v>
      </x:c>
      <x:c r="B70" s="26" t="str">
        <x:v>is:gamechanger</x:v>
      </x:c>
      <x:c r="C70" s="26" t="str"/>
      <x:c r="D70" s="26" t="str">
        <x:v>Card</x:v>
      </x:c>
      <x:c r="E70" s="26" t="str">
        <x:v>boolean</x:v>
      </x:c>
      <x:c r="F70" s="26" t="str">
        <x:v>No</x:v>
      </x:c>
      <x:c r="G70" s="26" t="str">
        <x:v>Commander Game Changer</x:v>
      </x:c>
      <x:c r="H70" s="26" t="str">
        <x:v>is:gamechanger</x:v>
      </x:c>
      <x:c r="I70" s="26" t="str">
        <x:v>Commander Game Changers.</x:v>
      </x:c>
      <x:c r="J70" s="26" t="str">
        <x:v>https://scryfall.com/docs/syntax</x:v>
      </x:c>
      <x:c r="K70" s="26" t="str">
        <x:v>Production-ready</x:v>
      </x:c>
    </x:row>
    <x:row r="71">
      <x:c r="A71" s="26" t="str">
        <x:v>Commander</x:v>
      </x:c>
      <x:c r="B71" s="26" t="str">
        <x:v>is:reserved</x:v>
      </x:c>
      <x:c r="C71" s="26" t="str"/>
      <x:c r="D71" s="26" t="str">
        <x:v>Card</x:v>
      </x:c>
      <x:c r="E71" s="26" t="str">
        <x:v>boolean</x:v>
      </x:c>
      <x:c r="F71" s="26" t="str">
        <x:v>No</x:v>
      </x:c>
      <x:c r="G71" s="26" t="str">
        <x:v>Reserved List</x:v>
      </x:c>
      <x:c r="H71" s="26" t="str">
        <x:v>is:reserved</x:v>
      </x:c>
      <x:c r="I71" s="26" t="str">
        <x:v>Reserved List cards.</x:v>
      </x:c>
      <x:c r="J71" s="26" t="str">
        <x:v>https://scryfall.com/docs/syntax</x:v>
      </x:c>
      <x:c r="K71" s="26" t="str">
        <x:v>Production-ready</x:v>
      </x:c>
    </x:row>
    <x:row r="72">
      <x:c r="A72" s="26" t="str">
        <x:v>Price</x:v>
      </x:c>
      <x:c r="B72" s="26" t="str">
        <x:v>usd</x:v>
      </x:c>
      <x:c r="C72" s="26" t="str"/>
      <x:c r="D72" s="26" t="str">
        <x:v>Printing</x:v>
      </x:c>
      <x:c r="E72" s="26" t="str">
        <x:v>decimal</x:v>
      </x:c>
      <x:c r="F72" s="26" t="str">
        <x:v>= != &lt; &lt;= &gt; &gt;=</x:v>
      </x:c>
      <x:c r="G72" s="26" t="str">
        <x:v>under $5</x:v>
      </x:c>
      <x:c r="H72" s="26" t="str">
        <x:v>usd&lt;5</x:v>
      </x:c>
      <x:c r="I72" s="26" t="str">
        <x:v>USD printing price.</x:v>
      </x:c>
      <x:c r="J72" s="26" t="str">
        <x:v>https://scryfall.com/docs/syntax</x:v>
      </x:c>
      <x:c r="K72" s="26" t="str">
        <x:v>Production-ready</x:v>
      </x:c>
    </x:row>
    <x:row r="73">
      <x:c r="A73" s="26" t="str">
        <x:v>Price</x:v>
      </x:c>
      <x:c r="B73" s="26" t="str">
        <x:v>eur</x:v>
      </x:c>
      <x:c r="C73" s="26" t="str"/>
      <x:c r="D73" s="26" t="str">
        <x:v>Printing</x:v>
      </x:c>
      <x:c r="E73" s="26" t="str">
        <x:v>decimal</x:v>
      </x:c>
      <x:c r="F73" s="26" t="str">
        <x:v>= != &lt; &lt;= &gt; &gt;=</x:v>
      </x:c>
      <x:c r="G73" s="26" t="str">
        <x:v>under €5</x:v>
      </x:c>
      <x:c r="H73" s="26" t="str">
        <x:v>eur&lt;5</x:v>
      </x:c>
      <x:c r="I73" s="26" t="str">
        <x:v>EUR printing price.</x:v>
      </x:c>
      <x:c r="J73" s="26" t="str">
        <x:v>https://scryfall.com/docs/syntax</x:v>
      </x:c>
      <x:c r="K73" s="26" t="str">
        <x:v>Production-ready</x:v>
      </x:c>
    </x:row>
    <x:row r="74">
      <x:c r="A74" s="26" t="str">
        <x:v>Price</x:v>
      </x:c>
      <x:c r="B74" s="26" t="str">
        <x:v>tix</x:v>
      </x:c>
      <x:c r="C74" s="26" t="str"/>
      <x:c r="D74" s="26" t="str">
        <x:v>Printing</x:v>
      </x:c>
      <x:c r="E74" s="26" t="str">
        <x:v>decimal</x:v>
      </x:c>
      <x:c r="F74" s="26" t="str">
        <x:v>= != &lt; &lt;= &gt; &gt;=</x:v>
      </x:c>
      <x:c r="G74" s="26" t="str">
        <x:v>under 1 ticket</x:v>
      </x:c>
      <x:c r="H74" s="26" t="str">
        <x:v>tix&lt;1</x:v>
      </x:c>
      <x:c r="I74" s="26" t="str">
        <x:v>MTGO ticket price.</x:v>
      </x:c>
      <x:c r="J74" s="26" t="str">
        <x:v>https://scryfall.com/docs/syntax</x:v>
      </x:c>
      <x:c r="K74" s="26" t="str">
        <x:v>Production-ready</x:v>
      </x:c>
    </x:row>
    <x:row r="75">
      <x:c r="A75" s="26" t="str">
        <x:v>Price</x:v>
      </x:c>
      <x:c r="B75" s="26" t="str">
        <x:v>cheapest:usd</x:v>
      </x:c>
      <x:c r="C75" s="26" t="str"/>
      <x:c r="D75" s="26" t="str">
        <x:v>Result selection</x:v>
      </x:c>
      <x:c r="E75" s="26" t="str">
        <x:v>currency</x:v>
      </x:c>
      <x:c r="F75" s="26" t="str">
        <x:v>No</x:v>
      </x:c>
      <x:c r="G75" s="26" t="str">
        <x:v>cheapest USD printing</x:v>
      </x:c>
      <x:c r="H75" s="26" t="str">
        <x:v>cheapest:usd</x:v>
      </x:c>
      <x:c r="I75" s="26" t="str">
        <x:v>Select cheapest USD print of each card.</x:v>
      </x:c>
      <x:c r="J75" s="26" t="str">
        <x:v>https://scryfall.com/docs/syntax</x:v>
      </x:c>
      <x:c r="K75" s="26" t="str">
        <x:v>Production-ready</x:v>
      </x:c>
    </x:row>
    <x:row r="76">
      <x:c r="A76" s="26" t="str">
        <x:v>Price</x:v>
      </x:c>
      <x:c r="B76" s="26" t="str">
        <x:v>cheapest:eur</x:v>
      </x:c>
      <x:c r="C76" s="26" t="str"/>
      <x:c r="D76" s="26" t="str">
        <x:v>Result selection</x:v>
      </x:c>
      <x:c r="E76" s="26" t="str">
        <x:v>currency</x:v>
      </x:c>
      <x:c r="F76" s="26" t="str">
        <x:v>No</x:v>
      </x:c>
      <x:c r="G76" s="26" t="str">
        <x:v>cheapest EUR printing</x:v>
      </x:c>
      <x:c r="H76" s="26" t="str">
        <x:v>cheapest:eur</x:v>
      </x:c>
      <x:c r="I76" s="26" t="str">
        <x:v>Select cheapest EUR print of each card.</x:v>
      </x:c>
      <x:c r="J76" s="26" t="str">
        <x:v>https://scryfall.com/docs/syntax</x:v>
      </x:c>
      <x:c r="K76" s="26" t="str">
        <x:v>Production-ready</x:v>
      </x:c>
    </x:row>
    <x:row r="77">
      <x:c r="A77" s="26" t="str">
        <x:v>Price</x:v>
      </x:c>
      <x:c r="B77" s="26" t="str">
        <x:v>cheapest:tix</x:v>
      </x:c>
      <x:c r="C77" s="26" t="str"/>
      <x:c r="D77" s="26" t="str">
        <x:v>Result selection</x:v>
      </x:c>
      <x:c r="E77" s="26" t="str">
        <x:v>currency</x:v>
      </x:c>
      <x:c r="F77" s="26" t="str">
        <x:v>No</x:v>
      </x:c>
      <x:c r="G77" s="26" t="str">
        <x:v>cheapest MTGO printing</x:v>
      </x:c>
      <x:c r="H77" s="26" t="str">
        <x:v>cheapest:tix</x:v>
      </x:c>
      <x:c r="I77" s="26" t="str">
        <x:v>Select cheapest TIX print of each card.</x:v>
      </x:c>
      <x:c r="J77" s="26" t="str">
        <x:v>https://scryfall.com/docs/syntax</x:v>
      </x:c>
      <x:c r="K77" s="26" t="str">
        <x:v>Production-ready</x:v>
      </x:c>
    </x:row>
    <x:row r="78">
      <x:c r="A78" s="26" t="str">
        <x:v>Metadata</x:v>
      </x:c>
      <x:c r="B78" s="26" t="str">
        <x:v>a:</x:v>
      </x:c>
      <x:c r="C78" s="26" t="str">
        <x:v>artist:</x:v>
      </x:c>
      <x:c r="D78" s="26" t="str">
        <x:v>Printing</x:v>
      </x:c>
      <x:c r="E78" s="26" t="str">
        <x:v>artist name</x:v>
      </x:c>
      <x:c r="F78" s="26" t="str">
        <x:v>No</x:v>
      </x:c>
      <x:c r="G78" s="26" t="str">
        <x:v>art by John Avon</x:v>
      </x:c>
      <x:c r="H78" s="26" t="str">
        <x:v>a:"John Avon"</x:v>
      </x:c>
      <x:c r="I78" s="26" t="str">
        <x:v>Artist.</x:v>
      </x:c>
      <x:c r="J78" s="26" t="str">
        <x:v>https://scryfall.com/docs/syntax</x:v>
      </x:c>
      <x:c r="K78" s="26" t="str">
        <x:v>Production-ready</x:v>
      </x:c>
    </x:row>
    <x:row r="79">
      <x:c r="A79" s="26" t="str">
        <x:v>Metadata</x:v>
      </x:c>
      <x:c r="B79" s="26" t="str">
        <x:v>artists</x:v>
      </x:c>
      <x:c r="C79" s="26" t="str"/>
      <x:c r="D79" s="26" t="str">
        <x:v>Printing</x:v>
      </x:c>
      <x:c r="E79" s="26" t="str">
        <x:v>number</x:v>
      </x:c>
      <x:c r="F79" s="26" t="str">
        <x:v>= != &lt; &lt;= &gt; &gt;=</x:v>
      </x:c>
      <x:c r="G79" s="26" t="str">
        <x:v>multiple artists</x:v>
      </x:c>
      <x:c r="H79" s="26" t="str">
        <x:v>artists&gt;1</x:v>
      </x:c>
      <x:c r="I79" s="26" t="str">
        <x:v>Number of credited artists.</x:v>
      </x:c>
      <x:c r="J79" s="26" t="str">
        <x:v>https://scryfall.com/docs/syntax</x:v>
      </x:c>
      <x:c r="K79" s="26" t="str">
        <x:v>Production-ready</x:v>
      </x:c>
    </x:row>
    <x:row r="80">
      <x:c r="A80" s="26" t="str">
        <x:v>Metadata</x:v>
      </x:c>
      <x:c r="B80" s="26" t="str">
        <x:v>ft:</x:v>
      </x:c>
      <x:c r="C80" s="26" t="str">
        <x:v>flavor:</x:v>
      </x:c>
      <x:c r="D80" s="26" t="str">
        <x:v>Printing</x:v>
      </x:c>
      <x:c r="E80" s="26" t="str">
        <x:v>text/phrase</x:v>
      </x:c>
      <x:c r="F80" s="26" t="str">
        <x:v>Regex supported</x:v>
      </x:c>
      <x:c r="G80" s="26" t="str">
        <x:v>flavor text mentions</x:v>
      </x:c>
      <x:c r="H80" s="26" t="str">
        <x:v>ft:mishra</x:v>
      </x:c>
      <x:c r="I80" s="26" t="str">
        <x:v>Flavor text.</x:v>
      </x:c>
      <x:c r="J80" s="26" t="str">
        <x:v>https://scryfall.com/docs/syntax</x:v>
      </x:c>
      <x:c r="K80" s="26" t="str">
        <x:v>Production-ready</x:v>
      </x:c>
    </x:row>
    <x:row r="81">
      <x:c r="A81" s="26" t="str">
        <x:v>Metadata</x:v>
      </x:c>
      <x:c r="B81" s="26" t="str">
        <x:v>wm:</x:v>
      </x:c>
      <x:c r="C81" s="26" t="str">
        <x:v>watermark:</x:v>
      </x:c>
      <x:c r="D81" s="26" t="str">
        <x:v>Printing</x:v>
      </x:c>
      <x:c r="E81" s="26" t="str">
        <x:v>watermark</x:v>
      </x:c>
      <x:c r="F81" s="26" t="str">
        <x:v>No</x:v>
      </x:c>
      <x:c r="G81" s="26" t="str">
        <x:v>Orzhov watermark</x:v>
      </x:c>
      <x:c r="H81" s="26" t="str">
        <x:v>wm:orzhov</x:v>
      </x:c>
      <x:c r="I81" s="26" t="str">
        <x:v>Watermark.</x:v>
      </x:c>
      <x:c r="J81" s="26" t="str">
        <x:v>https://scryfall.com/docs/syntax</x:v>
      </x:c>
      <x:c r="K81" s="26" t="str">
        <x:v>Production-ready</x:v>
      </x:c>
    </x:row>
    <x:row r="82">
      <x:c r="A82" s="26" t="str">
        <x:v>Metadata</x:v>
      </x:c>
      <x:c r="B82" s="26" t="str">
        <x:v>has:watermark</x:v>
      </x:c>
      <x:c r="C82" s="26" t="str"/>
      <x:c r="D82" s="26" t="str">
        <x:v>Printing</x:v>
      </x:c>
      <x:c r="E82" s="26" t="str">
        <x:v>boolean</x:v>
      </x:c>
      <x:c r="F82" s="26" t="str">
        <x:v>No</x:v>
      </x:c>
      <x:c r="G82" s="26" t="str">
        <x:v>has any watermark</x:v>
      </x:c>
      <x:c r="H82" s="26" t="str">
        <x:v>has:watermark</x:v>
      </x:c>
      <x:c r="I82" s="26" t="str">
        <x:v>Any watermark.</x:v>
      </x:c>
      <x:c r="J82" s="26" t="str">
        <x:v>https://scryfall.com/docs/syntax</x:v>
      </x:c>
      <x:c r="K82" s="26" t="str">
        <x:v>Production-ready</x:v>
      </x:c>
    </x:row>
    <x:row r="83">
      <x:c r="A83" s="26" t="str">
        <x:v>Metadata</x:v>
      </x:c>
      <x:c r="B83" s="26" t="str">
        <x:v>new:art</x:v>
      </x:c>
      <x:c r="C83" s="26" t="str"/>
      <x:c r="D83" s="26" t="str">
        <x:v>Printing</x:v>
      </x:c>
      <x:c r="E83" s="26" t="str">
        <x:v>boolean</x:v>
      </x:c>
      <x:c r="F83" s="26" t="str">
        <x:v>No</x:v>
      </x:c>
      <x:c r="G83" s="26" t="str">
        <x:v>new artwork</x:v>
      </x:c>
      <x:c r="H83" s="26" t="str">
        <x:v>new:art</x:v>
      </x:c>
      <x:c r="I83" s="26" t="str">
        <x:v>New illustration for that card.</x:v>
      </x:c>
      <x:c r="J83" s="26" t="str">
        <x:v>https://scryfall.com/docs/syntax</x:v>
      </x:c>
      <x:c r="K83" s="26" t="str">
        <x:v>Production-ready</x:v>
      </x:c>
    </x:row>
    <x:row r="84">
      <x:c r="A84" s="26" t="str">
        <x:v>Metadata</x:v>
      </x:c>
      <x:c r="B84" s="26" t="str">
        <x:v>new:artist</x:v>
      </x:c>
      <x:c r="C84" s="26" t="str"/>
      <x:c r="D84" s="26" t="str">
        <x:v>Printing</x:v>
      </x:c>
      <x:c r="E84" s="26" t="str">
        <x:v>boolean</x:v>
      </x:c>
      <x:c r="F84" s="26" t="str">
        <x:v>No</x:v>
      </x:c>
      <x:c r="G84" s="26" t="str">
        <x:v>first art by this artist</x:v>
      </x:c>
      <x:c r="H84" s="26" t="str">
        <x:v>new:artist</x:v>
      </x:c>
      <x:c r="I84" s="26" t="str">
        <x:v>Artist illustrates card for first time.</x:v>
      </x:c>
      <x:c r="J84" s="26" t="str">
        <x:v>https://scryfall.com/docs/syntax</x:v>
      </x:c>
      <x:c r="K84" s="26" t="str">
        <x:v>Production-ready</x:v>
      </x:c>
    </x:row>
    <x:row r="85">
      <x:c r="A85" s="26" t="str">
        <x:v>Metadata</x:v>
      </x:c>
      <x:c r="B85" s="26" t="str">
        <x:v>new:flavor</x:v>
      </x:c>
      <x:c r="C85" s="26" t="str"/>
      <x:c r="D85" s="26" t="str">
        <x:v>Printing</x:v>
      </x:c>
      <x:c r="E85" s="26" t="str">
        <x:v>boolean</x:v>
      </x:c>
      <x:c r="F85" s="26" t="str">
        <x:v>No</x:v>
      </x:c>
      <x:c r="G85" s="26" t="str">
        <x:v>new flavor text</x:v>
      </x:c>
      <x:c r="H85" s="26" t="str">
        <x:v>new:flavor</x:v>
      </x:c>
      <x:c r="I85" s="26" t="str">
        <x:v>Brand-new flavor text.</x:v>
      </x:c>
      <x:c r="J85" s="26" t="str">
        <x:v>https://scryfall.com/docs/syntax</x:v>
      </x:c>
      <x:c r="K85" s="26" t="str">
        <x:v>Production-ready</x:v>
      </x:c>
    </x:row>
    <x:row r="86">
      <x:c r="A86" s="26" t="str">
        <x:v>Metadata</x:v>
      </x:c>
      <x:c r="B86" s="26" t="str">
        <x:v>illustrations</x:v>
      </x:c>
      <x:c r="C86" s="26" t="str"/>
      <x:c r="D86" s="26" t="str">
        <x:v>Card history</x:v>
      </x:c>
      <x:c r="E86" s="26" t="str">
        <x:v>number</x:v>
      </x:c>
      <x:c r="F86" s="26" t="str">
        <x:v>= != &lt; &lt;= &gt; &gt;=</x:v>
      </x:c>
      <x:c r="G86" s="26" t="str">
        <x:v>multiple illustrations</x:v>
      </x:c>
      <x:c r="H86" s="26" t="str">
        <x:v>illustrations&gt;1</x:v>
      </x:c>
      <x:c r="I86" s="26" t="str">
        <x:v>Count of distinct illustrations.</x:v>
      </x:c>
      <x:c r="J86" s="26" t="str">
        <x:v>https://scryfall.com/docs/syntax</x:v>
      </x:c>
      <x:c r="K86" s="26" t="str">
        <x:v>Production-ready</x:v>
      </x:c>
    </x:row>
    <x:row r="87">
      <x:c r="A87" s="26" t="str">
        <x:v>Frames</x:v>
      </x:c>
      <x:c r="B87" s="26" t="str">
        <x:v>border:</x:v>
      </x:c>
      <x:c r="C87" s="26" t="str"/>
      <x:c r="D87" s="26" t="str">
        <x:v>Printing</x:v>
      </x:c>
      <x:c r="E87" s="26" t="str">
        <x:v>black/white/silver/borderless</x:v>
      </x:c>
      <x:c r="F87" s="26" t="str">
        <x:v>No</x:v>
      </x:c>
      <x:c r="G87" s="26" t="str">
        <x:v>borderless / white border</x:v>
      </x:c>
      <x:c r="H87" s="26" t="str">
        <x:v>border:borderless</x:v>
      </x:c>
      <x:c r="I87" s="26" t="str">
        <x:v>Border treatment.</x:v>
      </x:c>
      <x:c r="J87" s="26" t="str">
        <x:v>https://scryfall.com/docs/syntax</x:v>
      </x:c>
      <x:c r="K87" s="26" t="str">
        <x:v>Production-ready</x:v>
      </x:c>
    </x:row>
    <x:row r="88">
      <x:c r="A88" s="26" t="str">
        <x:v>Frames</x:v>
      </x:c>
      <x:c r="B88" s="26" t="str">
        <x:v>frame:</x:v>
      </x:c>
      <x:c r="C88" s="26" t="str"/>
      <x:c r="D88" s="26" t="str">
        <x:v>Printing</x:v>
      </x:c>
      <x:c r="E88" s="26" t="str">
        <x:v>frame era/effect</x:v>
      </x:c>
      <x:c r="F88" s="26" t="str">
        <x:v>No</x:v>
      </x:c>
      <x:c r="G88" s="26" t="str">
        <x:v>1997 frame / tombstone</x:v>
      </x:c>
      <x:c r="H88" s="26" t="str">
        <x:v>frame:1997</x:v>
      </x:c>
      <x:c r="I88" s="26" t="str">
        <x:v>Frame edition/effect.</x:v>
      </x:c>
      <x:c r="J88" s="26" t="str">
        <x:v>https://scryfall.com/docs/syntax</x:v>
      </x:c>
      <x:c r="K88" s="26" t="str">
        <x:v>Production-ready</x:v>
      </x:c>
    </x:row>
    <x:row r="89">
      <x:c r="A89" s="26" t="str">
        <x:v>Frames</x:v>
      </x:c>
      <x:c r="B89" s="26" t="str">
        <x:v>new:frame</x:v>
      </x:c>
      <x:c r="C89" s="26" t="str"/>
      <x:c r="D89" s="26" t="str">
        <x:v>Printing</x:v>
      </x:c>
      <x:c r="E89" s="26" t="str">
        <x:v>boolean</x:v>
      </x:c>
      <x:c r="F89" s="26" t="str">
        <x:v>No</x:v>
      </x:c>
      <x:c r="G89" s="26" t="str">
        <x:v>first time in frame</x:v>
      </x:c>
      <x:c r="H89" s="26" t="str">
        <x:v>new:frame</x:v>
      </x:c>
      <x:c r="I89" s="26" t="str">
        <x:v>New frame for card.</x:v>
      </x:c>
      <x:c r="J89" s="26" t="str">
        <x:v>https://scryfall.com/docs/syntax</x:v>
      </x:c>
      <x:c r="K89" s="26" t="str">
        <x:v>Production-ready</x:v>
      </x:c>
    </x:row>
    <x:row r="90">
      <x:c r="A90" s="26" t="str">
        <x:v>Frames</x:v>
      </x:c>
      <x:c r="B90" s="26" t="str">
        <x:v>is:full</x:v>
      </x:c>
      <x:c r="C90" s="26" t="str"/>
      <x:c r="D90" s="26" t="str">
        <x:v>Printing</x:v>
      </x:c>
      <x:c r="E90" s="26" t="str">
        <x:v>boolean</x:v>
      </x:c>
      <x:c r="F90" s="26" t="str">
        <x:v>No</x:v>
      </x:c>
      <x:c r="G90" s="26" t="str">
        <x:v>full art</x:v>
      </x:c>
      <x:c r="H90" s="26" t="str">
        <x:v>is:full</x:v>
      </x:c>
      <x:c r="I90" s="26" t="str">
        <x:v>Full-art printing.</x:v>
      </x:c>
      <x:c r="J90" s="26" t="str">
        <x:v>https://scryfall.com/docs/syntax</x:v>
      </x:c>
      <x:c r="K90" s="26" t="str">
        <x:v>Production-ready</x:v>
      </x:c>
    </x:row>
    <x:row r="91">
      <x:c r="A91" s="26" t="str">
        <x:v>Frames</x:v>
      </x:c>
      <x:c r="B91" s="26" t="str">
        <x:v>is:foil</x:v>
      </x:c>
      <x:c r="C91" s="26" t="str"/>
      <x:c r="D91" s="26" t="str">
        <x:v>Printing</x:v>
      </x:c>
      <x:c r="E91" s="26" t="str">
        <x:v>boolean</x:v>
      </x:c>
      <x:c r="F91" s="26" t="str">
        <x:v>No</x:v>
      </x:c>
      <x:c r="G91" s="26" t="str">
        <x:v>available foil</x:v>
      </x:c>
      <x:c r="H91" s="26" t="str">
        <x:v>is:foil</x:v>
      </x:c>
      <x:c r="I91" s="26" t="str">
        <x:v>Foil availability.</x:v>
      </x:c>
      <x:c r="J91" s="26" t="str">
        <x:v>https://scryfall.com/docs/syntax</x:v>
      </x:c>
      <x:c r="K91" s="26" t="str">
        <x:v>Production-ready</x:v>
      </x:c>
    </x:row>
    <x:row r="92">
      <x:c r="A92" s="26" t="str">
        <x:v>Frames</x:v>
      </x:c>
      <x:c r="B92" s="26" t="str">
        <x:v>is:nonfoil</x:v>
      </x:c>
      <x:c r="C92" s="26" t="str"/>
      <x:c r="D92" s="26" t="str">
        <x:v>Printing</x:v>
      </x:c>
      <x:c r="E92" s="26" t="str">
        <x:v>boolean</x:v>
      </x:c>
      <x:c r="F92" s="26" t="str">
        <x:v>No</x:v>
      </x:c>
      <x:c r="G92" s="26" t="str">
        <x:v>available nonfoil</x:v>
      </x:c>
      <x:c r="H92" s="26" t="str">
        <x:v>is:nonfoil</x:v>
      </x:c>
      <x:c r="I92" s="26" t="str">
        <x:v>Nonfoil availability.</x:v>
      </x:c>
      <x:c r="J92" s="26" t="str">
        <x:v>https://scryfall.com/docs/syntax</x:v>
      </x:c>
      <x:c r="K92" s="26" t="str">
        <x:v>Production-ready</x:v>
      </x:c>
    </x:row>
    <x:row r="93">
      <x:c r="A93" s="26" t="str">
        <x:v>Frames</x:v>
      </x:c>
      <x:c r="B93" s="26" t="str">
        <x:v>is:etched</x:v>
      </x:c>
      <x:c r="C93" s="26" t="str"/>
      <x:c r="D93" s="26" t="str">
        <x:v>Printing</x:v>
      </x:c>
      <x:c r="E93" s="26" t="str">
        <x:v>boolean</x:v>
      </x:c>
      <x:c r="F93" s="26" t="str">
        <x:v>No</x:v>
      </x:c>
      <x:c r="G93" s="26" t="str">
        <x:v>etched foil</x:v>
      </x:c>
      <x:c r="H93" s="26" t="str">
        <x:v>is:etched</x:v>
      </x:c>
      <x:c r="I93" s="26" t="str">
        <x:v>Etched finish.</x:v>
      </x:c>
      <x:c r="J93" s="26" t="str">
        <x:v>https://scryfall.com/docs/syntax</x:v>
      </x:c>
      <x:c r="K93" s="26" t="str">
        <x:v>Production-ready</x:v>
      </x:c>
    </x:row>
    <x:row r="94">
      <x:c r="A94" s="26" t="str">
        <x:v>Frames</x:v>
      </x:c>
      <x:c r="B94" s="26" t="str">
        <x:v>is:glossy</x:v>
      </x:c>
      <x:c r="C94" s="26" t="str"/>
      <x:c r="D94" s="26" t="str">
        <x:v>Printing</x:v>
      </x:c>
      <x:c r="E94" s="26" t="str">
        <x:v>boolean</x:v>
      </x:c>
      <x:c r="F94" s="26" t="str">
        <x:v>No</x:v>
      </x:c>
      <x:c r="G94" s="26" t="str">
        <x:v>glossy finish</x:v>
      </x:c>
      <x:c r="H94" s="26" t="str">
        <x:v>is:glossy</x:v>
      </x:c>
      <x:c r="I94" s="26" t="str">
        <x:v>Glossy finish.</x:v>
      </x:c>
      <x:c r="J94" s="26" t="str">
        <x:v>https://scryfall.com/docs/syntax</x:v>
      </x:c>
      <x:c r="K94" s="26" t="str">
        <x:v>Production-ready</x:v>
      </x:c>
    </x:row>
    <x:row r="95">
      <x:c r="A95" s="26" t="str">
        <x:v>Frames</x:v>
      </x:c>
      <x:c r="B95" s="26" t="str">
        <x:v>is:hires</x:v>
      </x:c>
      <x:c r="C95" s="26" t="str"/>
      <x:c r="D95" s="26" t="str">
        <x:v>Printing</x:v>
      </x:c>
      <x:c r="E95" s="26" t="str">
        <x:v>boolean</x:v>
      </x:c>
      <x:c r="F95" s="26" t="str">
        <x:v>No</x:v>
      </x:c>
      <x:c r="G95" s="26" t="str">
        <x:v>high-resolution image</x:v>
      </x:c>
      <x:c r="H95" s="26" t="str">
        <x:v>is:hires</x:v>
      </x:c>
      <x:c r="I95" s="26" t="str">
        <x:v>High-resolution image available.</x:v>
      </x:c>
      <x:c r="J95" s="26" t="str">
        <x:v>https://scryfall.com/docs/syntax</x:v>
      </x:c>
      <x:c r="K95" s="26" t="str">
        <x:v>Production-ready</x:v>
      </x:c>
    </x:row>
    <x:row r="96">
      <x:c r="A96" s="26" t="str">
        <x:v>Frames</x:v>
      </x:c>
      <x:c r="B96" s="26" t="str">
        <x:v>stamp:</x:v>
      </x:c>
      <x:c r="C96" s="26" t="str"/>
      <x:c r="D96" s="26" t="str">
        <x:v>Printing</x:v>
      </x:c>
      <x:c r="E96" s="26" t="str">
        <x:v>stamp type</x:v>
      </x:c>
      <x:c r="F96" s="26" t="str">
        <x:v>No</x:v>
      </x:c>
      <x:c r="G96" s="26" t="str">
        <x:v>oval/acorn stamp</x:v>
      </x:c>
      <x:c r="H96" s="26" t="str">
        <x:v>stamp:oval</x:v>
      </x:c>
      <x:c r="I96" s="26" t="str">
        <x:v>Security stamp.</x:v>
      </x:c>
      <x:c r="J96" s="26" t="str">
        <x:v>https://scryfall.com/docs/syntax</x:v>
      </x:c>
      <x:c r="K96" s="26" t="str">
        <x:v>Production-ready</x:v>
      </x:c>
    </x:row>
    <x:row r="97">
      <x:c r="A97" s="26" t="str">
        <x:v>Frames</x:v>
      </x:c>
      <x:c r="B97" s="26" t="str">
        <x:v>is:universesbeyond</x:v>
      </x:c>
      <x:c r="C97" s="26" t="str"/>
      <x:c r="D97" s="26" t="str">
        <x:v>Printing/Card</x:v>
      </x:c>
      <x:c r="E97" s="26" t="str">
        <x:v>boolean</x:v>
      </x:c>
      <x:c r="F97" s="26" t="str">
        <x:v>No</x:v>
      </x:c>
      <x:c r="G97" s="26" t="str">
        <x:v>Universes Beyond</x:v>
      </x:c>
      <x:c r="H97" s="26" t="str">
        <x:v>is:universesbeyond</x:v>
      </x:c>
      <x:c r="I97" s="26" t="str">
        <x:v>Universes Beyond.</x:v>
      </x:c>
      <x:c r="J97" s="26" t="str">
        <x:v>https://scryfall.com/docs/syntax</x:v>
      </x:c>
      <x:c r="K97" s="26" t="str">
        <x:v>Production-ready</x:v>
      </x:c>
    </x:row>
    <x:row r="98">
      <x:c r="A98" s="26" t="str">
        <x:v>Frames</x:v>
      </x:c>
      <x:c r="B98" s="26" t="str">
        <x:v>not:universesbeyond</x:v>
      </x:c>
      <x:c r="C98" s="26" t="str"/>
      <x:c r="D98" s="26" t="str">
        <x:v>Printing/Card</x:v>
      </x:c>
      <x:c r="E98" s="26" t="str">
        <x:v>boolean</x:v>
      </x:c>
      <x:c r="F98" s="26" t="str">
        <x:v>No</x:v>
      </x:c>
      <x:c r="G98" s="26" t="str">
        <x:v>exclude Universes Beyond</x:v>
      </x:c>
      <x:c r="H98" s="26" t="str">
        <x:v>not:universesbeyond</x:v>
      </x:c>
      <x:c r="I98" s="26" t="str">
        <x:v>Exclude Universes Beyond.</x:v>
      </x:c>
      <x:c r="J98" s="26" t="str">
        <x:v>https://scryfall.com/docs/syntax</x:v>
      </x:c>
      <x:c r="K98" s="26" t="str">
        <x:v>Production-ready</x:v>
      </x:c>
    </x:row>
    <x:row r="99">
      <x:c r="A99" s="26" t="str">
        <x:v>Frames</x:v>
      </x:c>
      <x:c r="B99" s="26" t="str">
        <x:v>is:default</x:v>
      </x:c>
      <x:c r="C99" s="26" t="str"/>
      <x:c r="D99" s="26" t="str">
        <x:v>Printing</x:v>
      </x:c>
      <x:c r="E99" s="26" t="str">
        <x:v>boolean</x:v>
      </x:c>
      <x:c r="F99" s="26" t="str">
        <x:v>No</x:v>
      </x:c>
      <x:c r="G99" s="26" t="str">
        <x:v>default Magic frame</x:v>
      </x:c>
      <x:c r="H99" s="26" t="str">
        <x:v>is:default</x:v>
      </x:c>
      <x:c r="I99" s="26" t="str">
        <x:v>Default frame treatment.</x:v>
      </x:c>
      <x:c r="J99" s="26" t="str">
        <x:v>https://scryfall.com/docs/syntax</x:v>
      </x:c>
      <x:c r="K99" s="26" t="str">
        <x:v>Production-ready</x:v>
      </x:c>
    </x:row>
    <x:row r="100">
      <x:c r="A100" s="26" t="str">
        <x:v>Frames</x:v>
      </x:c>
      <x:c r="B100" s="26" t="str">
        <x:v>is:atypical</x:v>
      </x:c>
      <x:c r="C100" s="26" t="str"/>
      <x:c r="D100" s="26" t="str">
        <x:v>Printing</x:v>
      </x:c>
      <x:c r="E100" s="26" t="str">
        <x:v>boolean</x:v>
      </x:c>
      <x:c r="F100" s="26" t="str">
        <x:v>No</x:v>
      </x:c>
      <x:c r="G100" s="26" t="str">
        <x:v>special/atypical frame</x:v>
      </x:c>
      <x:c r="H100" s="26" t="str">
        <x:v>is:atypical</x:v>
      </x:c>
      <x:c r="I100" s="26" t="str">
        <x:v>Atypical frame treatment.</x:v>
      </x:c>
      <x:c r="J100" s="26" t="str">
        <x:v>https://scryfall.com/docs/syntax</x:v>
      </x:c>
      <x:c r="K100" s="26" t="str">
        <x:v>Production-ready</x:v>
      </x:c>
    </x:row>
    <x:row r="101">
      <x:c r="A101" s="26" t="str">
        <x:v>Games</x:v>
      </x:c>
      <x:c r="B101" s="26" t="str">
        <x:v>game:</x:v>
      </x:c>
      <x:c r="C101" s="26" t="str"/>
      <x:c r="D101" s="26" t="str">
        <x:v>Printing</x:v>
      </x:c>
      <x:c r="E101" s="26" t="str">
        <x:v>paper/mtgo/arena</x:v>
      </x:c>
      <x:c r="F101" s="26" t="str">
        <x:v>No</x:v>
      </x:c>
      <x:c r="G101" s="26" t="str">
        <x:v>paper cards</x:v>
      </x:c>
      <x:c r="H101" s="26" t="str">
        <x:v>game:paper</x:v>
      </x:c>
      <x:c r="I101" s="26" t="str">
        <x:v>Available in specific game environment.</x:v>
      </x:c>
      <x:c r="J101" s="26" t="str">
        <x:v>https://scryfall.com/docs/syntax</x:v>
      </x:c>
      <x:c r="K101" s="26" t="str">
        <x:v>Production-ready</x:v>
      </x:c>
    </x:row>
    <x:row r="102">
      <x:c r="A102" s="26" t="str">
        <x:v>Games</x:v>
      </x:c>
      <x:c r="B102" s="26" t="str">
        <x:v>in:[game]</x:v>
      </x:c>
      <x:c r="C102" s="26" t="str"/>
      <x:c r="D102" s="26" t="str">
        <x:v>Card history</x:v>
      </x:c>
      <x:c r="E102" s="26" t="str">
        <x:v>paper/mtgo/arena</x:v>
      </x:c>
      <x:c r="F102" s="26" t="str">
        <x:v>No</x:v>
      </x:c>
      <x:c r="G102" s="26" t="str">
        <x:v>ever available on Arena</x:v>
      </x:c>
      <x:c r="H102" s="26" t="str">
        <x:v>in:arena</x:v>
      </x:c>
      <x:c r="I102" s="26" t="str">
        <x:v>Historical game availability.</x:v>
      </x:c>
      <x:c r="J102" s="26" t="str">
        <x:v>https://scryfall.com/docs/syntax</x:v>
      </x:c>
      <x:c r="K102" s="26" t="str">
        <x:v>Production-ready</x:v>
      </x:c>
    </x:row>
    <x:row r="103">
      <x:c r="A103" s="26" t="str">
        <x:v>Games</x:v>
      </x:c>
      <x:c r="B103" s="26" t="str">
        <x:v>is:digital</x:v>
      </x:c>
      <x:c r="C103" s="26" t="str"/>
      <x:c r="D103" s="26" t="str">
        <x:v>Printing/Card</x:v>
      </x:c>
      <x:c r="E103" s="26" t="str">
        <x:v>boolean</x:v>
      </x:c>
      <x:c r="F103" s="26" t="str">
        <x:v>No</x:v>
      </x:c>
      <x:c r="G103" s="26" t="str">
        <x:v>digital only</x:v>
      </x:c>
      <x:c r="H103" s="26" t="str">
        <x:v>is:digital</x:v>
      </x:c>
      <x:c r="I103" s="26" t="str">
        <x:v>Digital-only records.</x:v>
      </x:c>
      <x:c r="J103" s="26" t="str">
        <x:v>https://scryfall.com/docs/syntax</x:v>
      </x:c>
      <x:c r="K103" s="26" t="str">
        <x:v>Production-ready</x:v>
      </x:c>
    </x:row>
    <x:row r="104">
      <x:c r="A104" s="26" t="str">
        <x:v>Games</x:v>
      </x:c>
      <x:c r="B104" s="26" t="str">
        <x:v>is:alchemy</x:v>
      </x:c>
      <x:c r="C104" s="26" t="str"/>
      <x:c r="D104" s="26" t="str">
        <x:v>Card</x:v>
      </x:c>
      <x:c r="E104" s="26" t="str">
        <x:v>boolean</x:v>
      </x:c>
      <x:c r="F104" s="26" t="str">
        <x:v>No</x:v>
      </x:c>
      <x:c r="G104" s="26" t="str">
        <x:v>Alchemy card</x:v>
      </x:c>
      <x:c r="H104" s="26" t="str">
        <x:v>is:alchemy</x:v>
      </x:c>
      <x:c r="I104" s="26" t="str">
        <x:v>Arena Alchemy cards.</x:v>
      </x:c>
      <x:c r="J104" s="26" t="str">
        <x:v>https://scryfall.com/docs/syntax</x:v>
      </x:c>
      <x:c r="K104" s="26" t="str">
        <x:v>Production-ready</x:v>
      </x:c>
    </x:row>
    <x:row r="105">
      <x:c r="A105" s="26" t="str">
        <x:v>Games</x:v>
      </x:c>
      <x:c r="B105" s="26" t="str">
        <x:v>is:rebalanced</x:v>
      </x:c>
      <x:c r="C105" s="26" t="str"/>
      <x:c r="D105" s="26" t="str">
        <x:v>Card</x:v>
      </x:c>
      <x:c r="E105" s="26" t="str">
        <x:v>boolean</x:v>
      </x:c>
      <x:c r="F105" s="26" t="str">
        <x:v>No</x:v>
      </x:c>
      <x:c r="G105" s="26" t="str">
        <x:v>rebalanced Arena card</x:v>
      </x:c>
      <x:c r="H105" s="26" t="str">
        <x:v>is:rebalanced</x:v>
      </x:c>
      <x:c r="I105" s="26" t="str">
        <x:v>Arena rebalanced cards.</x:v>
      </x:c>
      <x:c r="J105" s="26" t="str">
        <x:v>https://scryfall.com/docs/syntax</x:v>
      </x:c>
      <x:c r="K105" s="26" t="str">
        <x:v>Production-ready</x:v>
      </x:c>
    </x:row>
    <x:row r="106">
      <x:c r="A106" s="26" t="str">
        <x:v>Games</x:v>
      </x:c>
      <x:c r="B106" s="26" t="str">
        <x:v>is:promo</x:v>
      </x:c>
      <x:c r="C106" s="26" t="str"/>
      <x:c r="D106" s="26" t="str">
        <x:v>Printing</x:v>
      </x:c>
      <x:c r="E106" s="26" t="str">
        <x:v>boolean</x:v>
      </x:c>
      <x:c r="F106" s="26" t="str">
        <x:v>No</x:v>
      </x:c>
      <x:c r="G106" s="26" t="str">
        <x:v>promo</x:v>
      </x:c>
      <x:c r="H106" s="26" t="str">
        <x:v>is:promo</x:v>
      </x:c>
      <x:c r="I106" s="26" t="str">
        <x:v>Promotional printing.</x:v>
      </x:c>
      <x:c r="J106" s="26" t="str">
        <x:v>https://scryfall.com/docs/syntax</x:v>
      </x:c>
      <x:c r="K106" s="26" t="str">
        <x:v>Production-ready</x:v>
      </x:c>
    </x:row>
    <x:row r="107">
      <x:c r="A107" s="26" t="str">
        <x:v>Games</x:v>
      </x:c>
      <x:c r="B107" s="26" t="str">
        <x:v>is:spotlight</x:v>
      </x:c>
      <x:c r="C107" s="26" t="str"/>
      <x:c r="D107" s="26" t="str">
        <x:v>Printing</x:v>
      </x:c>
      <x:c r="E107" s="26" t="str">
        <x:v>boolean</x:v>
      </x:c>
      <x:c r="F107" s="26" t="str">
        <x:v>No</x:v>
      </x:c>
      <x:c r="G107" s="26" t="str">
        <x:v>Story Spotlight</x:v>
      </x:c>
      <x:c r="H107" s="26" t="str">
        <x:v>is:spotlight</x:v>
      </x:c>
      <x:c r="I107" s="26" t="str">
        <x:v>Story Spotlight.</x:v>
      </x:c>
      <x:c r="J107" s="26" t="str">
        <x:v>https://scryfall.com/docs/syntax</x:v>
      </x:c>
      <x:c r="K107" s="26" t="str">
        <x:v>Production-ready</x:v>
      </x:c>
    </x:row>
    <x:row r="108">
      <x:c r="A108" s="26" t="str">
        <x:v>Games</x:v>
      </x:c>
      <x:c r="B108" s="26" t="str">
        <x:v>is:scryfallpreview</x:v>
      </x:c>
      <x:c r="C108" s="26" t="str"/>
      <x:c r="D108" s="26" t="str">
        <x:v>Printing</x:v>
      </x:c>
      <x:c r="E108" s="26" t="str">
        <x:v>boolean</x:v>
      </x:c>
      <x:c r="F108" s="26" t="str">
        <x:v>No</x:v>
      </x:c>
      <x:c r="G108" s="26" t="str">
        <x:v>Scryfall preview</x:v>
      </x:c>
      <x:c r="H108" s="26" t="str">
        <x:v>is:scryfallpreview</x:v>
      </x:c>
      <x:c r="I108" s="26" t="str">
        <x:v>Previewed by Scryfall.</x:v>
      </x:c>
      <x:c r="J108" s="26" t="str">
        <x:v>https://scryfall.com/docs/syntax</x:v>
      </x:c>
      <x:c r="K108" s="26" t="str">
        <x:v>Production-ready</x:v>
      </x:c>
    </x:row>
    <x:row r="109">
      <x:c r="A109" s="26" t="str">
        <x:v>Date</x:v>
      </x:c>
      <x:c r="B109" s="26" t="str">
        <x:v>year</x:v>
      </x:c>
      <x:c r="C109" s="26" t="str"/>
      <x:c r="D109" s="26" t="str">
        <x:v>Printing</x:v>
      </x:c>
      <x:c r="E109" s="26" t="str">
        <x:v>year</x:v>
      </x:c>
      <x:c r="F109" s="26" t="str">
        <x:v>= != &lt; &lt;= &gt; &gt;=</x:v>
      </x:c>
      <x:c r="G109" s="26" t="str">
        <x:v>printed in 2026</x:v>
      </x:c>
      <x:c r="H109" s="26" t="str">
        <x:v>year=2026</x:v>
      </x:c>
      <x:c r="I109" s="26" t="str">
        <x:v>Release year.</x:v>
      </x:c>
      <x:c r="J109" s="26" t="str">
        <x:v>https://scryfall.com/docs/syntax</x:v>
      </x:c>
      <x:c r="K109" s="26" t="str">
        <x:v>Production-ready</x:v>
      </x:c>
    </x:row>
    <x:row r="110">
      <x:c r="A110" s="26" t="str">
        <x:v>Date</x:v>
      </x:c>
      <x:c r="B110" s="26" t="str">
        <x:v>date</x:v>
      </x:c>
      <x:c r="C110" s="26" t="str"/>
      <x:c r="D110" s="26" t="str">
        <x:v>Printing</x:v>
      </x:c>
      <x:c r="E110" s="26" t="str">
        <x:v>YYYY-MM-DD / set code / now</x:v>
      </x:c>
      <x:c r="F110" s="26" t="str">
        <x:v>= != &lt; &lt;= &gt; &gt;=</x:v>
      </x:c>
      <x:c r="G110" s="26" t="str">
        <x:v>after Bloomburrow</x:v>
      </x:c>
      <x:c r="H110" s="26" t="str">
        <x:v>date&gt;blb</x:v>
      </x:c>
      <x:c r="I110" s="26" t="str">
        <x:v>Release date; set code may stand for release date.</x:v>
      </x:c>
      <x:c r="J110" s="26" t="str">
        <x:v>https://scryfall.com/docs/syntax</x:v>
      </x:c>
      <x:c r="K110" s="26" t="str">
        <x:v>Production-ready</x:v>
      </x:c>
    </x:row>
    <x:row r="111">
      <x:c r="A111" s="26" t="str">
        <x:v>Tagger</x:v>
      </x:c>
      <x:c r="B111" s="26" t="str">
        <x:v>art:</x:v>
      </x:c>
      <x:c r="C111" s="26" t="str">
        <x:v>atag: | arttag:</x:v>
      </x:c>
      <x:c r="D111" s="26" t="str">
        <x:v>Printing art</x:v>
      </x:c>
      <x:c r="E111" s="26" t="str">
        <x:v>Tagger art tag</x:v>
      </x:c>
      <x:c r="F111" s="26" t="str">
        <x:v>No</x:v>
      </x:c>
      <x:c r="G111" s="26" t="str">
        <x:v>art contains squirrel</x:v>
      </x:c>
      <x:c r="H111" s="26" t="str">
        <x:v>art:squirrel</x:v>
      </x:c>
      <x:c r="I111" s="26" t="str">
        <x:v>Scryfall Tagger artwork tag.</x:v>
      </x:c>
      <x:c r="J111" s="26" t="str">
        <x:v>https://scryfall.com/docs/tagger-tags</x:v>
      </x:c>
      <x:c r="K111" s="26" t="str">
        <x:v>Tag-dependent</x:v>
      </x:c>
    </x:row>
    <x:row r="112">
      <x:c r="A112" s="26" t="str">
        <x:v>Tagger</x:v>
      </x:c>
      <x:c r="B112" s="26" t="str">
        <x:v>function:</x:v>
      </x:c>
      <x:c r="C112" s="26" t="str">
        <x:v>otag: | oracletag:</x:v>
      </x:c>
      <x:c r="D112" s="26" t="str">
        <x:v>Card function</x:v>
      </x:c>
      <x:c r="E112" s="26" t="str">
        <x:v>Tagger Oracle tag</x:v>
      </x:c>
      <x:c r="F112" s="26" t="str">
        <x:v>No</x:v>
      </x:c>
      <x:c r="G112" s="26" t="str">
        <x:v>ramp/removal/card advantage</x:v>
      </x:c>
      <x:c r="H112" s="26" t="str">
        <x:v>otag:ramp</x:v>
      </x:c>
      <x:c r="I112" s="26" t="str">
        <x:v>Scryfall Tagger functional tag.</x:v>
      </x:c>
      <x:c r="J112" s="26" t="str">
        <x:v>https://scryfall.com/docs/tagger-tags</x:v>
      </x:c>
      <x:c r="K112" s="26" t="str">
        <x:v>Tag-dependent</x:v>
      </x:c>
    </x:row>
    <x:row r="113">
      <x:c r="A113" s="26" t="str">
        <x:v>Reprints</x:v>
      </x:c>
      <x:c r="B113" s="26" t="str">
        <x:v>is:reprint</x:v>
      </x:c>
      <x:c r="C113" s="26" t="str"/>
      <x:c r="D113" s="26" t="str">
        <x:v>Printing</x:v>
      </x:c>
      <x:c r="E113" s="26" t="str">
        <x:v>boolean</x:v>
      </x:c>
      <x:c r="F113" s="26" t="str">
        <x:v>No</x:v>
      </x:c>
      <x:c r="G113" s="26" t="str">
        <x:v>reprint</x:v>
      </x:c>
      <x:c r="H113" s="26" t="str">
        <x:v>is:reprint</x:v>
      </x:c>
      <x:c r="I113" s="26" t="str">
        <x:v>Card was not new in this set.</x:v>
      </x:c>
      <x:c r="J113" s="26" t="str">
        <x:v>https://scryfall.com/docs/syntax</x:v>
      </x:c>
      <x:c r="K113" s="26" t="str">
        <x:v>Production-ready</x:v>
      </x:c>
    </x:row>
    <x:row r="114">
      <x:c r="A114" s="26" t="str">
        <x:v>Reprints</x:v>
      </x:c>
      <x:c r="B114" s="26" t="str">
        <x:v>not:reprint</x:v>
      </x:c>
      <x:c r="C114" s="26" t="str"/>
      <x:c r="D114" s="26" t="str">
        <x:v>Printing</x:v>
      </x:c>
      <x:c r="E114" s="26" t="str">
        <x:v>boolean</x:v>
      </x:c>
      <x:c r="F114" s="26" t="str">
        <x:v>No</x:v>
      </x:c>
      <x:c r="G114" s="26" t="str">
        <x:v>new card / not a reprint</x:v>
      </x:c>
      <x:c r="H114" s="26" t="str">
        <x:v>not:reprint</x:v>
      </x:c>
      <x:c r="I114" s="26" t="str">
        <x:v>Card was new in its set.</x:v>
      </x:c>
      <x:c r="J114" s="26" t="str">
        <x:v>https://scryfall.com/docs/syntax</x:v>
      </x:c>
      <x:c r="K114" s="26" t="str">
        <x:v>Production-ready</x:v>
      </x:c>
    </x:row>
    <x:row r="115">
      <x:c r="A115" s="26" t="str">
        <x:v>Reprints</x:v>
      </x:c>
      <x:c r="B115" s="26" t="str">
        <x:v>is:unique</x:v>
      </x:c>
      <x:c r="C115" s="26" t="str"/>
      <x:c r="D115" s="26" t="str">
        <x:v>Card</x:v>
      </x:c>
      <x:c r="E115" s="26" t="str">
        <x:v>boolean</x:v>
      </x:c>
      <x:c r="F115" s="26" t="str">
        <x:v>No</x:v>
      </x:c>
      <x:c r="G115" s="26" t="str">
        <x:v>printed in only one set</x:v>
      </x:c>
      <x:c r="H115" s="26" t="str">
        <x:v>is:unique</x:v>
      </x:c>
      <x:c r="I115" s="26" t="str">
        <x:v>Only one set membership.</x:v>
      </x:c>
      <x:c r="J115" s="26" t="str">
        <x:v>https://scryfall.com/docs/syntax</x:v>
      </x:c>
      <x:c r="K115" s="26" t="str">
        <x:v>Production-ready</x:v>
      </x:c>
    </x:row>
    <x:row r="116">
      <x:c r="A116" s="26" t="str">
        <x:v>Reprints</x:v>
      </x:c>
      <x:c r="B116" s="26" t="str">
        <x:v>prints</x:v>
      </x:c>
      <x:c r="C116" s="26" t="str"/>
      <x:c r="D116" s="26" t="str">
        <x:v>Card history</x:v>
      </x:c>
      <x:c r="E116" s="26" t="str">
        <x:v>number</x:v>
      </x:c>
      <x:c r="F116" s="26" t="str">
        <x:v>= != &lt; &lt;= &gt; &gt;=</x:v>
      </x:c>
      <x:c r="G116" s="26" t="str">
        <x:v>printed N times</x:v>
      </x:c>
      <x:c r="H116" s="26" t="str">
        <x:v>prints&gt;=10</x:v>
      </x:c>
      <x:c r="I116" s="26" t="str">
        <x:v>Number of printings.</x:v>
      </x:c>
      <x:c r="J116" s="26" t="str">
        <x:v>https://scryfall.com/docs/syntax</x:v>
      </x:c>
      <x:c r="K116" s="26" t="str">
        <x:v>Production-ready</x:v>
      </x:c>
    </x:row>
    <x:row r="117">
      <x:c r="A117" s="26" t="str">
        <x:v>Reprints</x:v>
      </x:c>
      <x:c r="B117" s="26" t="str">
        <x:v>sets</x:v>
      </x:c>
      <x:c r="C117" s="26" t="str"/>
      <x:c r="D117" s="26" t="str">
        <x:v>Card history</x:v>
      </x:c>
      <x:c r="E117" s="26" t="str">
        <x:v>number</x:v>
      </x:c>
      <x:c r="F117" s="26" t="str">
        <x:v>= != &lt; &lt;= &gt; &gt;=</x:v>
      </x:c>
      <x:c r="G117" s="26" t="str">
        <x:v>in N sets</x:v>
      </x:c>
      <x:c r="H117" s="26" t="str">
        <x:v>sets&gt;=20</x:v>
      </x:c>
      <x:c r="I117" s="26" t="str">
        <x:v>Distinct set count.</x:v>
      </x:c>
      <x:c r="J117" s="26" t="str">
        <x:v>https://scryfall.com/docs/syntax</x:v>
      </x:c>
      <x:c r="K117" s="26" t="str">
        <x:v>Production-ready</x:v>
      </x:c>
    </x:row>
    <x:row r="118">
      <x:c r="A118" s="26" t="str">
        <x:v>Reprints</x:v>
      </x:c>
      <x:c r="B118" s="26" t="str">
        <x:v>paperprints</x:v>
      </x:c>
      <x:c r="C118" s="26" t="str"/>
      <x:c r="D118" s="26" t="str">
        <x:v>Card history</x:v>
      </x:c>
      <x:c r="E118" s="26" t="str">
        <x:v>number</x:v>
      </x:c>
      <x:c r="F118" s="26" t="str">
        <x:v>= != &lt; &lt;= &gt; &gt;=</x:v>
      </x:c>
      <x:c r="G118" s="26" t="str">
        <x:v>paper printings count</x:v>
      </x:c>
      <x:c r="H118" s="26" t="str">
        <x:v>paperprints=1</x:v>
      </x:c>
      <x:c r="I118" s="26" t="str">
        <x:v>Paper-only printing count.</x:v>
      </x:c>
      <x:c r="J118" s="26" t="str">
        <x:v>https://scryfall.com/docs/syntax</x:v>
      </x:c>
      <x:c r="K118" s="26" t="str">
        <x:v>Production-ready</x:v>
      </x:c>
    </x:row>
    <x:row r="119">
      <x:c r="A119" s="26" t="str">
        <x:v>Reprints</x:v>
      </x:c>
      <x:c r="B119" s="26" t="str">
        <x:v>papersets</x:v>
      </x:c>
      <x:c r="C119" s="26" t="str"/>
      <x:c r="D119" s="26" t="str">
        <x:v>Card history</x:v>
      </x:c>
      <x:c r="E119" s="26" t="str">
        <x:v>number</x:v>
      </x:c>
      <x:c r="F119" s="26" t="str">
        <x:v>= != &lt; &lt;= &gt; &gt;=</x:v>
      </x:c>
      <x:c r="G119" s="26" t="str">
        <x:v>paper set count</x:v>
      </x:c>
      <x:c r="H119" s="26" t="str">
        <x:v>papersets=1</x:v>
      </x:c>
      <x:c r="I119" s="26" t="str">
        <x:v>Paper-only set count.</x:v>
      </x:c>
      <x:c r="J119" s="26" t="str">
        <x:v>https://scryfall.com/docs/syntax</x:v>
      </x:c>
      <x:c r="K119" s="26" t="str">
        <x:v>Production-ready</x:v>
      </x:c>
    </x:row>
    <x:row r="120">
      <x:c r="A120" s="26" t="str">
        <x:v>Language</x:v>
      </x:c>
      <x:c r="B120" s="26" t="str">
        <x:v>lang:</x:v>
      </x:c>
      <x:c r="C120" s="26" t="str">
        <x:v>language:</x:v>
      </x:c>
      <x:c r="D120" s="26" t="str">
        <x:v>Printing</x:v>
      </x:c>
      <x:c r="E120" s="26" t="str">
        <x:v>language code/name</x:v>
      </x:c>
      <x:c r="F120" s="26" t="str">
        <x:v>No</x:v>
      </x:c>
      <x:c r="G120" s="26" t="str">
        <x:v>Japanese cards</x:v>
      </x:c>
      <x:c r="H120" s="26" t="str">
        <x:v>lang:japanese</x:v>
      </x:c>
      <x:c r="I120" s="26" t="str">
        <x:v>Printing language.</x:v>
      </x:c>
      <x:c r="J120" s="26" t="str">
        <x:v>https://scryfall.com/docs/syntax</x:v>
      </x:c>
      <x:c r="K120" s="26" t="str">
        <x:v>Production-ready</x:v>
      </x:c>
    </x:row>
    <x:row r="121">
      <x:c r="A121" s="26" t="str">
        <x:v>Language</x:v>
      </x:c>
      <x:c r="B121" s="26" t="str">
        <x:v>lang:any</x:v>
      </x:c>
      <x:c r="C121" s="26" t="str"/>
      <x:c r="D121" s="26" t="str">
        <x:v>Printing</x:v>
      </x:c>
      <x:c r="E121" s="26" t="str">
        <x:v>boolean</x:v>
      </x:c>
      <x:c r="F121" s="26" t="str">
        <x:v>No</x:v>
      </x:c>
      <x:c r="G121" s="26" t="str">
        <x:v>any language</x:v>
      </x:c>
      <x:c r="H121" s="26" t="str">
        <x:v>lang:any</x:v>
      </x:c>
      <x:c r="I121" s="26" t="str">
        <x:v>Widen search to any language.</x:v>
      </x:c>
      <x:c r="J121" s="26" t="str">
        <x:v>https://scryfall.com/docs/syntax</x:v>
      </x:c>
      <x:c r="K121" s="26" t="str">
        <x:v>Production-ready</x:v>
      </x:c>
    </x:row>
    <x:row r="122">
      <x:c r="A122" s="26" t="str">
        <x:v>Language</x:v>
      </x:c>
      <x:c r="B122" s="26" t="str">
        <x:v>new:language</x:v>
      </x:c>
      <x:c r="C122" s="26" t="str"/>
      <x:c r="D122" s="26" t="str">
        <x:v>Printing</x:v>
      </x:c>
      <x:c r="E122" s="26" t="str">
        <x:v>boolean</x:v>
      </x:c>
      <x:c r="F122" s="26" t="str">
        <x:v>No</x:v>
      </x:c>
      <x:c r="G122" s="26" t="str">
        <x:v>first printing in language</x:v>
      </x:c>
      <x:c r="H122" s="26" t="str">
        <x:v>new:language</x:v>
      </x:c>
      <x:c r="I122" s="26" t="str">
        <x:v>First printing of card in language.</x:v>
      </x:c>
      <x:c r="J122" s="26" t="str">
        <x:v>https://scryfall.com/docs/syntax</x:v>
      </x:c>
      <x:c r="K122" s="26" t="str">
        <x:v>Production-ready</x:v>
      </x:c>
    </x:row>
    <x:row r="123">
      <x:c r="A123" s="26" t="str">
        <x:v>Language</x:v>
      </x:c>
      <x:c r="B123" s="26" t="str">
        <x:v>in:[language]</x:v>
      </x:c>
      <x:c r="C123" s="26" t="str"/>
      <x:c r="D123" s="26" t="str">
        <x:v>Card history</x:v>
      </x:c>
      <x:c r="E123" s="26" t="str">
        <x:v>language code</x:v>
      </x:c>
      <x:c r="F123" s="26" t="str">
        <x:v>No</x:v>
      </x:c>
      <x:c r="G123" s="26" t="str">
        <x:v>ever printed in Russian</x:v>
      </x:c>
      <x:c r="H123" s="26" t="str">
        <x:v>in:ru</x:v>
      </x:c>
      <x:c r="I123" s="26" t="str">
        <x:v>Historical language availability.</x:v>
      </x:c>
      <x:c r="J123" s="26" t="str">
        <x:v>https://scryfall.com/docs/syntax</x:v>
      </x:c>
      <x:c r="K123" s="26" t="str">
        <x:v>Production-ready</x:v>
      </x:c>
    </x:row>
    <x:row r="124">
      <x:c r="A124" s="26" t="str">
        <x:v>Boolean</x:v>
      </x:c>
      <x:c r="B124" s="26" t="str">
        <x:v>-</x:v>
      </x:c>
      <x:c r="C124" s="26" t="str"/>
      <x:c r="D124" s="26" t="str">
        <x:v>Any condition</x:v>
      </x:c>
      <x:c r="E124" s="26" t="str">
        <x:v>condition</x:v>
      </x:c>
      <x:c r="F124" s="26" t="str">
        <x:v>No</x:v>
      </x:c>
      <x:c r="G124" s="26" t="str">
        <x:v>not / exclude</x:v>
      </x:c>
      <x:c r="H124" s="26" t="str">
        <x:v>-t:human</x:v>
      </x:c>
      <x:c r="I124" s="26" t="str">
        <x:v>Negates most search conditions.</x:v>
      </x:c>
      <x:c r="J124" s="26" t="str">
        <x:v>https://scryfall.com/docs/syntax</x:v>
      </x:c>
      <x:c r="K124" s="26" t="str">
        <x:v>Production-ready</x:v>
      </x:c>
    </x:row>
    <x:row r="125">
      <x:c r="A125" s="26" t="str">
        <x:v>Boolean</x:v>
      </x:c>
      <x:c r="B125" s="26" t="str">
        <x:v>not:</x:v>
      </x:c>
      <x:c r="C125" s="26" t="str">
        <x:v>inverse of is:</x:v>
      </x:c>
      <x:c r="D125" s="26" t="str">
        <x:v>Card/Printing</x:v>
      </x:c>
      <x:c r="E125" s="26" t="str">
        <x:v>is-property</x:v>
      </x:c>
      <x:c r="F125" s="26" t="str">
        <x:v>No</x:v>
      </x:c>
      <x:c r="G125" s="26" t="str">
        <x:v>not reprint</x:v>
      </x:c>
      <x:c r="H125" s="26" t="str">
        <x:v>not:reprint</x:v>
      </x:c>
      <x:c r="I125" s="26" t="str">
        <x:v>Readable inverse of is:.</x:v>
      </x:c>
      <x:c r="J125" s="26" t="str">
        <x:v>https://scryfall.com/docs/syntax</x:v>
      </x:c>
      <x:c r="K125" s="26" t="str">
        <x:v>Production-ready</x:v>
      </x:c>
    </x:row>
    <x:row r="126">
      <x:c r="A126" s="26" t="str">
        <x:v>Boolean</x:v>
      </x:c>
      <x:c r="B126" s="26" t="str">
        <x:v>OR</x:v>
      </x:c>
      <x:c r="C126" s="26" t="str">
        <x:v>or</x:v>
      </x:c>
      <x:c r="D126" s="26" t="str">
        <x:v>Expression</x:v>
      </x:c>
      <x:c r="E126" s="26" t="str">
        <x:v>condition</x:v>
      </x:c>
      <x:c r="F126" s="26" t="str">
        <x:v>No</x:v>
      </x:c>
      <x:c r="G126" s="26" t="str">
        <x:v>either/or</x:v>
      </x:c>
      <x:c r="H126" s="26" t="str">
        <x:v>t:dragon OR t:drake</x:v>
      </x:c>
      <x:c r="I126" s="26" t="str">
        <x:v>Alternative conditions.</x:v>
      </x:c>
      <x:c r="J126" s="26" t="str">
        <x:v>https://scryfall.com/docs/syntax</x:v>
      </x:c>
      <x:c r="K126" s="26" t="str">
        <x:v>Production-ready</x:v>
      </x:c>
    </x:row>
    <x:row r="127">
      <x:c r="A127" s="26" t="str">
        <x:v>Boolean</x:v>
      </x:c>
      <x:c r="B127" s="26" t="str">
        <x:v>(...)</x:v>
      </x:c>
      <x:c r="C127" s="26" t="str"/>
      <x:c r="D127" s="26" t="str">
        <x:v>Expression</x:v>
      </x:c>
      <x:c r="E127" s="26" t="str">
        <x:v>group</x:v>
      </x:c>
      <x:c r="F127" s="26" t="str">
        <x:v>No</x:v>
      </x:c>
      <x:c r="G127" s="26" t="str">
        <x:v>group alternatives</x:v>
      </x:c>
      <x:c r="H127" s="26" t="str">
        <x:v>(t:instant or t:sorcery) o:draw</x:v>
      </x:c>
      <x:c r="I127" s="26" t="str">
        <x:v>Groups logic.</x:v>
      </x:c>
      <x:c r="J127" s="26" t="str">
        <x:v>https://scryfall.com/docs/syntax</x:v>
      </x:c>
      <x:c r="K127" s="26" t="str">
        <x:v>Production-ready</x:v>
      </x:c>
    </x:row>
    <x:row r="128">
      <x:c r="A128" s="26" t="str">
        <x:v>Regex</x:v>
      </x:c>
      <x:c r="B128" s="26" t="str">
        <x:v>field:/.../</x:v>
      </x:c>
      <x:c r="C128" s="26" t="str"/>
      <x:c r="D128" s="26" t="str">
        <x:v>Supported text fields</x:v>
      </x:c>
      <x:c r="E128" s="26" t="str">
        <x:v>regex</x:v>
      </x:c>
      <x:c r="F128" s="26" t="str">
        <x:v>Regex</x:v>
      </x:c>
      <x:c r="G128" s="26" t="str">
        <x:v>pattern in name/text/type/flavor</x:v>
      </x:c>
      <x:c r="H128" s="26" t="str">
        <x:v>o:/counter target.*spell/</x:v>
      </x:c>
      <x:c r="I128" s="26" t="str">
        <x:v>Regex on supported fields.</x:v>
      </x:c>
      <x:c r="J128" s="26" t="str">
        <x:v>https://scryfall.com/docs/regular-expressions</x:v>
      </x:c>
      <x:c r="K128" s="26" t="str">
        <x:v>Production-ready</x:v>
      </x:c>
    </x:row>
    <x:row r="129">
      <x:c r="A129" s="26" t="str">
        <x:v>Results</x:v>
      </x:c>
      <x:c r="B129" s="26" t="str">
        <x:v>unique:cards</x:v>
      </x:c>
      <x:c r="C129" s="26" t="str"/>
      <x:c r="D129" s="26" t="str">
        <x:v>Result</x:v>
      </x:c>
      <x:c r="E129" s="26" t="str">
        <x:v>mode</x:v>
      </x:c>
      <x:c r="F129" s="26" t="str">
        <x:v>No</x:v>
      </x:c>
      <x:c r="G129" s="26" t="str">
        <x:v>one per card</x:v>
      </x:c>
      <x:c r="H129" s="26" t="str">
        <x:v>unique:cards</x:v>
      </x:c>
      <x:c r="I129" s="26" t="str">
        <x:v>Deduplicate by Oracle card.</x:v>
      </x:c>
      <x:c r="J129" s="26" t="str">
        <x:v>https://scryfall.com/docs/syntax</x:v>
      </x:c>
      <x:c r="K129" s="26" t="str">
        <x:v>Production-ready</x:v>
      </x:c>
    </x:row>
    <x:row r="130">
      <x:c r="A130" s="26" t="str">
        <x:v>Results</x:v>
      </x:c>
      <x:c r="B130" s="26" t="str">
        <x:v>unique:prints</x:v>
      </x:c>
      <x:c r="C130" s="26" t="str"/>
      <x:c r="D130" s="26" t="str">
        <x:v>Result</x:v>
      </x:c>
      <x:c r="E130" s="26" t="str">
        <x:v>mode</x:v>
      </x:c>
      <x:c r="F130" s="26" t="str">
        <x:v>No</x:v>
      </x:c>
      <x:c r="G130" s="26" t="str">
        <x:v>every printing</x:v>
      </x:c>
      <x:c r="H130" s="26" t="str">
        <x:v>unique:prints</x:v>
      </x:c>
      <x:c r="I130" s="26" t="str">
        <x:v>Distinct printings.</x:v>
      </x:c>
      <x:c r="J130" s="26" t="str">
        <x:v>https://scryfall.com/docs/syntax</x:v>
      </x:c>
      <x:c r="K130" s="26" t="str">
        <x:v>Production-ready</x:v>
      </x:c>
    </x:row>
    <x:row r="131">
      <x:c r="A131" s="26" t="str">
        <x:v>Results</x:v>
      </x:c>
      <x:c r="B131" s="26" t="str">
        <x:v>unique:art</x:v>
      </x:c>
      <x:c r="C131" s="26" t="str"/>
      <x:c r="D131" s="26" t="str">
        <x:v>Result</x:v>
      </x:c>
      <x:c r="E131" s="26" t="str">
        <x:v>mode</x:v>
      </x:c>
      <x:c r="F131" s="26" t="str">
        <x:v>No</x:v>
      </x:c>
      <x:c r="G131" s="26" t="str">
        <x:v>unique art</x:v>
      </x:c>
      <x:c r="H131" s="26" t="str">
        <x:v>unique:art</x:v>
      </x:c>
      <x:c r="I131" s="26" t="str">
        <x:v>Distinct illustrations.</x:v>
      </x:c>
      <x:c r="J131" s="26" t="str">
        <x:v>https://scryfall.com/docs/syntax</x:v>
      </x:c>
      <x:c r="K131" s="26" t="str">
        <x:v>Production-ready</x:v>
      </x:c>
    </x:row>
    <x:row r="132">
      <x:c r="A132" s="26" t="str">
        <x:v>Results</x:v>
      </x:c>
      <x:c r="B132" s="26" t="str">
        <x:v>display:</x:v>
      </x:c>
      <x:c r="C132" s="26" t="str"/>
      <x:c r="D132" s="26" t="str">
        <x:v>Result</x:v>
      </x:c>
      <x:c r="E132" s="26" t="str">
        <x:v>grid/checklist/full/text</x:v>
      </x:c>
      <x:c r="F132" s="26" t="str">
        <x:v>No</x:v>
      </x:c>
      <x:c r="G132" s="26" t="str">
        <x:v>show as text/grid</x:v>
      </x:c>
      <x:c r="H132" s="26" t="str">
        <x:v>display:text</x:v>
      </x:c>
      <x:c r="I132" s="26" t="str">
        <x:v>Display mode.</x:v>
      </x:c>
      <x:c r="J132" s="26" t="str">
        <x:v>https://scryfall.com/docs/syntax</x:v>
      </x:c>
      <x:c r="K132" s="26" t="str">
        <x:v>Production-ready</x:v>
      </x:c>
    </x:row>
    <x:row r="133">
      <x:c r="A133" s="26" t="str">
        <x:v>Results</x:v>
      </x:c>
      <x:c r="B133" s="26" t="str">
        <x:v>order:</x:v>
      </x:c>
      <x:c r="C133" s="26" t="str"/>
      <x:c r="D133" s="26" t="str">
        <x:v>Result</x:v>
      </x:c>
      <x:c r="E133" s="26" t="str">
        <x:v>sort field</x:v>
      </x:c>
      <x:c r="F133" s="26" t="str">
        <x:v>No</x:v>
      </x:c>
      <x:c r="G133" s="26" t="str">
        <x:v>sort by EDHREC/price/name</x:v>
      </x:c>
      <x:c r="H133" s="26" t="str">
        <x:v>order:edhrec</x:v>
      </x:c>
      <x:c r="I133" s="26" t="str">
        <x:v>Sort results.</x:v>
      </x:c>
      <x:c r="J133" s="26" t="str">
        <x:v>https://scryfall.com/docs/syntax</x:v>
      </x:c>
      <x:c r="K133" s="26" t="str">
        <x:v>Production-ready</x:v>
      </x:c>
    </x:row>
    <x:row r="134">
      <x:c r="A134" s="26" t="str">
        <x:v>Results</x:v>
      </x:c>
      <x:c r="B134" s="26" t="str">
        <x:v>direction:</x:v>
      </x:c>
      <x:c r="C134" s="26" t="str"/>
      <x:c r="D134" s="26" t="str">
        <x:v>Result</x:v>
      </x:c>
      <x:c r="E134" s="26" t="str">
        <x:v>asc/desc</x:v>
      </x:c>
      <x:c r="F134" s="26" t="str">
        <x:v>No</x:v>
      </x:c>
      <x:c r="G134" s="26" t="str">
        <x:v>ascending/descending</x:v>
      </x:c>
      <x:c r="H134" s="26" t="str">
        <x:v>direction:desc</x:v>
      </x:c>
      <x:c r="I134" s="26" t="str">
        <x:v>Sort direction.</x:v>
      </x:c>
      <x:c r="J134" s="26" t="str">
        <x:v>https://scryfall.com/docs/syntax</x:v>
      </x:c>
      <x:c r="K134" s="26" t="str">
        <x:v>Production-ready</x:v>
      </x:c>
    </x:row>
    <x:row r="135">
      <x:c r="A135" s="26" t="str">
        <x:v>Results</x:v>
      </x:c>
      <x:c r="B135" s="26" t="str">
        <x:v>prefer:</x:v>
      </x:c>
      <x:c r="C135" s="26" t="str"/>
      <x:c r="D135" s="26" t="str">
        <x:v>Result</x:v>
      </x:c>
      <x:c r="E135" s="26" t="str">
        <x:v>printing preference</x:v>
      </x:c>
      <x:c r="F135" s="26" t="str">
        <x:v>No</x:v>
      </x:c>
      <x:c r="G135" s="26" t="str">
        <x:v>prefer cheapest/newest</x:v>
      </x:c>
      <x:c r="H135" s="26" t="str">
        <x:v>prefer:usd-low</x:v>
      </x:c>
      <x:c r="I135" s="26" t="str">
        <x:v>Preferred printing when collapsing cards.</x:v>
      </x:c>
      <x:c r="J135" s="26" t="str">
        <x:v>https://scryfall.com/docs/syntax</x:v>
      </x:c>
      <x:c r="K135" s="26" t="str">
        <x:v>Production-ready</x:v>
      </x:c>
    </x:row>
  </x:sheetData>
  <x:mergeCells>
    <x:mergeCell ref="A1:K1"/>
    <x:mergeCell ref="A2:K2"/>
  </x:mergeCells>
  <x:pageMargins left="0.7" right="0.7" top="0.75" bottom="0.75" header="0.3" footer="0.3"/>
  <x:tableParts count="1">
    <x:tablePart xmlns:r="http://schemas.openxmlformats.org/officeDocument/2006/relationships" r:id="R1637094411484ddc"/>
  </x:tableParts>
</x:worksheet>
</file>

<file path=xl/worksheets/sheet5.xml><?xml version="1.0" encoding="utf-8"?>
<x:worksheet xmlns:x="http://schemas.openxmlformats.org/spreadsheetml/2006/main">
  <x:sheetFormatPr defaultRowHeight="15"/>
  <x:cols>
    <x:col min="1" max="1" width="24" hidden="0" customWidth="1"/>
    <x:col min="2" max="2" width="30" hidden="0" customWidth="1"/>
    <x:col min="3" max="3" width="22" hidden="0" customWidth="1"/>
    <x:col min="4" max="4" width="18" hidden="0" customWidth="1"/>
    <x:col min="5" max="5" width="40" hidden="0" customWidth="1"/>
    <x:col min="6" max="6" width="46" hidden="0" customWidth="1"/>
    <x:col min="7" max="7" width="48" hidden="0" customWidth="1"/>
    <x:col min="8" max="8" width="42" hidden="0" customWidth="1"/>
    <x:col min="9" max="9" width="12" hidden="0" customWidth="1"/>
    <x:col min="10" max="10" width="44" hidden="0" customWidth="1"/>
  </x:cols>
  <x:sheetData>
    <x:row r="1" ht="28" customHeight="1">
      <x:c r="A1" s="33" t="str">
        <x:v>PLAIN-LANGUAGE TRANSLATION MAP</x:v>
      </x:c>
      <x:c r="B1" s="33"/>
      <x:c r="C1" s="33"/>
      <x:c r="D1" s="33"/>
      <x:c r="E1" s="33"/>
      <x:c r="F1" s="33"/>
      <x:c r="G1" s="33"/>
      <x:c r="H1" s="33"/>
      <x:c r="I1" s="33"/>
      <x:c r="J1" s="33"/>
    </x:row>
    <x:row r="2" ht="30" customHeight="1">
      <x:c r="A2" s="35" t="str">
        <x:v>High-value player language and abbreviations. The query template is not always a complete query: context and ambiguity columns determine how the parser should compose or defer.</x:v>
      </x:c>
      <x:c r="B2" s="35"/>
      <x:c r="C2" s="35"/>
      <x:c r="D2" s="35"/>
      <x:c r="E2" s="35"/>
      <x:c r="F2" s="35"/>
      <x:c r="G2" s="35"/>
      <x:c r="H2" s="35"/>
      <x:c r="I2" s="35"/>
      <x:c r="J2" s="35"/>
    </x:row>
    <x:row r="4" ht="28" customHeight="1">
      <x:c r="A4" s="39" t="str">
        <x:v>Phrase / Alias</x:v>
      </x:c>
      <x:c r="B4" s="39" t="str">
        <x:v>Canonical Concept</x:v>
      </x:c>
      <x:c r="C4" s="39" t="str">
        <x:v>Intent Class</x:v>
      </x:c>
      <x:c r="D4" s="39" t="str">
        <x:v>Normalized Value</x:v>
      </x:c>
      <x:c r="E4" s="39" t="str">
        <x:v>Query Template / Recipe</x:v>
      </x:c>
      <x:c r="F4" s="39" t="str">
        <x:v>Context Rule</x:v>
      </x:c>
      <x:c r="G4" s="39" t="str">
        <x:v>Ambiguity Policy</x:v>
      </x:c>
      <x:c r="H4" s="39" t="str">
        <x:v>Translator Action</x:v>
      </x:c>
      <x:c r="I4" s="39" t="str">
        <x:v>Confidence</x:v>
      </x:c>
      <x:c r="J4" s="39" t="str">
        <x:v>Source</x:v>
      </x:c>
    </x:row>
    <x:row r="5">
      <x:c r="A5" s="26" t="str">
        <x:v>white</x:v>
      </x:c>
      <x:c r="B5" s="26" t="str">
        <x:v>Color atom</x:v>
      </x:c>
      <x:c r="C5" s="26" t="str">
        <x:v>Color</x:v>
      </x:c>
      <x:c r="D5" s="26" t="str">
        <x:v>w</x:v>
      </x:c>
      <x:c r="E5" s="26" t="str">
        <x:v>[COLOR_OPERATOR]w</x:v>
      </x:c>
      <x:c r="F5" s="26" t="str">
        <x:v>If Commander deck/card-pool context -&gt; identity; otherwise ordinary card color unless user says identity.</x:v>
      </x:c>
      <x:c r="G5" s="26" t="str">
        <x:v>Single colors are usually clear; Commander context still changes whether colorless cards should be included.</x:v>
      </x:c>
      <x:c r="H5" s="26" t="str">
        <x:v>Resolve context, then compose color constraint.</x:v>
      </x:c>
      <x:c r="I5" s="43" t="n">
        <x:v>0.97</x:v>
      </x:c>
      <x:c r="J5" s="26" t="str">
        <x:v>https://scryfall.com/docs/syntax</x:v>
      </x:c>
    </x:row>
    <x:row r="6">
      <x:c r="A6" s="26" t="str">
        <x:v>blue</x:v>
      </x:c>
      <x:c r="B6" s="26" t="str">
        <x:v>Color atom</x:v>
      </x:c>
      <x:c r="C6" s="26" t="str">
        <x:v>Color</x:v>
      </x:c>
      <x:c r="D6" s="26" t="str">
        <x:v>u</x:v>
      </x:c>
      <x:c r="E6" s="26" t="str">
        <x:v>[COLOR_OPERATOR]u</x:v>
      </x:c>
      <x:c r="F6" s="26" t="str">
        <x:v>If Commander deck/card-pool context -&gt; identity; otherwise ordinary card color unless user says identity.</x:v>
      </x:c>
      <x:c r="G6" s="26" t="str">
        <x:v>Single colors are usually clear; Commander context still changes whether colorless cards should be included.</x:v>
      </x:c>
      <x:c r="H6" s="26" t="str">
        <x:v>Resolve context, then compose color constraint.</x:v>
      </x:c>
      <x:c r="I6" s="43" t="n">
        <x:v>0.97</x:v>
      </x:c>
      <x:c r="J6" s="26" t="str">
        <x:v>https://scryfall.com/docs/syntax</x:v>
      </x:c>
    </x:row>
    <x:row r="7">
      <x:c r="A7" s="26" t="str">
        <x:v>black</x:v>
      </x:c>
      <x:c r="B7" s="26" t="str">
        <x:v>Color atom</x:v>
      </x:c>
      <x:c r="C7" s="26" t="str">
        <x:v>Color</x:v>
      </x:c>
      <x:c r="D7" s="26" t="str">
        <x:v>b</x:v>
      </x:c>
      <x:c r="E7" s="26" t="str">
        <x:v>[COLOR_OPERATOR]b</x:v>
      </x:c>
      <x:c r="F7" s="26" t="str">
        <x:v>If Commander deck/card-pool context -&gt; identity; otherwise ordinary card color unless user says identity.</x:v>
      </x:c>
      <x:c r="G7" s="26" t="str">
        <x:v>Single colors are usually clear; Commander context still changes whether colorless cards should be included.</x:v>
      </x:c>
      <x:c r="H7" s="26" t="str">
        <x:v>Resolve context, then compose color constraint.</x:v>
      </x:c>
      <x:c r="I7" s="43" t="n">
        <x:v>0.97</x:v>
      </x:c>
      <x:c r="J7" s="26" t="str">
        <x:v>https://scryfall.com/docs/syntax</x:v>
      </x:c>
    </x:row>
    <x:row r="8">
      <x:c r="A8" s="26" t="str">
        <x:v>red</x:v>
      </x:c>
      <x:c r="B8" s="26" t="str">
        <x:v>Color atom</x:v>
      </x:c>
      <x:c r="C8" s="26" t="str">
        <x:v>Color</x:v>
      </x:c>
      <x:c r="D8" s="26" t="str">
        <x:v>r</x:v>
      </x:c>
      <x:c r="E8" s="26" t="str">
        <x:v>[COLOR_OPERATOR]r</x:v>
      </x:c>
      <x:c r="F8" s="26" t="str">
        <x:v>If Commander deck/card-pool context -&gt; identity; otherwise ordinary card color unless user says identity.</x:v>
      </x:c>
      <x:c r="G8" s="26" t="str">
        <x:v>Single colors are usually clear; Commander context still changes whether colorless cards should be included.</x:v>
      </x:c>
      <x:c r="H8" s="26" t="str">
        <x:v>Resolve context, then compose color constraint.</x:v>
      </x:c>
      <x:c r="I8" s="43" t="n">
        <x:v>0.97</x:v>
      </x:c>
      <x:c r="J8" s="26" t="str">
        <x:v>https://scryfall.com/docs/syntax</x:v>
      </x:c>
    </x:row>
    <x:row r="9">
      <x:c r="A9" s="26" t="str">
        <x:v>green</x:v>
      </x:c>
      <x:c r="B9" s="26" t="str">
        <x:v>Color atom</x:v>
      </x:c>
      <x:c r="C9" s="26" t="str">
        <x:v>Color</x:v>
      </x:c>
      <x:c r="D9" s="26" t="str">
        <x:v>g</x:v>
      </x:c>
      <x:c r="E9" s="26" t="str">
        <x:v>[COLOR_OPERATOR]g</x:v>
      </x:c>
      <x:c r="F9" s="26" t="str">
        <x:v>If Commander deck/card-pool context -&gt; identity; otherwise ordinary card color unless user says identity.</x:v>
      </x:c>
      <x:c r="G9" s="26" t="str">
        <x:v>Single colors are usually clear; Commander context still changes whether colorless cards should be included.</x:v>
      </x:c>
      <x:c r="H9" s="26" t="str">
        <x:v>Resolve context, then compose color constraint.</x:v>
      </x:c>
      <x:c r="I9" s="43" t="n">
        <x:v>0.97</x:v>
      </x:c>
      <x:c r="J9" s="26" t="str">
        <x:v>https://scryfall.com/docs/syntax</x:v>
      </x:c>
    </x:row>
    <x:row r="10">
      <x:c r="A10" s="26" t="str">
        <x:v>colorless</x:v>
      </x:c>
      <x:c r="B10" s="26" t="str">
        <x:v>Color atom</x:v>
      </x:c>
      <x:c r="C10" s="26" t="str">
        <x:v>Color</x:v>
      </x:c>
      <x:c r="D10" s="26" t="str">
        <x:v>c</x:v>
      </x:c>
      <x:c r="E10" s="26" t="str">
        <x:v>[COLOR_OPERATOR]c</x:v>
      </x:c>
      <x:c r="F10" s="26" t="str">
        <x:v>If Commander deck/card-pool context -&gt; identity; otherwise ordinary card color unless user says identity.</x:v>
      </x:c>
      <x:c r="G10" s="26" t="str">
        <x:v>Single colors are usually clear; Commander context still changes whether colorless cards should be included.</x:v>
      </x:c>
      <x:c r="H10" s="26" t="str">
        <x:v>Resolve context, then compose color constraint.</x:v>
      </x:c>
      <x:c r="I10" s="43" t="n">
        <x:v>0.97</x:v>
      </x:c>
      <x:c r="J10" s="26" t="str">
        <x:v>https://scryfall.com/docs/syntax</x:v>
      </x:c>
    </x:row>
    <x:row r="11">
      <x:c r="A11" s="26" t="str">
        <x:v>azorius</x:v>
      </x:c>
      <x:c r="B11" s="26" t="str">
        <x:v>Named color group</x:v>
      </x:c>
      <x:c r="C11" s="26" t="str">
        <x:v>Color identity</x:v>
      </x:c>
      <x:c r="D11" s="26" t="str">
        <x:v>wu</x:v>
      </x:c>
      <x:c r="E11" s="26" t="str">
        <x:v>id&lt;=wu</x:v>
      </x:c>
      <x:c r="F11" s="26" t="str">
        <x:v>Default to Commander-compatible identity ceiling in Commander/deckbuilding context.</x:v>
      </x:c>
      <x:c r="G11" s="26" t="str">
        <x:v>Outside Commander, phrase may mean exact card colors or identity. Offer exact/contains/fits-inside alternatives if material.</x:v>
      </x:c>
      <x:c r="H11" s="26" t="str">
        <x:v>Normalize to WUBRG letters; expose chosen relation.</x:v>
      </x:c>
      <x:c r="I11" s="43" t="n">
        <x:v>0.92</x:v>
      </x:c>
      <x:c r="J11" s="26" t="str">
        <x:v>https://scryfall.com/docs/syntax</x:v>
      </x:c>
    </x:row>
    <x:row r="12">
      <x:c r="A12" s="26" t="str">
        <x:v>dimir</x:v>
      </x:c>
      <x:c r="B12" s="26" t="str">
        <x:v>Named color group</x:v>
      </x:c>
      <x:c r="C12" s="26" t="str">
        <x:v>Color identity</x:v>
      </x:c>
      <x:c r="D12" s="26" t="str">
        <x:v>ub</x:v>
      </x:c>
      <x:c r="E12" s="26" t="str">
        <x:v>id&lt;=ub</x:v>
      </x:c>
      <x:c r="F12" s="26" t="str">
        <x:v>Default to Commander-compatible identity ceiling in Commander/deckbuilding context.</x:v>
      </x:c>
      <x:c r="G12" s="26" t="str">
        <x:v>Outside Commander, phrase may mean exact card colors or identity. Offer exact/contains/fits-inside alternatives if material.</x:v>
      </x:c>
      <x:c r="H12" s="26" t="str">
        <x:v>Normalize to WUBRG letters; expose chosen relation.</x:v>
      </x:c>
      <x:c r="I12" s="43" t="n">
        <x:v>0.92</x:v>
      </x:c>
      <x:c r="J12" s="26" t="str">
        <x:v>https://scryfall.com/docs/syntax</x:v>
      </x:c>
    </x:row>
    <x:row r="13">
      <x:c r="A13" s="26" t="str">
        <x:v>rakdos</x:v>
      </x:c>
      <x:c r="B13" s="26" t="str">
        <x:v>Named color group</x:v>
      </x:c>
      <x:c r="C13" s="26" t="str">
        <x:v>Color identity</x:v>
      </x:c>
      <x:c r="D13" s="26" t="str">
        <x:v>br</x:v>
      </x:c>
      <x:c r="E13" s="26" t="str">
        <x:v>id&lt;=br</x:v>
      </x:c>
      <x:c r="F13" s="26" t="str">
        <x:v>Default to Commander-compatible identity ceiling in Commander/deckbuilding context.</x:v>
      </x:c>
      <x:c r="G13" s="26" t="str">
        <x:v>Outside Commander, phrase may mean exact card colors or identity. Offer exact/contains/fits-inside alternatives if material.</x:v>
      </x:c>
      <x:c r="H13" s="26" t="str">
        <x:v>Normalize to WUBRG letters; expose chosen relation.</x:v>
      </x:c>
      <x:c r="I13" s="43" t="n">
        <x:v>0.92</x:v>
      </x:c>
      <x:c r="J13" s="26" t="str">
        <x:v>https://scryfall.com/docs/syntax</x:v>
      </x:c>
    </x:row>
    <x:row r="14">
      <x:c r="A14" s="26" t="str">
        <x:v>gruul</x:v>
      </x:c>
      <x:c r="B14" s="26" t="str">
        <x:v>Named color group</x:v>
      </x:c>
      <x:c r="C14" s="26" t="str">
        <x:v>Color identity</x:v>
      </x:c>
      <x:c r="D14" s="26" t="str">
        <x:v>rg</x:v>
      </x:c>
      <x:c r="E14" s="26" t="str">
        <x:v>id&lt;=rg</x:v>
      </x:c>
      <x:c r="F14" s="26" t="str">
        <x:v>Default to Commander-compatible identity ceiling in Commander/deckbuilding context.</x:v>
      </x:c>
      <x:c r="G14" s="26" t="str">
        <x:v>Outside Commander, phrase may mean exact card colors or identity. Offer exact/contains/fits-inside alternatives if material.</x:v>
      </x:c>
      <x:c r="H14" s="26" t="str">
        <x:v>Normalize to WUBRG letters; expose chosen relation.</x:v>
      </x:c>
      <x:c r="I14" s="43" t="n">
        <x:v>0.92</x:v>
      </x:c>
      <x:c r="J14" s="26" t="str">
        <x:v>https://scryfall.com/docs/syntax</x:v>
      </x:c>
    </x:row>
    <x:row r="15">
      <x:c r="A15" s="26" t="str">
        <x:v>selesnya</x:v>
      </x:c>
      <x:c r="B15" s="26" t="str">
        <x:v>Named color group</x:v>
      </x:c>
      <x:c r="C15" s="26" t="str">
        <x:v>Color identity</x:v>
      </x:c>
      <x:c r="D15" s="26" t="str">
        <x:v>gw</x:v>
      </x:c>
      <x:c r="E15" s="26" t="str">
        <x:v>id&lt;=gw</x:v>
      </x:c>
      <x:c r="F15" s="26" t="str">
        <x:v>Default to Commander-compatible identity ceiling in Commander/deckbuilding context.</x:v>
      </x:c>
      <x:c r="G15" s="26" t="str">
        <x:v>Outside Commander, phrase may mean exact card colors or identity. Offer exact/contains/fits-inside alternatives if material.</x:v>
      </x:c>
      <x:c r="H15" s="26" t="str">
        <x:v>Normalize to WUBRG letters; expose chosen relation.</x:v>
      </x:c>
      <x:c r="I15" s="43" t="n">
        <x:v>0.92</x:v>
      </x:c>
      <x:c r="J15" s="26" t="str">
        <x:v>https://scryfall.com/docs/syntax</x:v>
      </x:c>
    </x:row>
    <x:row r="16">
      <x:c r="A16" s="26" t="str">
        <x:v>orzhov</x:v>
      </x:c>
      <x:c r="B16" s="26" t="str">
        <x:v>Named color group</x:v>
      </x:c>
      <x:c r="C16" s="26" t="str">
        <x:v>Color identity</x:v>
      </x:c>
      <x:c r="D16" s="26" t="str">
        <x:v>wb</x:v>
      </x:c>
      <x:c r="E16" s="26" t="str">
        <x:v>id&lt;=wb</x:v>
      </x:c>
      <x:c r="F16" s="26" t="str">
        <x:v>Default to Commander-compatible identity ceiling in Commander/deckbuilding context.</x:v>
      </x:c>
      <x:c r="G16" s="26" t="str">
        <x:v>Outside Commander, phrase may mean exact card colors or identity. Offer exact/contains/fits-inside alternatives if material.</x:v>
      </x:c>
      <x:c r="H16" s="26" t="str">
        <x:v>Normalize to WUBRG letters; expose chosen relation.</x:v>
      </x:c>
      <x:c r="I16" s="43" t="n">
        <x:v>0.92</x:v>
      </x:c>
      <x:c r="J16" s="26" t="str">
        <x:v>https://scryfall.com/docs/syntax</x:v>
      </x:c>
    </x:row>
    <x:row r="17">
      <x:c r="A17" s="26" t="str">
        <x:v>izzet</x:v>
      </x:c>
      <x:c r="B17" s="26" t="str">
        <x:v>Named color group</x:v>
      </x:c>
      <x:c r="C17" s="26" t="str">
        <x:v>Color identity</x:v>
      </x:c>
      <x:c r="D17" s="26" t="str">
        <x:v>ur</x:v>
      </x:c>
      <x:c r="E17" s="26" t="str">
        <x:v>id&lt;=ur</x:v>
      </x:c>
      <x:c r="F17" s="26" t="str">
        <x:v>Default to Commander-compatible identity ceiling in Commander/deckbuilding context.</x:v>
      </x:c>
      <x:c r="G17" s="26" t="str">
        <x:v>Outside Commander, phrase may mean exact card colors or identity. Offer exact/contains/fits-inside alternatives if material.</x:v>
      </x:c>
      <x:c r="H17" s="26" t="str">
        <x:v>Normalize to WUBRG letters; expose chosen relation.</x:v>
      </x:c>
      <x:c r="I17" s="43" t="n">
        <x:v>0.92</x:v>
      </x:c>
      <x:c r="J17" s="26" t="str">
        <x:v>https://scryfall.com/docs/syntax</x:v>
      </x:c>
    </x:row>
    <x:row r="18">
      <x:c r="A18" s="26" t="str">
        <x:v>golgari</x:v>
      </x:c>
      <x:c r="B18" s="26" t="str">
        <x:v>Named color group</x:v>
      </x:c>
      <x:c r="C18" s="26" t="str">
        <x:v>Color identity</x:v>
      </x:c>
      <x:c r="D18" s="26" t="str">
        <x:v>bg</x:v>
      </x:c>
      <x:c r="E18" s="26" t="str">
        <x:v>id&lt;=bg</x:v>
      </x:c>
      <x:c r="F18" s="26" t="str">
        <x:v>Default to Commander-compatible identity ceiling in Commander/deckbuilding context.</x:v>
      </x:c>
      <x:c r="G18" s="26" t="str">
        <x:v>Outside Commander, phrase may mean exact card colors or identity. Offer exact/contains/fits-inside alternatives if material.</x:v>
      </x:c>
      <x:c r="H18" s="26" t="str">
        <x:v>Normalize to WUBRG letters; expose chosen relation.</x:v>
      </x:c>
      <x:c r="I18" s="43" t="n">
        <x:v>0.92</x:v>
      </x:c>
      <x:c r="J18" s="26" t="str">
        <x:v>https://scryfall.com/docs/syntax</x:v>
      </x:c>
    </x:row>
    <x:row r="19">
      <x:c r="A19" s="26" t="str">
        <x:v>boros</x:v>
      </x:c>
      <x:c r="B19" s="26" t="str">
        <x:v>Named color group</x:v>
      </x:c>
      <x:c r="C19" s="26" t="str">
        <x:v>Color identity</x:v>
      </x:c>
      <x:c r="D19" s="26" t="str">
        <x:v>rw</x:v>
      </x:c>
      <x:c r="E19" s="26" t="str">
        <x:v>id&lt;=rw</x:v>
      </x:c>
      <x:c r="F19" s="26" t="str">
        <x:v>Default to Commander-compatible identity ceiling in Commander/deckbuilding context.</x:v>
      </x:c>
      <x:c r="G19" s="26" t="str">
        <x:v>Outside Commander, phrase may mean exact card colors or identity. Offer exact/contains/fits-inside alternatives if material.</x:v>
      </x:c>
      <x:c r="H19" s="26" t="str">
        <x:v>Normalize to WUBRG letters; expose chosen relation.</x:v>
      </x:c>
      <x:c r="I19" s="43" t="n">
        <x:v>0.92</x:v>
      </x:c>
      <x:c r="J19" s="26" t="str">
        <x:v>https://scryfall.com/docs/syntax</x:v>
      </x:c>
    </x:row>
    <x:row r="20">
      <x:c r="A20" s="26" t="str">
        <x:v>simic</x:v>
      </x:c>
      <x:c r="B20" s="26" t="str">
        <x:v>Named color group</x:v>
      </x:c>
      <x:c r="C20" s="26" t="str">
        <x:v>Color identity</x:v>
      </x:c>
      <x:c r="D20" s="26" t="str">
        <x:v>gu</x:v>
      </x:c>
      <x:c r="E20" s="26" t="str">
        <x:v>id&lt;=gu</x:v>
      </x:c>
      <x:c r="F20" s="26" t="str">
        <x:v>Default to Commander-compatible identity ceiling in Commander/deckbuilding context.</x:v>
      </x:c>
      <x:c r="G20" s="26" t="str">
        <x:v>Outside Commander, phrase may mean exact card colors or identity. Offer exact/contains/fits-inside alternatives if material.</x:v>
      </x:c>
      <x:c r="H20" s="26" t="str">
        <x:v>Normalize to WUBRG letters; expose chosen relation.</x:v>
      </x:c>
      <x:c r="I20" s="43" t="n">
        <x:v>0.92</x:v>
      </x:c>
      <x:c r="J20" s="26" t="str">
        <x:v>https://scryfall.com/docs/syntax</x:v>
      </x:c>
    </x:row>
    <x:row r="21">
      <x:c r="A21" s="26" t="str">
        <x:v>bant</x:v>
      </x:c>
      <x:c r="B21" s="26" t="str">
        <x:v>Named color group</x:v>
      </x:c>
      <x:c r="C21" s="26" t="str">
        <x:v>Color identity</x:v>
      </x:c>
      <x:c r="D21" s="26" t="str">
        <x:v>gwu</x:v>
      </x:c>
      <x:c r="E21" s="26" t="str">
        <x:v>id&lt;=gwu</x:v>
      </x:c>
      <x:c r="F21" s="26" t="str">
        <x:v>Default to Commander-compatible identity ceiling in Commander/deckbuilding context.</x:v>
      </x:c>
      <x:c r="G21" s="26" t="str">
        <x:v>Outside Commander, phrase may mean exact card colors or identity. Offer exact/contains/fits-inside alternatives if material.</x:v>
      </x:c>
      <x:c r="H21" s="26" t="str">
        <x:v>Normalize to WUBRG letters; expose chosen relation.</x:v>
      </x:c>
      <x:c r="I21" s="43" t="n">
        <x:v>0.92</x:v>
      </x:c>
      <x:c r="J21" s="26" t="str">
        <x:v>https://scryfall.com/docs/syntax</x:v>
      </x:c>
    </x:row>
    <x:row r="22">
      <x:c r="A22" s="26" t="str">
        <x:v>esper</x:v>
      </x:c>
      <x:c r="B22" s="26" t="str">
        <x:v>Named color group</x:v>
      </x:c>
      <x:c r="C22" s="26" t="str">
        <x:v>Color identity</x:v>
      </x:c>
      <x:c r="D22" s="26" t="str">
        <x:v>wub</x:v>
      </x:c>
      <x:c r="E22" s="26" t="str">
        <x:v>id&lt;=wub</x:v>
      </x:c>
      <x:c r="F22" s="26" t="str">
        <x:v>Default to Commander-compatible identity ceiling in Commander/deckbuilding context.</x:v>
      </x:c>
      <x:c r="G22" s="26" t="str">
        <x:v>Outside Commander, phrase may mean exact card colors or identity. Offer exact/contains/fits-inside alternatives if material.</x:v>
      </x:c>
      <x:c r="H22" s="26" t="str">
        <x:v>Normalize to WUBRG letters; expose chosen relation.</x:v>
      </x:c>
      <x:c r="I22" s="43" t="n">
        <x:v>0.92</x:v>
      </x:c>
      <x:c r="J22" s="26" t="str">
        <x:v>https://scryfall.com/docs/syntax</x:v>
      </x:c>
    </x:row>
    <x:row r="23">
      <x:c r="A23" s="26" t="str">
        <x:v>grixis</x:v>
      </x:c>
      <x:c r="B23" s="26" t="str">
        <x:v>Named color group</x:v>
      </x:c>
      <x:c r="C23" s="26" t="str">
        <x:v>Color identity</x:v>
      </x:c>
      <x:c r="D23" s="26" t="str">
        <x:v>ubr</x:v>
      </x:c>
      <x:c r="E23" s="26" t="str">
        <x:v>id&lt;=ubr</x:v>
      </x:c>
      <x:c r="F23" s="26" t="str">
        <x:v>Default to Commander-compatible identity ceiling in Commander/deckbuilding context.</x:v>
      </x:c>
      <x:c r="G23" s="26" t="str">
        <x:v>Outside Commander, phrase may mean exact card colors or identity. Offer exact/contains/fits-inside alternatives if material.</x:v>
      </x:c>
      <x:c r="H23" s="26" t="str">
        <x:v>Normalize to WUBRG letters; expose chosen relation.</x:v>
      </x:c>
      <x:c r="I23" s="43" t="n">
        <x:v>0.92</x:v>
      </x:c>
      <x:c r="J23" s="26" t="str">
        <x:v>https://scryfall.com/docs/syntax</x:v>
      </x:c>
    </x:row>
    <x:row r="24">
      <x:c r="A24" s="26" t="str">
        <x:v>jund</x:v>
      </x:c>
      <x:c r="B24" s="26" t="str">
        <x:v>Named color group</x:v>
      </x:c>
      <x:c r="C24" s="26" t="str">
        <x:v>Color identity</x:v>
      </x:c>
      <x:c r="D24" s="26" t="str">
        <x:v>brg</x:v>
      </x:c>
      <x:c r="E24" s="26" t="str">
        <x:v>id&lt;=brg</x:v>
      </x:c>
      <x:c r="F24" s="26" t="str">
        <x:v>Default to Commander-compatible identity ceiling in Commander/deckbuilding context.</x:v>
      </x:c>
      <x:c r="G24" s="26" t="str">
        <x:v>Outside Commander, phrase may mean exact card colors or identity. Offer exact/contains/fits-inside alternatives if material.</x:v>
      </x:c>
      <x:c r="H24" s="26" t="str">
        <x:v>Normalize to WUBRG letters; expose chosen relation.</x:v>
      </x:c>
      <x:c r="I24" s="43" t="n">
        <x:v>0.92</x:v>
      </x:c>
      <x:c r="J24" s="26" t="str">
        <x:v>https://scryfall.com/docs/syntax</x:v>
      </x:c>
    </x:row>
    <x:row r="25">
      <x:c r="A25" s="26" t="str">
        <x:v>naya</x:v>
      </x:c>
      <x:c r="B25" s="26" t="str">
        <x:v>Named color group</x:v>
      </x:c>
      <x:c r="C25" s="26" t="str">
        <x:v>Color identity</x:v>
      </x:c>
      <x:c r="D25" s="26" t="str">
        <x:v>rgw</x:v>
      </x:c>
      <x:c r="E25" s="26" t="str">
        <x:v>id&lt;=rgw</x:v>
      </x:c>
      <x:c r="F25" s="26" t="str">
        <x:v>Default to Commander-compatible identity ceiling in Commander/deckbuilding context.</x:v>
      </x:c>
      <x:c r="G25" s="26" t="str">
        <x:v>Outside Commander, phrase may mean exact card colors or identity. Offer exact/contains/fits-inside alternatives if material.</x:v>
      </x:c>
      <x:c r="H25" s="26" t="str">
        <x:v>Normalize to WUBRG letters; expose chosen relation.</x:v>
      </x:c>
      <x:c r="I25" s="43" t="n">
        <x:v>0.92</x:v>
      </x:c>
      <x:c r="J25" s="26" t="str">
        <x:v>https://scryfall.com/docs/syntax</x:v>
      </x:c>
    </x:row>
    <x:row r="26">
      <x:c r="A26" s="26" t="str">
        <x:v>abzan</x:v>
      </x:c>
      <x:c r="B26" s="26" t="str">
        <x:v>Named color group</x:v>
      </x:c>
      <x:c r="C26" s="26" t="str">
        <x:v>Color identity</x:v>
      </x:c>
      <x:c r="D26" s="26" t="str">
        <x:v>wbg</x:v>
      </x:c>
      <x:c r="E26" s="26" t="str">
        <x:v>id&lt;=wbg</x:v>
      </x:c>
      <x:c r="F26" s="26" t="str">
        <x:v>Default to Commander-compatible identity ceiling in Commander/deckbuilding context.</x:v>
      </x:c>
      <x:c r="G26" s="26" t="str">
        <x:v>Outside Commander, phrase may mean exact card colors or identity. Offer exact/contains/fits-inside alternatives if material.</x:v>
      </x:c>
      <x:c r="H26" s="26" t="str">
        <x:v>Normalize to WUBRG letters; expose chosen relation.</x:v>
      </x:c>
      <x:c r="I26" s="43" t="n">
        <x:v>0.92</x:v>
      </x:c>
      <x:c r="J26" s="26" t="str">
        <x:v>https://scryfall.com/docs/syntax</x:v>
      </x:c>
    </x:row>
    <x:row r="27">
      <x:c r="A27" s="26" t="str">
        <x:v>jeskai</x:v>
      </x:c>
      <x:c r="B27" s="26" t="str">
        <x:v>Named color group</x:v>
      </x:c>
      <x:c r="C27" s="26" t="str">
        <x:v>Color identity</x:v>
      </x:c>
      <x:c r="D27" s="26" t="str">
        <x:v>urw</x:v>
      </x:c>
      <x:c r="E27" s="26" t="str">
        <x:v>id&lt;=urw</x:v>
      </x:c>
      <x:c r="F27" s="26" t="str">
        <x:v>Default to Commander-compatible identity ceiling in Commander/deckbuilding context.</x:v>
      </x:c>
      <x:c r="G27" s="26" t="str">
        <x:v>Outside Commander, phrase may mean exact card colors or identity. Offer exact/contains/fits-inside alternatives if material.</x:v>
      </x:c>
      <x:c r="H27" s="26" t="str">
        <x:v>Normalize to WUBRG letters; expose chosen relation.</x:v>
      </x:c>
      <x:c r="I27" s="43" t="n">
        <x:v>0.92</x:v>
      </x:c>
      <x:c r="J27" s="26" t="str">
        <x:v>https://scryfall.com/docs/syntax</x:v>
      </x:c>
    </x:row>
    <x:row r="28">
      <x:c r="A28" s="26" t="str">
        <x:v>sultai</x:v>
      </x:c>
      <x:c r="B28" s="26" t="str">
        <x:v>Named color group</x:v>
      </x:c>
      <x:c r="C28" s="26" t="str">
        <x:v>Color identity</x:v>
      </x:c>
      <x:c r="D28" s="26" t="str">
        <x:v>bgu</x:v>
      </x:c>
      <x:c r="E28" s="26" t="str">
        <x:v>id&lt;=bgu</x:v>
      </x:c>
      <x:c r="F28" s="26" t="str">
        <x:v>Default to Commander-compatible identity ceiling in Commander/deckbuilding context.</x:v>
      </x:c>
      <x:c r="G28" s="26" t="str">
        <x:v>Outside Commander, phrase may mean exact card colors or identity. Offer exact/contains/fits-inside alternatives if material.</x:v>
      </x:c>
      <x:c r="H28" s="26" t="str">
        <x:v>Normalize to WUBRG letters; expose chosen relation.</x:v>
      </x:c>
      <x:c r="I28" s="43" t="n">
        <x:v>0.92</x:v>
      </x:c>
      <x:c r="J28" s="26" t="str">
        <x:v>https://scryfall.com/docs/syntax</x:v>
      </x:c>
    </x:row>
    <x:row r="29">
      <x:c r="A29" s="26" t="str">
        <x:v>mardu</x:v>
      </x:c>
      <x:c r="B29" s="26" t="str">
        <x:v>Named color group</x:v>
      </x:c>
      <x:c r="C29" s="26" t="str">
        <x:v>Color identity</x:v>
      </x:c>
      <x:c r="D29" s="26" t="str">
        <x:v>rwb</x:v>
      </x:c>
      <x:c r="E29" s="26" t="str">
        <x:v>id&lt;=rwb</x:v>
      </x:c>
      <x:c r="F29" s="26" t="str">
        <x:v>Default to Commander-compatible identity ceiling in Commander/deckbuilding context.</x:v>
      </x:c>
      <x:c r="G29" s="26" t="str">
        <x:v>Outside Commander, phrase may mean exact card colors or identity. Offer exact/contains/fits-inside alternatives if material.</x:v>
      </x:c>
      <x:c r="H29" s="26" t="str">
        <x:v>Normalize to WUBRG letters; expose chosen relation.</x:v>
      </x:c>
      <x:c r="I29" s="43" t="n">
        <x:v>0.92</x:v>
      </x:c>
      <x:c r="J29" s="26" t="str">
        <x:v>https://scryfall.com/docs/syntax</x:v>
      </x:c>
    </x:row>
    <x:row r="30">
      <x:c r="A30" s="26" t="str">
        <x:v>temur</x:v>
      </x:c>
      <x:c r="B30" s="26" t="str">
        <x:v>Named color group</x:v>
      </x:c>
      <x:c r="C30" s="26" t="str">
        <x:v>Color identity</x:v>
      </x:c>
      <x:c r="D30" s="26" t="str">
        <x:v>gur</x:v>
      </x:c>
      <x:c r="E30" s="26" t="str">
        <x:v>id&lt;=gur</x:v>
      </x:c>
      <x:c r="F30" s="26" t="str">
        <x:v>Default to Commander-compatible identity ceiling in Commander/deckbuilding context.</x:v>
      </x:c>
      <x:c r="G30" s="26" t="str">
        <x:v>Outside Commander, phrase may mean exact card colors or identity. Offer exact/contains/fits-inside alternatives if material.</x:v>
      </x:c>
      <x:c r="H30" s="26" t="str">
        <x:v>Normalize to WUBRG letters; expose chosen relation.</x:v>
      </x:c>
      <x:c r="I30" s="43" t="n">
        <x:v>0.92</x:v>
      </x:c>
      <x:c r="J30" s="26" t="str">
        <x:v>https://scryfall.com/docs/syntax</x:v>
      </x:c>
    </x:row>
    <x:row r="31">
      <x:c r="A31" s="26" t="str">
        <x:v>silverquill</x:v>
      </x:c>
      <x:c r="B31" s="26" t="str">
        <x:v>Named color group</x:v>
      </x:c>
      <x:c r="C31" s="26" t="str">
        <x:v>Color identity</x:v>
      </x:c>
      <x:c r="D31" s="26" t="str">
        <x:v>wb</x:v>
      </x:c>
      <x:c r="E31" s="26" t="str">
        <x:v>id&lt;=wb</x:v>
      </x:c>
      <x:c r="F31" s="26" t="str">
        <x:v>Default to Commander-compatible identity ceiling in Commander/deckbuilding context.</x:v>
      </x:c>
      <x:c r="G31" s="26" t="str">
        <x:v>Outside Commander, phrase may mean exact card colors or identity. Offer exact/contains/fits-inside alternatives if material.</x:v>
      </x:c>
      <x:c r="H31" s="26" t="str">
        <x:v>Normalize to WUBRG letters; expose chosen relation.</x:v>
      </x:c>
      <x:c r="I31" s="43" t="n">
        <x:v>0.92</x:v>
      </x:c>
      <x:c r="J31" s="26" t="str">
        <x:v>https://scryfall.com/docs/syntax</x:v>
      </x:c>
    </x:row>
    <x:row r="32">
      <x:c r="A32" s="26" t="str">
        <x:v>prismari</x:v>
      </x:c>
      <x:c r="B32" s="26" t="str">
        <x:v>Named color group</x:v>
      </x:c>
      <x:c r="C32" s="26" t="str">
        <x:v>Color identity</x:v>
      </x:c>
      <x:c r="D32" s="26" t="str">
        <x:v>ur</x:v>
      </x:c>
      <x:c r="E32" s="26" t="str">
        <x:v>id&lt;=ur</x:v>
      </x:c>
      <x:c r="F32" s="26" t="str">
        <x:v>Default to Commander-compatible identity ceiling in Commander/deckbuilding context.</x:v>
      </x:c>
      <x:c r="G32" s="26" t="str">
        <x:v>Outside Commander, phrase may mean exact card colors or identity. Offer exact/contains/fits-inside alternatives if material.</x:v>
      </x:c>
      <x:c r="H32" s="26" t="str">
        <x:v>Normalize to WUBRG letters; expose chosen relation.</x:v>
      </x:c>
      <x:c r="I32" s="43" t="n">
        <x:v>0.92</x:v>
      </x:c>
      <x:c r="J32" s="26" t="str">
        <x:v>https://scryfall.com/docs/syntax</x:v>
      </x:c>
    </x:row>
    <x:row r="33">
      <x:c r="A33" s="26" t="str">
        <x:v>witherbloom</x:v>
      </x:c>
      <x:c r="B33" s="26" t="str">
        <x:v>Named color group</x:v>
      </x:c>
      <x:c r="C33" s="26" t="str">
        <x:v>Color identity</x:v>
      </x:c>
      <x:c r="D33" s="26" t="str">
        <x:v>bg</x:v>
      </x:c>
      <x:c r="E33" s="26" t="str">
        <x:v>id&lt;=bg</x:v>
      </x:c>
      <x:c r="F33" s="26" t="str">
        <x:v>Default to Commander-compatible identity ceiling in Commander/deckbuilding context.</x:v>
      </x:c>
      <x:c r="G33" s="26" t="str">
        <x:v>Outside Commander, phrase may mean exact card colors or identity. Offer exact/contains/fits-inside alternatives if material.</x:v>
      </x:c>
      <x:c r="H33" s="26" t="str">
        <x:v>Normalize to WUBRG letters; expose chosen relation.</x:v>
      </x:c>
      <x:c r="I33" s="43" t="n">
        <x:v>0.92</x:v>
      </x:c>
      <x:c r="J33" s="26" t="str">
        <x:v>https://scryfall.com/docs/syntax</x:v>
      </x:c>
    </x:row>
    <x:row r="34">
      <x:c r="A34" s="26" t="str">
        <x:v>lorehold</x:v>
      </x:c>
      <x:c r="B34" s="26" t="str">
        <x:v>Named color group</x:v>
      </x:c>
      <x:c r="C34" s="26" t="str">
        <x:v>Color identity</x:v>
      </x:c>
      <x:c r="D34" s="26" t="str">
        <x:v>rw</x:v>
      </x:c>
      <x:c r="E34" s="26" t="str">
        <x:v>id&lt;=rw</x:v>
      </x:c>
      <x:c r="F34" s="26" t="str">
        <x:v>Default to Commander-compatible identity ceiling in Commander/deckbuilding context.</x:v>
      </x:c>
      <x:c r="G34" s="26" t="str">
        <x:v>Outside Commander, phrase may mean exact card colors or identity. Offer exact/contains/fits-inside alternatives if material.</x:v>
      </x:c>
      <x:c r="H34" s="26" t="str">
        <x:v>Normalize to WUBRG letters; expose chosen relation.</x:v>
      </x:c>
      <x:c r="I34" s="43" t="n">
        <x:v>0.92</x:v>
      </x:c>
      <x:c r="J34" s="26" t="str">
        <x:v>https://scryfall.com/docs/syntax</x:v>
      </x:c>
    </x:row>
    <x:row r="35">
      <x:c r="A35" s="26" t="str">
        <x:v>quandrix</x:v>
      </x:c>
      <x:c r="B35" s="26" t="str">
        <x:v>Named color group</x:v>
      </x:c>
      <x:c r="C35" s="26" t="str">
        <x:v>Color identity</x:v>
      </x:c>
      <x:c r="D35" s="26" t="str">
        <x:v>gu</x:v>
      </x:c>
      <x:c r="E35" s="26" t="str">
        <x:v>id&lt;=gu</x:v>
      </x:c>
      <x:c r="F35" s="26" t="str">
        <x:v>Default to Commander-compatible identity ceiling in Commander/deckbuilding context.</x:v>
      </x:c>
      <x:c r="G35" s="26" t="str">
        <x:v>Outside Commander, phrase may mean exact card colors or identity. Offer exact/contains/fits-inside alternatives if material.</x:v>
      </x:c>
      <x:c r="H35" s="26" t="str">
        <x:v>Normalize to WUBRG letters; expose chosen relation.</x:v>
      </x:c>
      <x:c r="I35" s="43" t="n">
        <x:v>0.92</x:v>
      </x:c>
      <x:c r="J35" s="26" t="str">
        <x:v>https://scryfall.com/docs/syntax</x:v>
      </x:c>
    </x:row>
    <x:row r="36">
      <x:c r="A36" s="26" t="str">
        <x:v>glint-eye</x:v>
      </x:c>
      <x:c r="B36" s="26" t="str">
        <x:v>Named color group</x:v>
      </x:c>
      <x:c r="C36" s="26" t="str">
        <x:v>Color identity</x:v>
      </x:c>
      <x:c r="D36" s="26" t="str">
        <x:v>ubrg</x:v>
      </x:c>
      <x:c r="E36" s="26" t="str">
        <x:v>id&lt;=ubrg</x:v>
      </x:c>
      <x:c r="F36" s="26" t="str">
        <x:v>Default to Commander-compatible identity ceiling in Commander/deckbuilding context.</x:v>
      </x:c>
      <x:c r="G36" s="26" t="str">
        <x:v>Outside Commander, phrase may mean exact card colors or identity. Offer exact/contains/fits-inside alternatives if material.</x:v>
      </x:c>
      <x:c r="H36" s="26" t="str">
        <x:v>Normalize to WUBRG letters; expose chosen relation.</x:v>
      </x:c>
      <x:c r="I36" s="43" t="n">
        <x:v>0.92</x:v>
      </x:c>
      <x:c r="J36" s="26" t="str">
        <x:v>https://scryfall.com/docs/syntax</x:v>
      </x:c>
    </x:row>
    <x:row r="37">
      <x:c r="A37" s="26" t="str">
        <x:v>glint eye</x:v>
      </x:c>
      <x:c r="B37" s="26" t="str">
        <x:v>Named color group</x:v>
      </x:c>
      <x:c r="C37" s="26" t="str">
        <x:v>Color identity</x:v>
      </x:c>
      <x:c r="D37" s="26" t="str">
        <x:v>ubrg</x:v>
      </x:c>
      <x:c r="E37" s="26" t="str">
        <x:v>id&lt;=ubrg</x:v>
      </x:c>
      <x:c r="F37" s="26" t="str">
        <x:v>Default to Commander-compatible identity ceiling in Commander/deckbuilding context.</x:v>
      </x:c>
      <x:c r="G37" s="26" t="str">
        <x:v>Outside Commander, phrase may mean exact card colors or identity. Offer exact/contains/fits-inside alternatives if material.</x:v>
      </x:c>
      <x:c r="H37" s="26" t="str">
        <x:v>Normalize to WUBRG letters; expose chosen relation.</x:v>
      </x:c>
      <x:c r="I37" s="43" t="n">
        <x:v>0.92</x:v>
      </x:c>
      <x:c r="J37" s="26" t="str">
        <x:v>https://scryfall.com/docs/syntax</x:v>
      </x:c>
    </x:row>
    <x:row r="38">
      <x:c r="A38" s="26" t="str">
        <x:v>dune-brood</x:v>
      </x:c>
      <x:c r="B38" s="26" t="str">
        <x:v>Named color group</x:v>
      </x:c>
      <x:c r="C38" s="26" t="str">
        <x:v>Color identity</x:v>
      </x:c>
      <x:c r="D38" s="26" t="str">
        <x:v>brgw</x:v>
      </x:c>
      <x:c r="E38" s="26" t="str">
        <x:v>id&lt;=brgw</x:v>
      </x:c>
      <x:c r="F38" s="26" t="str">
        <x:v>Default to Commander-compatible identity ceiling in Commander/deckbuilding context.</x:v>
      </x:c>
      <x:c r="G38" s="26" t="str">
        <x:v>Outside Commander, phrase may mean exact card colors or identity. Offer exact/contains/fits-inside alternatives if material.</x:v>
      </x:c>
      <x:c r="H38" s="26" t="str">
        <x:v>Normalize to WUBRG letters; expose chosen relation.</x:v>
      </x:c>
      <x:c r="I38" s="43" t="n">
        <x:v>0.92</x:v>
      </x:c>
      <x:c r="J38" s="26" t="str">
        <x:v>https://scryfall.com/docs/syntax</x:v>
      </x:c>
    </x:row>
    <x:row r="39">
      <x:c r="A39" s="26" t="str">
        <x:v>dune brood</x:v>
      </x:c>
      <x:c r="B39" s="26" t="str">
        <x:v>Named color group</x:v>
      </x:c>
      <x:c r="C39" s="26" t="str">
        <x:v>Color identity</x:v>
      </x:c>
      <x:c r="D39" s="26" t="str">
        <x:v>brgw</x:v>
      </x:c>
      <x:c r="E39" s="26" t="str">
        <x:v>id&lt;=brgw</x:v>
      </x:c>
      <x:c r="F39" s="26" t="str">
        <x:v>Default to Commander-compatible identity ceiling in Commander/deckbuilding context.</x:v>
      </x:c>
      <x:c r="G39" s="26" t="str">
        <x:v>Outside Commander, phrase may mean exact card colors or identity. Offer exact/contains/fits-inside alternatives if material.</x:v>
      </x:c>
      <x:c r="H39" s="26" t="str">
        <x:v>Normalize to WUBRG letters; expose chosen relation.</x:v>
      </x:c>
      <x:c r="I39" s="43" t="n">
        <x:v>0.92</x:v>
      </x:c>
      <x:c r="J39" s="26" t="str">
        <x:v>https://scryfall.com/docs/syntax</x:v>
      </x:c>
    </x:row>
    <x:row r="40">
      <x:c r="A40" s="26" t="str">
        <x:v>ink-treader</x:v>
      </x:c>
      <x:c r="B40" s="26" t="str">
        <x:v>Named color group</x:v>
      </x:c>
      <x:c r="C40" s="26" t="str">
        <x:v>Color identity</x:v>
      </x:c>
      <x:c r="D40" s="26" t="str">
        <x:v>rgwu</x:v>
      </x:c>
      <x:c r="E40" s="26" t="str">
        <x:v>id&lt;=rgwu</x:v>
      </x:c>
      <x:c r="F40" s="26" t="str">
        <x:v>Default to Commander-compatible identity ceiling in Commander/deckbuilding context.</x:v>
      </x:c>
      <x:c r="G40" s="26" t="str">
        <x:v>Outside Commander, phrase may mean exact card colors or identity. Offer exact/contains/fits-inside alternatives if material.</x:v>
      </x:c>
      <x:c r="H40" s="26" t="str">
        <x:v>Normalize to WUBRG letters; expose chosen relation.</x:v>
      </x:c>
      <x:c r="I40" s="43" t="n">
        <x:v>0.92</x:v>
      </x:c>
      <x:c r="J40" s="26" t="str">
        <x:v>https://scryfall.com/docs/syntax</x:v>
      </x:c>
    </x:row>
    <x:row r="41">
      <x:c r="A41" s="26" t="str">
        <x:v>ink treader</x:v>
      </x:c>
      <x:c r="B41" s="26" t="str">
        <x:v>Named color group</x:v>
      </x:c>
      <x:c r="C41" s="26" t="str">
        <x:v>Color identity</x:v>
      </x:c>
      <x:c r="D41" s="26" t="str">
        <x:v>rgwu</x:v>
      </x:c>
      <x:c r="E41" s="26" t="str">
        <x:v>id&lt;=rgwu</x:v>
      </x:c>
      <x:c r="F41" s="26" t="str">
        <x:v>Default to Commander-compatible identity ceiling in Commander/deckbuilding context.</x:v>
      </x:c>
      <x:c r="G41" s="26" t="str">
        <x:v>Outside Commander, phrase may mean exact card colors or identity. Offer exact/contains/fits-inside alternatives if material.</x:v>
      </x:c>
      <x:c r="H41" s="26" t="str">
        <x:v>Normalize to WUBRG letters; expose chosen relation.</x:v>
      </x:c>
      <x:c r="I41" s="43" t="n">
        <x:v>0.92</x:v>
      </x:c>
      <x:c r="J41" s="26" t="str">
        <x:v>https://scryfall.com/docs/syntax</x:v>
      </x:c>
    </x:row>
    <x:row r="42">
      <x:c r="A42" s="26" t="str">
        <x:v>witch-maw</x:v>
      </x:c>
      <x:c r="B42" s="26" t="str">
        <x:v>Named color group</x:v>
      </x:c>
      <x:c r="C42" s="26" t="str">
        <x:v>Color identity</x:v>
      </x:c>
      <x:c r="D42" s="26" t="str">
        <x:v>gwub</x:v>
      </x:c>
      <x:c r="E42" s="26" t="str">
        <x:v>id&lt;=gwub</x:v>
      </x:c>
      <x:c r="F42" s="26" t="str">
        <x:v>Default to Commander-compatible identity ceiling in Commander/deckbuilding context.</x:v>
      </x:c>
      <x:c r="G42" s="26" t="str">
        <x:v>Outside Commander, phrase may mean exact card colors or identity. Offer exact/contains/fits-inside alternatives if material.</x:v>
      </x:c>
      <x:c r="H42" s="26" t="str">
        <x:v>Normalize to WUBRG letters; expose chosen relation.</x:v>
      </x:c>
      <x:c r="I42" s="43" t="n">
        <x:v>0.92</x:v>
      </x:c>
      <x:c r="J42" s="26" t="str">
        <x:v>https://scryfall.com/docs/syntax</x:v>
      </x:c>
    </x:row>
    <x:row r="43">
      <x:c r="A43" s="26" t="str">
        <x:v>witch maw</x:v>
      </x:c>
      <x:c r="B43" s="26" t="str">
        <x:v>Named color group</x:v>
      </x:c>
      <x:c r="C43" s="26" t="str">
        <x:v>Color identity</x:v>
      </x:c>
      <x:c r="D43" s="26" t="str">
        <x:v>gwub</x:v>
      </x:c>
      <x:c r="E43" s="26" t="str">
        <x:v>id&lt;=gwub</x:v>
      </x:c>
      <x:c r="F43" s="26" t="str">
        <x:v>Default to Commander-compatible identity ceiling in Commander/deckbuilding context.</x:v>
      </x:c>
      <x:c r="G43" s="26" t="str">
        <x:v>Outside Commander, phrase may mean exact card colors or identity. Offer exact/contains/fits-inside alternatives if material.</x:v>
      </x:c>
      <x:c r="H43" s="26" t="str">
        <x:v>Normalize to WUBRG letters; expose chosen relation.</x:v>
      </x:c>
      <x:c r="I43" s="43" t="n">
        <x:v>0.92</x:v>
      </x:c>
      <x:c r="J43" s="26" t="str">
        <x:v>https://scryfall.com/docs/syntax</x:v>
      </x:c>
    </x:row>
    <x:row r="44">
      <x:c r="A44" s="26" t="str">
        <x:v>yore-tiller</x:v>
      </x:c>
      <x:c r="B44" s="26" t="str">
        <x:v>Named color group</x:v>
      </x:c>
      <x:c r="C44" s="26" t="str">
        <x:v>Color identity</x:v>
      </x:c>
      <x:c r="D44" s="26" t="str">
        <x:v>wubr</x:v>
      </x:c>
      <x:c r="E44" s="26" t="str">
        <x:v>id&lt;=wubr</x:v>
      </x:c>
      <x:c r="F44" s="26" t="str">
        <x:v>Default to Commander-compatible identity ceiling in Commander/deckbuilding context.</x:v>
      </x:c>
      <x:c r="G44" s="26" t="str">
        <x:v>Outside Commander, phrase may mean exact card colors or identity. Offer exact/contains/fits-inside alternatives if material.</x:v>
      </x:c>
      <x:c r="H44" s="26" t="str">
        <x:v>Normalize to WUBRG letters; expose chosen relation.</x:v>
      </x:c>
      <x:c r="I44" s="43" t="n">
        <x:v>0.92</x:v>
      </x:c>
      <x:c r="J44" s="26" t="str">
        <x:v>https://scryfall.com/docs/syntax</x:v>
      </x:c>
    </x:row>
    <x:row r="45">
      <x:c r="A45" s="26" t="str">
        <x:v>yore tiller</x:v>
      </x:c>
      <x:c r="B45" s="26" t="str">
        <x:v>Named color group</x:v>
      </x:c>
      <x:c r="C45" s="26" t="str">
        <x:v>Color identity</x:v>
      </x:c>
      <x:c r="D45" s="26" t="str">
        <x:v>wubr</x:v>
      </x:c>
      <x:c r="E45" s="26" t="str">
        <x:v>id&lt;=wubr</x:v>
      </x:c>
      <x:c r="F45" s="26" t="str">
        <x:v>Default to Commander-compatible identity ceiling in Commander/deckbuilding context.</x:v>
      </x:c>
      <x:c r="G45" s="26" t="str">
        <x:v>Outside Commander, phrase may mean exact card colors or identity. Offer exact/contains/fits-inside alternatives if material.</x:v>
      </x:c>
      <x:c r="H45" s="26" t="str">
        <x:v>Normalize to WUBRG letters; expose chosen relation.</x:v>
      </x:c>
      <x:c r="I45" s="43" t="n">
        <x:v>0.92</x:v>
      </x:c>
      <x:c r="J45" s="26" t="str">
        <x:v>https://scryfall.com/docs/syntax</x:v>
      </x:c>
    </x:row>
    <x:row r="46">
      <x:c r="A46" s="26" t="str">
        <x:v>chaos</x:v>
      </x:c>
      <x:c r="B46" s="26" t="str">
        <x:v>Named color group</x:v>
      </x:c>
      <x:c r="C46" s="26" t="str">
        <x:v>Color identity</x:v>
      </x:c>
      <x:c r="D46" s="26" t="str">
        <x:v>ubrg</x:v>
      </x:c>
      <x:c r="E46" s="26" t="str">
        <x:v>id&lt;=ubrg</x:v>
      </x:c>
      <x:c r="F46" s="26" t="str">
        <x:v>Default to Commander-compatible identity ceiling in Commander/deckbuilding context.</x:v>
      </x:c>
      <x:c r="G46" s="26" t="str">
        <x:v>Outside Commander, phrase may mean exact card colors or identity. Offer exact/contains/fits-inside alternatives if material.</x:v>
      </x:c>
      <x:c r="H46" s="26" t="str">
        <x:v>Normalize to WUBRG letters; expose chosen relation.</x:v>
      </x:c>
      <x:c r="I46" s="43" t="n">
        <x:v>0.92</x:v>
      </x:c>
      <x:c r="J46" s="26" t="str">
        <x:v>https://scryfall.com/docs/syntax</x:v>
      </x:c>
    </x:row>
    <x:row r="47">
      <x:c r="A47" s="26" t="str">
        <x:v>aggression</x:v>
      </x:c>
      <x:c r="B47" s="26" t="str">
        <x:v>Named color group</x:v>
      </x:c>
      <x:c r="C47" s="26" t="str">
        <x:v>Color identity</x:v>
      </x:c>
      <x:c r="D47" s="26" t="str">
        <x:v>brgw</x:v>
      </x:c>
      <x:c r="E47" s="26" t="str">
        <x:v>id&lt;=brgw</x:v>
      </x:c>
      <x:c r="F47" s="26" t="str">
        <x:v>Default to Commander-compatible identity ceiling in Commander/deckbuilding context.</x:v>
      </x:c>
      <x:c r="G47" s="26" t="str">
        <x:v>Outside Commander, phrase may mean exact card colors or identity. Offer exact/contains/fits-inside alternatives if material.</x:v>
      </x:c>
      <x:c r="H47" s="26" t="str">
        <x:v>Normalize to WUBRG letters; expose chosen relation.</x:v>
      </x:c>
      <x:c r="I47" s="43" t="n">
        <x:v>0.92</x:v>
      </x:c>
      <x:c r="J47" s="26" t="str">
        <x:v>https://scryfall.com/docs/syntax</x:v>
      </x:c>
    </x:row>
    <x:row r="48">
      <x:c r="A48" s="26" t="str">
        <x:v>altruism</x:v>
      </x:c>
      <x:c r="B48" s="26" t="str">
        <x:v>Named color group</x:v>
      </x:c>
      <x:c r="C48" s="26" t="str">
        <x:v>Color identity</x:v>
      </x:c>
      <x:c r="D48" s="26" t="str">
        <x:v>rgwu</x:v>
      </x:c>
      <x:c r="E48" s="26" t="str">
        <x:v>id&lt;=rgwu</x:v>
      </x:c>
      <x:c r="F48" s="26" t="str">
        <x:v>Default to Commander-compatible identity ceiling in Commander/deckbuilding context.</x:v>
      </x:c>
      <x:c r="G48" s="26" t="str">
        <x:v>Outside Commander, phrase may mean exact card colors or identity. Offer exact/contains/fits-inside alternatives if material.</x:v>
      </x:c>
      <x:c r="H48" s="26" t="str">
        <x:v>Normalize to WUBRG letters; expose chosen relation.</x:v>
      </x:c>
      <x:c r="I48" s="43" t="n">
        <x:v>0.92</x:v>
      </x:c>
      <x:c r="J48" s="26" t="str">
        <x:v>https://scryfall.com/docs/syntax</x:v>
      </x:c>
    </x:row>
    <x:row r="49">
      <x:c r="A49" s="26" t="str">
        <x:v>growth</x:v>
      </x:c>
      <x:c r="B49" s="26" t="str">
        <x:v>Named color group</x:v>
      </x:c>
      <x:c r="C49" s="26" t="str">
        <x:v>Color identity</x:v>
      </x:c>
      <x:c r="D49" s="26" t="str">
        <x:v>gwub</x:v>
      </x:c>
      <x:c r="E49" s="26" t="str">
        <x:v>id&lt;=gwub</x:v>
      </x:c>
      <x:c r="F49" s="26" t="str">
        <x:v>Default to Commander-compatible identity ceiling in Commander/deckbuilding context.</x:v>
      </x:c>
      <x:c r="G49" s="26" t="str">
        <x:v>Outside Commander, phrase may mean exact card colors or identity. Offer exact/contains/fits-inside alternatives if material.</x:v>
      </x:c>
      <x:c r="H49" s="26" t="str">
        <x:v>Normalize to WUBRG letters; expose chosen relation.</x:v>
      </x:c>
      <x:c r="I49" s="43" t="n">
        <x:v>0.92</x:v>
      </x:c>
      <x:c r="J49" s="26" t="str">
        <x:v>https://scryfall.com/docs/syntax</x:v>
      </x:c>
    </x:row>
    <x:row r="50">
      <x:c r="A50" s="26" t="str">
        <x:v>artifice</x:v>
      </x:c>
      <x:c r="B50" s="26" t="str">
        <x:v>Named color group</x:v>
      </x:c>
      <x:c r="C50" s="26" t="str">
        <x:v>Color identity</x:v>
      </x:c>
      <x:c r="D50" s="26" t="str">
        <x:v>wubr</x:v>
      </x:c>
      <x:c r="E50" s="26" t="str">
        <x:v>id&lt;=wubr</x:v>
      </x:c>
      <x:c r="F50" s="26" t="str">
        <x:v>Default to Commander-compatible identity ceiling in Commander/deckbuilding context.</x:v>
      </x:c>
      <x:c r="G50" s="26" t="str">
        <x:v>Outside Commander, phrase may mean exact card colors or identity. Offer exact/contains/fits-inside alternatives if material.</x:v>
      </x:c>
      <x:c r="H50" s="26" t="str">
        <x:v>Normalize to WUBRG letters; expose chosen relation.</x:v>
      </x:c>
      <x:c r="I50" s="43" t="n">
        <x:v>0.92</x:v>
      </x:c>
      <x:c r="J50" s="26" t="str">
        <x:v>https://scryfall.com/docs/syntax</x:v>
      </x:c>
    </x:row>
    <x:row r="51">
      <x:c r="A51" s="26" t="str">
        <x:v>five color</x:v>
      </x:c>
      <x:c r="B51" s="26" t="str">
        <x:v>Named color group</x:v>
      </x:c>
      <x:c r="C51" s="26" t="str">
        <x:v>Color identity</x:v>
      </x:c>
      <x:c r="D51" s="26" t="str">
        <x:v>wubrg</x:v>
      </x:c>
      <x:c r="E51" s="26" t="str">
        <x:v>id&lt;=wubrg</x:v>
      </x:c>
      <x:c r="F51" s="26" t="str">
        <x:v>Default to Commander-compatible identity ceiling in Commander/deckbuilding context.</x:v>
      </x:c>
      <x:c r="G51" s="26" t="str">
        <x:v>Outside Commander, phrase may mean exact card colors or identity. Offer exact/contains/fits-inside alternatives if material.</x:v>
      </x:c>
      <x:c r="H51" s="26" t="str">
        <x:v>Normalize to WUBRG letters; expose chosen relation.</x:v>
      </x:c>
      <x:c r="I51" s="43" t="n">
        <x:v>0.92</x:v>
      </x:c>
      <x:c r="J51" s="26" t="str">
        <x:v>https://scryfall.com/docs/syntax</x:v>
      </x:c>
    </x:row>
    <x:row r="52">
      <x:c r="A52" s="26" t="str">
        <x:v>five-color</x:v>
      </x:c>
      <x:c r="B52" s="26" t="str">
        <x:v>Named color group</x:v>
      </x:c>
      <x:c r="C52" s="26" t="str">
        <x:v>Color identity</x:v>
      </x:c>
      <x:c r="D52" s="26" t="str">
        <x:v>wubrg</x:v>
      </x:c>
      <x:c r="E52" s="26" t="str">
        <x:v>id&lt;=wubrg</x:v>
      </x:c>
      <x:c r="F52" s="26" t="str">
        <x:v>Default to Commander-compatible identity ceiling in Commander/deckbuilding context.</x:v>
      </x:c>
      <x:c r="G52" s="26" t="str">
        <x:v>Outside Commander, phrase may mean exact card colors or identity. Offer exact/contains/fits-inside alternatives if material.</x:v>
      </x:c>
      <x:c r="H52" s="26" t="str">
        <x:v>Normalize to WUBRG letters; expose chosen relation.</x:v>
      </x:c>
      <x:c r="I52" s="43" t="n">
        <x:v>0.92</x:v>
      </x:c>
      <x:c r="J52" s="26" t="str">
        <x:v>https://scryfall.com/docs/syntax</x:v>
      </x:c>
    </x:row>
    <x:row r="53">
      <x:c r="A53" s="26" t="str">
        <x:v>5 color</x:v>
      </x:c>
      <x:c r="B53" s="26" t="str">
        <x:v>Named color group</x:v>
      </x:c>
      <x:c r="C53" s="26" t="str">
        <x:v>Color identity</x:v>
      </x:c>
      <x:c r="D53" s="26" t="str">
        <x:v>wubrg</x:v>
      </x:c>
      <x:c r="E53" s="26" t="str">
        <x:v>id&lt;=wubrg</x:v>
      </x:c>
      <x:c r="F53" s="26" t="str">
        <x:v>Default to Commander-compatible identity ceiling in Commander/deckbuilding context.</x:v>
      </x:c>
      <x:c r="G53" s="26" t="str">
        <x:v>Outside Commander, phrase may mean exact card colors or identity. Offer exact/contains/fits-inside alternatives if material.</x:v>
      </x:c>
      <x:c r="H53" s="26" t="str">
        <x:v>Normalize to WUBRG letters; expose chosen relation.</x:v>
      </x:c>
      <x:c r="I53" s="43" t="n">
        <x:v>0.92</x:v>
      </x:c>
      <x:c r="J53" s="26" t="str">
        <x:v>https://scryfall.com/docs/syntax</x:v>
      </x:c>
    </x:row>
    <x:row r="54">
      <x:c r="A54" s="26" t="str">
        <x:v>wubrg</x:v>
      </x:c>
      <x:c r="B54" s="26" t="str">
        <x:v>Named color group</x:v>
      </x:c>
      <x:c r="C54" s="26" t="str">
        <x:v>Color identity</x:v>
      </x:c>
      <x:c r="D54" s="26" t="str">
        <x:v>wubrg</x:v>
      </x:c>
      <x:c r="E54" s="26" t="str">
        <x:v>id&lt;=wubrg</x:v>
      </x:c>
      <x:c r="F54" s="26" t="str">
        <x:v>Default to Commander-compatible identity ceiling in Commander/deckbuilding context.</x:v>
      </x:c>
      <x:c r="G54" s="26" t="str">
        <x:v>Outside Commander, phrase may mean exact card colors or identity. Offer exact/contains/fits-inside alternatives if material.</x:v>
      </x:c>
      <x:c r="H54" s="26" t="str">
        <x:v>Normalize to WUBRG letters; expose chosen relation.</x:v>
      </x:c>
      <x:c r="I54" s="43" t="n">
        <x:v>0.92</x:v>
      </x:c>
      <x:c r="J54" s="26" t="str">
        <x:v>https://scryfall.com/docs/syntax</x:v>
      </x:c>
    </x:row>
  </x:sheetData>
  <x:mergeCells>
    <x:mergeCell ref="A1:J1"/>
    <x:mergeCell ref="A2:J2"/>
  </x:mergeCells>
  <x:pageMargins left="0.7" right="0.7" top="0.75" bottom="0.75" header="0.3" footer="0.3"/>
  <x:tableParts count="1">
    <x:tablePart xmlns:r="http://schemas.openxmlformats.org/officeDocument/2006/relationships" r:id="Ree5f885727c741bd"/>
  </x:tableParts>
</x:worksheet>
</file>

<file path=xl/worksheets/sheet6.xml><?xml version="1.0" encoding="utf-8"?>
<x:worksheet xmlns:x="http://schemas.openxmlformats.org/spreadsheetml/2006/main">
  <x:sheetFormatPr defaultRowHeight="15"/>
  <x:cols>
    <x:col min="1" max="1" width="28" hidden="0" customWidth="1"/>
    <x:col min="2" max="2" width="24" hidden="0" customWidth="1"/>
    <x:col min="3" max="3" width="44" hidden="0" customWidth="1"/>
    <x:col min="4" max="4" width="44" hidden="0" customWidth="1"/>
    <x:col min="5" max="5" width="42" hidden="0" customWidth="1"/>
    <x:col min="6" max="6" width="18" hidden="0" customWidth="1"/>
    <x:col min="7" max="7" width="12" hidden="0" customWidth="1"/>
    <x:col min="8" max="8" width="54" hidden="0" customWidth="1"/>
  </x:cols>
  <x:sheetData>
    <x:row r="1" ht="28" customHeight="1">
      <x:c r="A1" s="33" t="str">
        <x:v>DECK ARCHETYPE → SCRYFALL MAP</x:v>
      </x:c>
      <x:c r="B1" s="33"/>
      <x:c r="C1" s="33"/>
      <x:c r="D1" s="33"/>
      <x:c r="E1" s="33"/>
      <x:c r="F1" s="33"/>
      <x:c r="G1" s="33"/>
      <x:c r="H1" s="33"/>
    </x:row>
    <x:row r="2" ht="30" customHeight="1">
      <x:c r="A2" s="35" t="str">
        <x:v>All 58 archetypes from the source workbook, explicitly separated into direct/native, reviewable composite, and semantic-only interpretations.</x:v>
      </x:c>
      <x:c r="B2" s="35"/>
      <x:c r="C2" s="35"/>
      <x:c r="D2" s="35"/>
      <x:c r="E2" s="35"/>
      <x:c r="F2" s="35"/>
      <x:c r="G2" s="35"/>
      <x:c r="H2" s="35"/>
    </x:row>
    <x:row r="4" ht="28" customHeight="1">
      <x:c r="A4" s="39" t="str">
        <x:v>Archetype</x:v>
      </x:c>
      <x:c r="B4" s="39" t="str">
        <x:v>Intent Class</x:v>
      </x:c>
      <x:c r="C4" s="39" t="str">
        <x:v>Preferred Query / Recipe</x:v>
      </x:c>
      <x:c r="D4" s="39" t="str">
        <x:v>Fallback / Alternate</x:v>
      </x:c>
      <x:c r="E4" s="39" t="str">
        <x:v>Plain-Language Triggers</x:v>
      </x:c>
      <x:c r="F4" s="39" t="str">
        <x:v>Master Status</x:v>
      </x:c>
      <x:c r="G4" s="39" t="str">
        <x:v>Confidence</x:v>
      </x:c>
      <x:c r="H4" s="39" t="str">
        <x:v>Guardrail</x:v>
      </x:c>
    </x:row>
    <x:row r="5">
      <x:c r="A5" s="26" t="str">
        <x:v>Tokens</x:v>
      </x:c>
      <x:c r="B5" s="26" t="str">
        <x:v>Semantic function</x:v>
      </x:c>
      <x:c r="C5" s="26" t="str">
        <x:v>o:/create.*token/</x:v>
      </x:c>
      <x:c r="D5" s="26" t="str">
        <x:v>otag:token-generator</x:v>
      </x:c>
      <x:c r="E5" s="26" t="str">
        <x:v>token deck; go wide; token makers; make tokens</x:v>
      </x:c>
      <x:c r="F5" s="26" t="str">
        <x:v>Review</x:v>
      </x:c>
      <x:c r="G5" s="43" t="n">
        <x:v>0.68</x:v>
      </x:c>
      <x:c r="H5" s="26" t="str">
        <x:v>Oracle regex is the safe baseline; Tagger candidate should be validated before production.</x:v>
      </x:c>
    </x:row>
    <x:row r="6">
      <x:c r="A6" s="26" t="str">
        <x:v>+1/+1 Counters</x:v>
      </x:c>
      <x:c r="B6" s="26" t="str">
        <x:v>Semantic function</x:v>
      </x:c>
      <x:c r="C6" s="26" t="str">
        <x:v>o:/\+1\/\+1 counter/</x:v>
      </x:c>
      <x:c r="D6" s="26" t="str">
        <x:v>(otag:pp-counters-matter or otag:gives-pp-counters)</x:v>
      </x:c>
      <x:c r="E6" s="26" t="str">
        <x:v>+1 counters; plus one counters; counters matter</x:v>
      </x:c>
      <x:c r="F6" s="26" t="str">
        <x:v>Production-ready</x:v>
      </x:c>
      <x:c r="G6" s="43" t="n">
        <x:v>0.94</x:v>
      </x:c>
      <x:c r="H6" s="26" t="str">
        <x:v>EDHREC examples validate pp-counters-matter/gives-pp-counters; regex is broader literal fallback.</x:v>
      </x:c>
    </x:row>
    <x:row r="7">
      <x:c r="A7" s="26" t="str">
        <x:v>Artifacts</x:v>
      </x:c>
      <x:c r="B7" s="26" t="str">
        <x:v>Relationship</x:v>
      </x:c>
      <x:c r="C7" s="26" t="str">
        <x:v>t:artifact</x:v>
      </x:c>
      <x:c r="D7" s="26" t="str">
        <x:v>o:artifact</x:v>
      </x:c>
      <x:c r="E7" s="26" t="str">
        <x:v>artifacts; artifact deck; artifacts matter</x:v>
      </x:c>
      <x:c r="F7" s="26" t="str">
        <x:v>Review</x:v>
      </x:c>
      <x:c r="G7" s="43" t="n">
        <x:v>0.68</x:v>
      </x:c>
      <x:c r="H7" s="26" t="str">
        <x:v>t:artifact finds artifact cards; artifact-synergy requests require relationship expansion.</x:v>
      </x:c>
    </x:row>
    <x:row r="8">
      <x:c r="A8" s="26" t="str">
        <x:v>Combo</x:v>
      </x:c>
      <x:c r="B8" s="26" t="str">
        <x:v>Subjective archetype</x:v>
      </x:c>
      <x:c r="C8" s="26" t="str"/>
      <x:c r="D8" s="26" t="str"/>
      <x:c r="E8" s="26" t="str">
        <x:v>combo; combos; combo pieces</x:v>
      </x:c>
      <x:c r="F8" s="26" t="str">
        <x:v>Semantic</x:v>
      </x:c>
      <x:c r="G8" s="43" t="n">
        <x:v>0.3</x:v>
      </x:c>
      <x:c r="H8" s="26" t="str">
        <x:v>No single native operator safely represents 'combo'. Keep as semantic intent unless a governed combo corpus is added.</x:v>
      </x:c>
    </x:row>
    <x:row r="9">
      <x:c r="A9" s="26" t="str">
        <x:v>Lifegain</x:v>
      </x:c>
      <x:c r="B9" s="26" t="str">
        <x:v>Semantic function</x:v>
      </x:c>
      <x:c r="C9" s="26" t="str">
        <x:v>o:/gain.*life/</x:v>
      </x:c>
      <x:c r="D9" s="26" t="str"/>
      <x:c r="E9" s="26" t="str">
        <x:v>lifegain; life gain; gain life</x:v>
      </x:c>
      <x:c r="F9" s="26" t="str">
        <x:v>Production-ready</x:v>
      </x:c>
      <x:c r="G9" s="43" t="n">
        <x:v>0.94</x:v>
      </x:c>
      <x:c r="H9" s="26" t="str">
        <x:v>Literal life-gain wording is a strong baseline; payoff requests need a separate 'life gain matters' concept.</x:v>
      </x:c>
    </x:row>
    <x:row r="10">
      <x:c r="A10" s="26" t="str">
        <x:v>Spellslinger</x:v>
      </x:c>
      <x:c r="B10" s="26" t="str">
        <x:v>Relationship</x:v>
      </x:c>
      <x:c r="C10" s="26" t="str">
        <x:v>(t:instant or t:sorcery)</x:v>
      </x:c>
      <x:c r="D10" s="26" t="str"/>
      <x:c r="E10" s="26" t="str">
        <x:v>spellslinger; spells matter; instants and sorceries</x:v>
      </x:c>
      <x:c r="F10" s="26" t="str">
        <x:v>Semantic</x:v>
      </x:c>
      <x:c r="G10" s="43" t="n">
        <x:v>0.3</x:v>
      </x:c>
      <x:c r="H10" s="26" t="str">
        <x:v>Archetype normally means payoffs/support, not merely instant/sorcery cards.</x:v>
      </x:c>
    </x:row>
    <x:row r="11">
      <x:c r="A11" s="26" t="str">
        <x:v>Aristocrats</x:v>
      </x:c>
      <x:c r="B11" s="26" t="str">
        <x:v>Composite archetype</x:v>
      </x:c>
      <x:c r="C11" s="26" t="str">
        <x:v>o:sacrifice</x:v>
      </x:c>
      <x:c r="D11" s="26" t="str">
        <x:v>(otag:sacrifice-outlet or o:/whenever .* dies/)</x:v>
      </x:c>
      <x:c r="E11" s="26" t="str">
        <x:v>aristocrats; death triggers; sacrifice deck</x:v>
      </x:c>
      <x:c r="F11" s="26" t="str">
        <x:v>Review</x:v>
      </x:c>
      <x:c r="G11" s="43" t="n">
        <x:v>0.68</x:v>
      </x:c>
      <x:c r="H11" s="26" t="str">
        <x:v>Composite relationship: sacrifice outlets, death payoffs, fodder, recursion.</x:v>
      </x:c>
    </x:row>
    <x:row r="12">
      <x:c r="A12" s="26" t="str">
        <x:v>Reanimator</x:v>
      </x:c>
      <x:c r="B12" s="26" t="str">
        <x:v>Semantic function</x:v>
      </x:c>
      <x:c r="C12" s="26" t="str">
        <x:v>o:/return.*creature.*from.*graveyard.*battlefield/</x:v>
      </x:c>
      <x:c r="D12" s="26" t="str">
        <x:v>otag:reanimate</x:v>
      </x:c>
      <x:c r="E12" s="26" t="str">
        <x:v>reanimator; reanimate; bring creatures back</x:v>
      </x:c>
      <x:c r="F12" s="26" t="str">
        <x:v>Review</x:v>
      </x:c>
      <x:c r="G12" s="43" t="n">
        <x:v>0.68</x:v>
      </x:c>
      <x:c r="H12" s="26" t="str">
        <x:v>Use validated Tagger mapping when available; regex is a literal fallback.</x:v>
      </x:c>
    </x:row>
    <x:row r="13">
      <x:c r="A13" s="26" t="str">
        <x:v>Ramp</x:v>
      </x:c>
      <x:c r="B13" s="26" t="str">
        <x:v>Semantic function</x:v>
      </x:c>
      <x:c r="C13" s="26" t="str">
        <x:v>otag:ramp</x:v>
      </x:c>
      <x:c r="D13" s="26" t="str"/>
      <x:c r="E13" s="26" t="str">
        <x:v>ramp; mana ramp; accelerate mana</x:v>
      </x:c>
      <x:c r="F13" s="26" t="str">
        <x:v>Production-ready</x:v>
      </x:c>
      <x:c r="G13" s="43" t="n">
        <x:v>0.94</x:v>
      </x:c>
      <x:c r="H13" s="26" t="str">
        <x:v>EDHREC validates otag:ramp.</x:v>
      </x:c>
    </x:row>
    <x:row r="14">
      <x:c r="A14" s="26" t="str">
        <x:v>Lands Matter</x:v>
      </x:c>
      <x:c r="B14" s="26" t="str">
        <x:v>Relationship</x:v>
      </x:c>
      <x:c r="C14" s="26" t="str">
        <x:v>o:land</x:v>
      </x:c>
      <x:c r="D14" s="26" t="str"/>
      <x:c r="E14" s="26" t="str">
        <x:v>lands matter; land deck; land synergy</x:v>
      </x:c>
      <x:c r="F14" s="26" t="str">
        <x:v>Semantic</x:v>
      </x:c>
      <x:c r="G14" s="43" t="n">
        <x:v>0.3</x:v>
      </x:c>
      <x:c r="H14" s="26" t="str">
        <x:v>Broad relationship; do not collapse to cards merely containing 'land' without disclosing the expansion.</x:v>
      </x:c>
    </x:row>
    <x:row r="15">
      <x:c r="A15" s="26" t="str">
        <x:v>Landfall</x:v>
      </x:c>
      <x:c r="B15" s="26" t="str">
        <x:v>Named mechanic</x:v>
      </x:c>
      <x:c r="C15" s="26" t="str">
        <x:v>o:landfall</x:v>
      </x:c>
      <x:c r="D15" s="26" t="str"/>
      <x:c r="E15" s="26" t="str">
        <x:v>landfall</x:v>
      </x:c>
      <x:c r="F15" s="26" t="str">
        <x:v>Production-ready</x:v>
      </x:c>
      <x:c r="G15" s="43" t="n">
        <x:v>0.94</x:v>
      </x:c>
      <x:c r="H15" s="26" t="str">
        <x:v>Ability-word text search is direct.</x:v>
      </x:c>
    </x:row>
    <x:row r="16">
      <x:c r="A16" s="26" t="str">
        <x:v>Treasure</x:v>
      </x:c>
      <x:c r="B16" s="26" t="str">
        <x:v>Named token/function</x:v>
      </x:c>
      <x:c r="C16" s="26" t="str">
        <x:v>o:Treasure</x:v>
      </x:c>
      <x:c r="D16" s="26" t="str"/>
      <x:c r="E16" s="26" t="str">
        <x:v>treasure; treasures; treasure tokens</x:v>
      </x:c>
      <x:c r="F16" s="26" t="str">
        <x:v>Production-ready</x:v>
      </x:c>
      <x:c r="G16" s="43" t="n">
        <x:v>0.94</x:v>
      </x:c>
      <x:c r="H16" s="26" t="str">
        <x:v>Direct Oracle text baseline; distinguish Treasure cards from Treasure art.</x:v>
      </x:c>
    </x:row>
    <x:row r="17">
      <x:c r="A17" s="26" t="str">
        <x:v>Equipment</x:v>
      </x:c>
      <x:c r="B17" s="26" t="str">
        <x:v>Native taxonomy</x:v>
      </x:c>
      <x:c r="C17" s="26" t="str">
        <x:v>t:equipment</x:v>
      </x:c>
      <x:c r="D17" s="26" t="str"/>
      <x:c r="E17" s="26" t="str">
        <x:v>equipment; equipments</x:v>
      </x:c>
      <x:c r="F17" s="26" t="str">
        <x:v>Production-ready</x:v>
      </x:c>
      <x:c r="G17" s="43" t="n">
        <x:v>0.94</x:v>
      </x:c>
      <x:c r="H17" s="26" t="str">
        <x:v>Direct type/subtype search for Equipment cards. 'Equipment matters' is a separate relationship intent.</x:v>
      </x:c>
    </x:row>
    <x:row r="18">
      <x:c r="A18" s="26" t="str">
        <x:v>Enchantress</x:v>
      </x:c>
      <x:c r="B18" s="26" t="str">
        <x:v>Relationship</x:v>
      </x:c>
      <x:c r="C18" s="26" t="str">
        <x:v>o:enchantment</x:v>
      </x:c>
      <x:c r="D18" s="26" t="str"/>
      <x:c r="E18" s="26" t="str">
        <x:v>enchantress; enchantments matter</x:v>
      </x:c>
      <x:c r="F18" s="26" t="str">
        <x:v>Semantic</x:v>
      </x:c>
      <x:c r="G18" s="43" t="n">
        <x:v>0.3</x:v>
      </x:c>
      <x:c r="H18" s="26" t="str">
        <x:v>Archetype is semantic; direct enchantment type should not be substituted for payoff/support intent.</x:v>
      </x:c>
    </x:row>
    <x:row r="19">
      <x:c r="A19" s="26" t="str">
        <x:v>Control</x:v>
      </x:c>
      <x:c r="B19" s="26" t="str">
        <x:v>Subjective archetype</x:v>
      </x:c>
      <x:c r="C19" s="26" t="str"/>
      <x:c r="D19" s="26" t="str"/>
      <x:c r="E19" s="26" t="str">
        <x:v>control; control deck</x:v>
      </x:c>
      <x:c r="F19" s="26" t="str">
        <x:v>Semantic</x:v>
      </x:c>
      <x:c r="G19" s="43" t="n">
        <x:v>0.3</x:v>
      </x:c>
      <x:c r="H19" s="26" t="str">
        <x:v>No single Scryfall operator defines a control deck.</x:v>
      </x:c>
    </x:row>
    <x:row r="20">
      <x:c r="A20" s="26" t="str">
        <x:v>Voltron</x:v>
      </x:c>
      <x:c r="B20" s="26" t="str">
        <x:v>Composite archetype</x:v>
      </x:c>
      <x:c r="C20" s="26" t="str">
        <x:v>(t:equipment or t:aura)</x:v>
      </x:c>
      <x:c r="D20" s="26" t="str"/>
      <x:c r="E20" s="26" t="str">
        <x:v>voltron; suit up commander; commander damage</x:v>
      </x:c>
      <x:c r="F20" s="26" t="str">
        <x:v>Semantic</x:v>
      </x:c>
      <x:c r="G20" s="43" t="n">
        <x:v>0.3</x:v>
      </x:c>
      <x:c r="H20" s="26" t="str">
        <x:v>Requires relation to one creature/commander, protection, evasion, auras/equipment.</x:v>
      </x:c>
    </x:row>
    <x:row r="21">
      <x:c r="A21" s="26" t="str">
        <x:v>Blink / Flicker</x:v>
      </x:c>
      <x:c r="B21" s="26" t="str">
        <x:v>Semantic function</x:v>
      </x:c>
      <x:c r="C21" s="26" t="str">
        <x:v>o:/exile.*return.*battlefield/</x:v>
      </x:c>
      <x:c r="D21" s="26" t="str">
        <x:v>otag:blink</x:v>
      </x:c>
      <x:c r="E21" s="26" t="str">
        <x:v>blink; flicker; exile and return</x:v>
      </x:c>
      <x:c r="F21" s="26" t="str">
        <x:v>Production-ready</x:v>
      </x:c>
      <x:c r="G21" s="43" t="n">
        <x:v>0.94</x:v>
      </x:c>
      <x:c r="H21" s="26" t="str">
        <x:v>Master-class validated pattern; Tagger is preferable when allowlisted.</x:v>
      </x:c>
    </x:row>
    <x:row r="22">
      <x:c r="A22" s="26" t="str">
        <x:v>Graveyard Value</x:v>
      </x:c>
      <x:c r="B22" s="26" t="str">
        <x:v>Relationship</x:v>
      </x:c>
      <x:c r="C22" s="26" t="str">
        <x:v>o:graveyard</x:v>
      </x:c>
      <x:c r="D22" s="26" t="str"/>
      <x:c r="E22" s="26" t="str">
        <x:v>graveyard value; graveyard matters; yard value</x:v>
      </x:c>
      <x:c r="F22" s="26" t="str">
        <x:v>Semantic</x:v>
      </x:c>
      <x:c r="G22" s="43" t="n">
        <x:v>0.3</x:v>
      </x:c>
      <x:c r="H22" s="26" t="str">
        <x:v>Broad relationship: recursion, cast/play from graveyard, death payoffs, self-mill, delirium, etc.</x:v>
      </x:c>
    </x:row>
    <x:row r="23">
      <x:c r="A23" s="26" t="str">
        <x:v>Mill</x:v>
      </x:c>
      <x:c r="B23" s="26" t="str">
        <x:v>Semantic function</x:v>
      </x:c>
      <x:c r="C23" s="26" t="str">
        <x:v>o:mill</x:v>
      </x:c>
      <x:c r="D23" s="26" t="str">
        <x:v>(otag:mill or otag:mill-opponent)</x:v>
      </x:c>
      <x:c r="E23" s="26" t="str">
        <x:v>mill; mill opponent; decking</x:v>
      </x:c>
      <x:c r="F23" s="26" t="str">
        <x:v>Production-ready</x:v>
      </x:c>
      <x:c r="G23" s="43" t="n">
        <x:v>0.94</x:v>
      </x:c>
      <x:c r="H23" s="26" t="str">
        <x:v>EDHREC validates mill family tags.</x:v>
      </x:c>
    </x:row>
    <x:row r="24">
      <x:c r="A24" s="26" t="str">
        <x:v>Big Mana / Stompy</x:v>
      </x:c>
      <x:c r="B24" s="26" t="str">
        <x:v>Subjective archetype</x:v>
      </x:c>
      <x:c r="C24" s="26" t="str">
        <x:v>mv&gt;=6</x:v>
      </x:c>
      <x:c r="D24" s="26" t="str"/>
      <x:c r="E24" s="26" t="str">
        <x:v>big mana; stompy; big creatures</x:v>
      </x:c>
      <x:c r="F24" s="26" t="str">
        <x:v>Semantic</x:v>
      </x:c>
      <x:c r="G24" s="43" t="n">
        <x:v>0.3</x:v>
      </x:c>
      <x:c r="H24" s="26" t="str">
        <x:v>Mana-value threshold is an assumption, not a definition.</x:v>
      </x:c>
    </x:row>
    <x:row r="25">
      <x:c r="A25" s="26" t="str">
        <x:v>Typal</x:v>
      </x:c>
      <x:c r="B25" s="26" t="str">
        <x:v>Relationship</x:v>
      </x:c>
      <x:c r="C25" s="26" t="str"/>
      <x:c r="D25" s="26" t="str"/>
      <x:c r="E25" s="26" t="str">
        <x:v>typal; tribal; creature type deck</x:v>
      </x:c>
      <x:c r="F25" s="26" t="str">
        <x:v>Semantic</x:v>
      </x:c>
      <x:c r="G25" s="43" t="n">
        <x:v>0.3</x:v>
      </x:c>
      <x:c r="H25" s="26" t="str">
        <x:v>Requires a creature type. Translator should resolve the subtype and whether user wants members or payoffs.</x:v>
      </x:c>
    </x:row>
    <x:row r="26">
      <x:c r="A26" s="26" t="str">
        <x:v>Midrange Value</x:v>
      </x:c>
      <x:c r="B26" s="26" t="str">
        <x:v>Subjective archetype</x:v>
      </x:c>
      <x:c r="C26" s="26" t="str"/>
      <x:c r="D26" s="26" t="str"/>
      <x:c r="E26" s="26" t="str">
        <x:v>midrange; value deck; grindy</x:v>
      </x:c>
      <x:c r="F26" s="26" t="str">
        <x:v>Semantic</x:v>
      </x:c>
      <x:c r="G26" s="43" t="n">
        <x:v>0.3</x:v>
      </x:c>
      <x:c r="H26" s="26" t="str">
        <x:v>Subjective strategy, unsuitable for silent deterministic translation.</x:v>
      </x:c>
    </x:row>
    <x:row r="27">
      <x:c r="A27" s="26" t="str">
        <x:v>Politics / Deals</x:v>
      </x:c>
      <x:c r="B27" s="26" t="str">
        <x:v>Relationship</x:v>
      </x:c>
      <x:c r="C27" s="26" t="str">
        <x:v>o:/you and target opponent|each player|an opponent may/</x:v>
      </x:c>
      <x:c r="D27" s="26" t="str"/>
      <x:c r="E27" s="26" t="str">
        <x:v>politics; deals; political cards</x:v>
      </x:c>
      <x:c r="F27" s="26" t="str">
        <x:v>Review</x:v>
      </x:c>
      <x:c r="G27" s="43" t="n">
        <x:v>0.68</x:v>
      </x:c>
      <x:c r="H27" s="26" t="str">
        <x:v>Regex is discovery-only; semantics vary widely.</x:v>
      </x:c>
    </x:row>
    <x:row r="28">
      <x:c r="A28" s="26" t="str">
        <x:v>Auras</x:v>
      </x:c>
      <x:c r="B28" s="26" t="str">
        <x:v>Native taxonomy</x:v>
      </x:c>
      <x:c r="C28" s="26" t="str">
        <x:v>t:aura</x:v>
      </x:c>
      <x:c r="D28" s="26" t="str"/>
      <x:c r="E28" s="26" t="str">
        <x:v>aura; auras</x:v>
      </x:c>
      <x:c r="F28" s="26" t="str">
        <x:v>Production-ready</x:v>
      </x:c>
      <x:c r="G28" s="43" t="n">
        <x:v>0.94</x:v>
      </x:c>
      <x:c r="H28" s="26" t="str">
        <x:v>Direct subtype search for Aura cards; aura-synergy is separate.</x:v>
      </x:c>
    </x:row>
    <x:row r="29">
      <x:c r="A29" s="26" t="str">
        <x:v>Burn</x:v>
      </x:c>
      <x:c r="B29" s="26" t="str">
        <x:v>Semantic function</x:v>
      </x:c>
      <x:c r="C29" s="26" t="str">
        <x:v>o:/deals? \d+ damage/</x:v>
      </x:c>
      <x:c r="D29" s="26" t="str"/>
      <x:c r="E29" s="26" t="str">
        <x:v>burn; direct damage; face damage</x:v>
      </x:c>
      <x:c r="F29" s="26" t="str">
        <x:v>Review</x:v>
      </x:c>
      <x:c r="G29" s="43" t="n">
        <x:v>0.68</x:v>
      </x:c>
      <x:c r="H29" s="26" t="str">
        <x:v>Misses variable/non-numeric damage; use as a candidate pattern.</x:v>
      </x:c>
    </x:row>
    <x:row r="30">
      <x:c r="A30" s="26" t="str">
        <x:v>Wheels</x:v>
      </x:c>
      <x:c r="B30" s="26" t="str">
        <x:v>Semantic function</x:v>
      </x:c>
      <x:c r="C30" s="26" t="str">
        <x:v>o:/discard.*draw/</x:v>
      </x:c>
      <x:c r="D30" s="26" t="str"/>
      <x:c r="E30" s="26" t="str">
        <x:v>wheel; wheels; wheel effect</x:v>
      </x:c>
      <x:c r="F30" s="26" t="str">
        <x:v>Review</x:v>
      </x:c>
      <x:c r="G30" s="43" t="n">
        <x:v>0.68</x:v>
      </x:c>
      <x:c r="H30" s="26" t="str">
        <x:v>Captures common wheel templating but not all variants.</x:v>
      </x:c>
    </x:row>
    <x:row r="31">
      <x:c r="A31" s="26" t="str">
        <x:v>Discard</x:v>
      </x:c>
      <x:c r="B31" s="26" t="str">
        <x:v>Semantic function</x:v>
      </x:c>
      <x:c r="C31" s="26" t="str">
        <x:v>o:discard</x:v>
      </x:c>
      <x:c r="D31" s="26" t="str"/>
      <x:c r="E31" s="26" t="str">
        <x:v>discard; hand attack; make opponents discard</x:v>
      </x:c>
      <x:c r="F31" s="26" t="str">
        <x:v>Review</x:v>
      </x:c>
      <x:c r="G31" s="43" t="n">
        <x:v>0.68</x:v>
      </x:c>
      <x:c r="H31" s="26" t="str">
        <x:v>Needs directionality: self-discard/cost vs opponent discard vs global discard.</x:v>
      </x:c>
    </x:row>
    <x:row r="32">
      <x:c r="A32" s="26" t="str">
        <x:v>Clones</x:v>
      </x:c>
      <x:c r="B32" s="26" t="str">
        <x:v>Semantic function</x:v>
      </x:c>
      <x:c r="C32" s="26" t="str">
        <x:v>o:/copy.*creature|enters.*copy/</x:v>
      </x:c>
      <x:c r="D32" s="26" t="str"/>
      <x:c r="E32" s="26" t="str">
        <x:v>clone; clones; copy creatures</x:v>
      </x:c>
      <x:c r="F32" s="26" t="str">
        <x:v>Review</x:v>
      </x:c>
      <x:c r="G32" s="43" t="n">
        <x:v>0.68</x:v>
      </x:c>
      <x:c r="H32" s="26" t="str">
        <x:v>Regex candidate; distinguish copying spells/permanents/tokens.</x:v>
      </x:c>
    </x:row>
    <x:row r="33">
      <x:c r="A33" s="26" t="str">
        <x:v>Theft / Copy</x:v>
      </x:c>
      <x:c r="B33" s="26" t="str">
        <x:v>Composite function</x:v>
      </x:c>
      <x:c r="C33" s="26" t="str">
        <x:v>(o:control or o:copy)</x:v>
      </x:c>
      <x:c r="D33" s="26" t="str"/>
      <x:c r="E33" s="26" t="str">
        <x:v>theft; steal; copy; clone</x:v>
      </x:c>
      <x:c r="F33" s="26" t="str">
        <x:v>Semantic</x:v>
      </x:c>
      <x:c r="G33" s="43" t="n">
        <x:v>0.3</x:v>
      </x:c>
      <x:c r="H33" s="26" t="str">
        <x:v>Too broad to collapse without object/zone clarification.</x:v>
      </x:c>
    </x:row>
    <x:row r="34">
      <x:c r="A34" s="26" t="str">
        <x:v>Sacrifice</x:v>
      </x:c>
      <x:c r="B34" s="26" t="str">
        <x:v>Semantic function</x:v>
      </x:c>
      <x:c r="C34" s="26" t="str">
        <x:v>o:sacrifice</x:v>
      </x:c>
      <x:c r="D34" s="26" t="str">
        <x:v>otag:sacrifice-outlet</x:v>
      </x:c>
      <x:c r="E34" s="26" t="str">
        <x:v>sacrifice; sac; sac outlet</x:v>
      </x:c>
      <x:c r="F34" s="26" t="str">
        <x:v>Review</x:v>
      </x:c>
      <x:c r="G34" s="43" t="n">
        <x:v>0.68</x:v>
      </x:c>
      <x:c r="H34" s="26" t="str">
        <x:v>If user says outlet, prefer validated sacrifice-outlet tag; otherwise preserve object/direction.</x:v>
      </x:c>
    </x:row>
    <x:row r="35">
      <x:c r="A35" s="26" t="str">
        <x:v>Storm</x:v>
      </x:c>
      <x:c r="B35" s="26" t="str">
        <x:v>Named mechanic/archetype</x:v>
      </x:c>
      <x:c r="C35" s="26" t="str">
        <x:v>kw:storm</x:v>
      </x:c>
      <x:c r="D35" s="26" t="str"/>
      <x:c r="E35" s="26" t="str">
        <x:v>storm; storm cards</x:v>
      </x:c>
      <x:c r="F35" s="26" t="str">
        <x:v>Review</x:v>
      </x:c>
      <x:c r="G35" s="43" t="n">
        <x:v>0.68</x:v>
      </x:c>
      <x:c r="H35" s="26" t="str">
        <x:v>kw:storm finds the keyword. 'Storm deck support' is broader.</x:v>
      </x:c>
    </x:row>
    <x:row r="36">
      <x:c r="A36" s="26" t="str">
        <x:v>Stax / Resource Denial</x:v>
      </x:c>
      <x:c r="B36" s="26" t="str">
        <x:v>Composite archetype</x:v>
      </x:c>
      <x:c r="C36" s="26" t="str"/>
      <x:c r="D36" s="26" t="str"/>
      <x:c r="E36" s="26" t="str">
        <x:v>stax; resource denial; prison</x:v>
      </x:c>
      <x:c r="F36" s="26" t="str">
        <x:v>Semantic</x:v>
      </x:c>
      <x:c r="G36" s="43" t="n">
        <x:v>0.3</x:v>
      </x:c>
      <x:c r="H36" s="26" t="str">
        <x:v>Requires governed semantic mapping; do not invent a tag.</x:v>
      </x:c>
    </x:row>
    <x:row r="37">
      <x:c r="A37" s="26" t="str">
        <x:v>Group Slug</x:v>
      </x:c>
      <x:c r="B37" s="26" t="str">
        <x:v>Subjective archetype</x:v>
      </x:c>
      <x:c r="C37" s="26" t="str"/>
      <x:c r="D37" s="26" t="str"/>
      <x:c r="E37" s="26" t="str">
        <x:v>group slug; punish everyone</x:v>
      </x:c>
      <x:c r="F37" s="26" t="str">
        <x:v>Semantic</x:v>
      </x:c>
      <x:c r="G37" s="43" t="n">
        <x:v>0.3</x:v>
      </x:c>
      <x:c r="H37" s="26" t="str">
        <x:v>Community archetype with no single safe native operator.</x:v>
      </x:c>
    </x:row>
    <x:row r="38">
      <x:c r="A38" s="26" t="str">
        <x:v>Group Hug</x:v>
      </x:c>
      <x:c r="B38" s="26" t="str">
        <x:v>Subjective archetype</x:v>
      </x:c>
      <x:c r="C38" s="26" t="str"/>
      <x:c r="D38" s="26" t="str"/>
      <x:c r="E38" s="26" t="str">
        <x:v>group hug; help everyone</x:v>
      </x:c>
      <x:c r="F38" s="26" t="str">
        <x:v>Semantic</x:v>
      </x:c>
      <x:c r="G38" s="43" t="n">
        <x:v>0.3</x:v>
      </x:c>
      <x:c r="H38" s="26" t="str">
        <x:v>Community archetype with no single safe native operator.</x:v>
      </x:c>
    </x:row>
    <x:row r="39">
      <x:c r="A39" s="26" t="str">
        <x:v>Pillow Fort</x:v>
      </x:c>
      <x:c r="B39" s="26" t="str">
        <x:v>Composite archetype</x:v>
      </x:c>
      <x:c r="C39" s="26" t="str"/>
      <x:c r="D39" s="26" t="str"/>
      <x:c r="E39" s="26" t="str">
        <x:v>pillow fort; discourage attacks; tax attackers</x:v>
      </x:c>
      <x:c r="F39" s="26" t="str">
        <x:v>Semantic</x:v>
      </x:c>
      <x:c r="G39" s="43" t="n">
        <x:v>0.3</x:v>
      </x:c>
      <x:c r="H39" s="26" t="str">
        <x:v>Composite of attack taxes, prevention, protection.</x:v>
      </x:c>
    </x:row>
    <x:row r="40">
      <x:c r="A40" s="26" t="str">
        <x:v>Superfriends</x:v>
      </x:c>
      <x:c r="B40" s="26" t="str">
        <x:v>Relationship</x:v>
      </x:c>
      <x:c r="C40" s="26" t="str">
        <x:v>t:planeswalker</x:v>
      </x:c>
      <x:c r="D40" s="26" t="str"/>
      <x:c r="E40" s="26" t="str">
        <x:v>superfriends; planeswalkers matter</x:v>
      </x:c>
      <x:c r="F40" s="26" t="str">
        <x:v>Semantic</x:v>
      </x:c>
      <x:c r="G40" s="43" t="n">
        <x:v>0.3</x:v>
      </x:c>
      <x:c r="H40" s="26" t="str">
        <x:v>t:planeswalker finds pieces, not support/payoffs.</x:v>
      </x:c>
    </x:row>
    <x:row r="41">
      <x:c r="A41" s="26" t="str">
        <x:v>Vehicles</x:v>
      </x:c>
      <x:c r="B41" s="26" t="str">
        <x:v>Native taxonomy</x:v>
      </x:c>
      <x:c r="C41" s="26" t="str">
        <x:v>t:vehicle</x:v>
      </x:c>
      <x:c r="D41" s="26" t="str"/>
      <x:c r="E41" s="26" t="str">
        <x:v>vehicle; vehicles</x:v>
      </x:c>
      <x:c r="F41" s="26" t="str">
        <x:v>Production-ready</x:v>
      </x:c>
      <x:c r="G41" s="43" t="n">
        <x:v>0.94</x:v>
      </x:c>
      <x:c r="H41" s="26" t="str">
        <x:v>Direct subtype search; vehicle-synergy remains a relationship.</x:v>
      </x:c>
    </x:row>
    <x:row r="42">
      <x:c r="A42" s="26" t="str">
        <x:v>Forced Combat / Goad</x:v>
      </x:c>
      <x:c r="B42" s="26" t="str">
        <x:v>Named action/function</x:v>
      </x:c>
      <x:c r="C42" s="26" t="str">
        <x:v>o:goad</x:v>
      </x:c>
      <x:c r="D42" s="26" t="str"/>
      <x:c r="E42" s="26" t="str">
        <x:v>goad; forced combat; make them attack</x:v>
      </x:c>
      <x:c r="F42" s="26" t="str">
        <x:v>Production-ready</x:v>
      </x:c>
      <x:c r="G42" s="43" t="n">
        <x:v>0.94</x:v>
      </x:c>
      <x:c r="H42" s="26" t="str">
        <x:v>Direct action text baseline.</x:v>
      </x:c>
    </x:row>
    <x:row r="43">
      <x:c r="A43" s="26" t="str">
        <x:v>Extra Turns</x:v>
      </x:c>
      <x:c r="B43" s="26" t="str">
        <x:v>Semantic function</x:v>
      </x:c>
      <x:c r="C43" s="26" t="str">
        <x:v>o:/take an extra turn/</x:v>
      </x:c>
      <x:c r="D43" s="26" t="str"/>
      <x:c r="E43" s="26" t="str">
        <x:v>extra turn; extra turns</x:v>
      </x:c>
      <x:c r="F43" s="26" t="str">
        <x:v>Production-ready</x:v>
      </x:c>
      <x:c r="G43" s="43" t="n">
        <x:v>0.94</x:v>
      </x:c>
      <x:c r="H43" s="26" t="str">
        <x:v>Direct templating baseline.</x:v>
      </x:c>
    </x:row>
    <x:row r="44">
      <x:c r="A44" s="26" t="str">
        <x:v>Proliferate</x:v>
      </x:c>
      <x:c r="B44" s="26" t="str">
        <x:v>Named action</x:v>
      </x:c>
      <x:c r="C44" s="26" t="str">
        <x:v>o:proliferate</x:v>
      </x:c>
      <x:c r="D44" s="26" t="str"/>
      <x:c r="E44" s="26" t="str">
        <x:v>proliferate</x:v>
      </x:c>
      <x:c r="F44" s="26" t="str">
        <x:v>Production-ready</x:v>
      </x:c>
      <x:c r="G44" s="43" t="n">
        <x:v>0.94</x:v>
      </x:c>
      <x:c r="H44" s="26" t="str">
        <x:v>Direct keyword-action text.</x:v>
      </x:c>
    </x:row>
    <x:row r="45">
      <x:c r="A45" s="26" t="str">
        <x:v>Hatebears</x:v>
      </x:c>
      <x:c r="B45" s="26" t="str">
        <x:v>Composite archetype</x:v>
      </x:c>
      <x:c r="C45" s="26" t="str">
        <x:v>t:creature</x:v>
      </x:c>
      <x:c r="D45" s="26" t="str"/>
      <x:c r="E45" s="26" t="str">
        <x:v>hatebears; hate bears</x:v>
      </x:c>
      <x:c r="F45" s="26" t="str">
        <x:v>Semantic</x:v>
      </x:c>
      <x:c r="G45" s="43" t="n">
        <x:v>0.3</x:v>
      </x:c>
      <x:c r="H45" s="26" t="str">
        <x:v>Requires small disruptive creature semantic mapping.</x:v>
      </x:c>
    </x:row>
    <x:row r="46">
      <x:c r="A46" s="26" t="str">
        <x:v>Topdeck</x:v>
      </x:c>
      <x:c r="B46" s="26" t="str">
        <x:v>Relationship</x:v>
      </x:c>
      <x:c r="C46" s="26" t="str">
        <x:v>o:/top of.*library/</x:v>
      </x:c>
      <x:c r="D46" s="26" t="str"/>
      <x:c r="E46" s="26" t="str">
        <x:v>topdeck; top of library; topdeck matters</x:v>
      </x:c>
      <x:c r="F46" s="26" t="str">
        <x:v>Review</x:v>
      </x:c>
      <x:c r="G46" s="43" t="n">
        <x:v>0.68</x:v>
      </x:c>
      <x:c r="H46" s="26" t="str">
        <x:v>Broad baseline; requires intent distinction between manipulation and payoff.</x:v>
      </x:c>
    </x:row>
    <x:row r="47">
      <x:c r="A47" s="26" t="str">
        <x:v>X Spells</x:v>
      </x:c>
      <x:c r="B47" s="26" t="str">
        <x:v>Native mana-cost</x:v>
      </x:c>
      <x:c r="C47" s="26" t="str">
        <x:v>mana:{X}</x:v>
      </x:c>
      <x:c r="D47" s="26" t="str"/>
      <x:c r="E47" s="26" t="str">
        <x:v>x spells; x cost; variable mana</x:v>
      </x:c>
      <x:c r="F47" s="26" t="str">
        <x:v>Production-ready</x:v>
      </x:c>
      <x:c r="G47" s="43" t="n">
        <x:v>0.94</x:v>
      </x:c>
      <x:c r="H47" s="26" t="str">
        <x:v>Direct mana-symbol search.</x:v>
      </x:c>
    </x:row>
    <x:row r="48">
      <x:c r="A48" s="26" t="str">
        <x:v>Cascade / Discover</x:v>
      </x:c>
      <x:c r="B48" s="26" t="str">
        <x:v>Named mechanics</x:v>
      </x:c>
      <x:c r="C48" s="26" t="str">
        <x:v>(kw:cascade or o:discover)</x:v>
      </x:c>
      <x:c r="D48" s="26" t="str"/>
      <x:c r="E48" s="26" t="str">
        <x:v>cascade; discover</x:v>
      </x:c>
      <x:c r="F48" s="26" t="str">
        <x:v>Review</x:v>
      </x:c>
      <x:c r="G48" s="43" t="n">
        <x:v>0.68</x:v>
      </x:c>
      <x:c r="H48" s="26" t="str">
        <x:v>Cascade is keyword; Discover is a keyword action.</x:v>
      </x:c>
    </x:row>
    <x:row r="49">
      <x:c r="A49" s="26" t="str">
        <x:v>Commander Matters</x:v>
      </x:c>
      <x:c r="B49" s="26" t="str">
        <x:v>Relationship</x:v>
      </x:c>
      <x:c r="C49" s="26" t="str">
        <x:v>o:commander</x:v>
      </x:c>
      <x:c r="D49" s="26" t="str"/>
      <x:c r="E49" s="26" t="str">
        <x:v>commander matters; commander synergy</x:v>
      </x:c>
      <x:c r="F49" s="26" t="str">
        <x:v>Review</x:v>
      </x:c>
      <x:c r="G49" s="43" t="n">
        <x:v>0.68</x:v>
      </x:c>
      <x:c r="H49" s="26" t="str">
        <x:v>Oracle text baseline; many indirect support cards will not literally say commander.</x:v>
      </x:c>
    </x:row>
    <x:row r="50">
      <x:c r="A50" s="26" t="str">
        <x:v>Ninjutsu</x:v>
      </x:c>
      <x:c r="B50" s="26" t="str">
        <x:v>Named mechanic</x:v>
      </x:c>
      <x:c r="C50" s="26" t="str">
        <x:v>kw:ninjutsu</x:v>
      </x:c>
      <x:c r="D50" s="26" t="str"/>
      <x:c r="E50" s="26" t="str">
        <x:v>ninjutsu; ninja swap</x:v>
      </x:c>
      <x:c r="F50" s="26" t="str">
        <x:v>Production-ready</x:v>
      </x:c>
      <x:c r="G50" s="43" t="n">
        <x:v>0.94</x:v>
      </x:c>
      <x:c r="H50" s="26" t="str">
        <x:v>Direct keyword search.</x:v>
      </x:c>
    </x:row>
    <x:row r="51">
      <x:c r="A51" s="26" t="str">
        <x:v>Prowess</x:v>
      </x:c>
      <x:c r="B51" s="26" t="str">
        <x:v>Named mechanic</x:v>
      </x:c>
      <x:c r="C51" s="26" t="str">
        <x:v>kw:prowess</x:v>
      </x:c>
      <x:c r="D51" s="26" t="str"/>
      <x:c r="E51" s="26" t="str">
        <x:v>prowess; prowess creatures</x:v>
      </x:c>
      <x:c r="F51" s="26" t="str">
        <x:v>Production-ready</x:v>
      </x:c>
      <x:c r="G51" s="43" t="n">
        <x:v>0.94</x:v>
      </x:c>
      <x:c r="H51" s="26" t="str">
        <x:v>Direct keyword search.</x:v>
      </x:c>
    </x:row>
    <x:row r="52">
      <x:c r="A52" s="26" t="str">
        <x:v>Legends Matter</x:v>
      </x:c>
      <x:c r="B52" s="26" t="str">
        <x:v>Relationship</x:v>
      </x:c>
      <x:c r="C52" s="26" t="str">
        <x:v>o:legendary</x:v>
      </x:c>
      <x:c r="D52" s="26" t="str"/>
      <x:c r="E52" s="26" t="str">
        <x:v>legends matter; legendary matters; historic legends</x:v>
      </x:c>
      <x:c r="F52" s="26" t="str">
        <x:v>Review</x:v>
      </x:c>
      <x:c r="G52" s="43" t="n">
        <x:v>0.68</x:v>
      </x:c>
      <x:c r="H52" s="26" t="str">
        <x:v>Oracle baseline; distinguish legendary cards from payoffs.</x:v>
      </x:c>
    </x:row>
    <x:row r="53">
      <x:c r="A53" s="26" t="str">
        <x:v>ETB Value</x:v>
      </x:c>
      <x:c r="B53" s="26" t="str">
        <x:v>Relationship</x:v>
      </x:c>
      <x:c r="C53" s="26" t="str">
        <x:v>o:/when ~ enters|whenever .* enters/</x:v>
      </x:c>
      <x:c r="D53" s="26" t="str"/>
      <x:c r="E53" s="26" t="str">
        <x:v>etb; enters; enters the battlefield; etb value</x:v>
      </x:c>
      <x:c r="F53" s="26" t="str">
        <x:v>Review</x:v>
      </x:c>
      <x:c r="G53" s="43" t="n">
        <x:v>0.68</x:v>
      </x:c>
      <x:c r="H53" s="26" t="str">
        <x:v>Separate own-ETB, any-ETB payoffs, blink enablers, and trigger doublers.</x:v>
      </x:c>
    </x:row>
    <x:row r="54">
      <x:c r="A54" s="26" t="str">
        <x:v>Infect / Toxic</x:v>
      </x:c>
      <x:c r="B54" s="26" t="str">
        <x:v>Named mechanics</x:v>
      </x:c>
      <x:c r="C54" s="26" t="str">
        <x:v>(kw:infect or kw:toxic)</x:v>
      </x:c>
      <x:c r="D54" s="26" t="str"/>
      <x:c r="E54" s="26" t="str">
        <x:v>infect; toxic; poison</x:v>
      </x:c>
      <x:c r="F54" s="26" t="str">
        <x:v>Production-ready</x:v>
      </x:c>
      <x:c r="G54" s="43" t="n">
        <x:v>0.94</x:v>
      </x:c>
      <x:c r="H54" s="26" t="str">
        <x:v>Direct keywords; 'poison counters matter' is broader.</x:v>
      </x:c>
    </x:row>
    <x:row r="55">
      <x:c r="A55" s="26" t="str">
        <x:v>Toolbox / Tutors</x:v>
      </x:c>
      <x:c r="B55" s="26" t="str">
        <x:v>Semantic function</x:v>
      </x:c>
      <x:c r="C55" s="26" t="str">
        <x:v>o:/search your library/</x:v>
      </x:c>
      <x:c r="D55" s="26" t="str"/>
      <x:c r="E55" s="26" t="str">
        <x:v>tutor; tutors; toolbox</x:v>
      </x:c>
      <x:c r="F55" s="26" t="str">
        <x:v>Review</x:v>
      </x:c>
      <x:c r="G55" s="43" t="n">
        <x:v>0.68</x:v>
      </x:c>
      <x:c r="H55" s="26" t="str">
        <x:v>Search-library regex is broad and includes lands/other searches; object should refine.</x:v>
      </x:c>
    </x:row>
    <x:row r="56">
      <x:c r="A56" s="26" t="str">
        <x:v>Land Destruction</x:v>
      </x:c>
      <x:c r="B56" s="26" t="str">
        <x:v>Semantic function</x:v>
      </x:c>
      <x:c r="C56" s="26" t="str">
        <x:v>o:/destroy target land|destroy all lands/</x:v>
      </x:c>
      <x:c r="D56" s="26" t="str"/>
      <x:c r="E56" s="26" t="str">
        <x:v>land destruction; ld; destroy lands</x:v>
      </x:c>
      <x:c r="F56" s="26" t="str">
        <x:v>Review</x:v>
      </x:c>
      <x:c r="G56" s="43" t="n">
        <x:v>0.68</x:v>
      </x:c>
      <x:c r="H56" s="26" t="str">
        <x:v>Literal baseline; misses sacrifice/exile and non-destroy denial.</x:v>
      </x:c>
    </x:row>
    <x:row r="57">
      <x:c r="A57" s="26" t="str">
        <x:v>Chaos</x:v>
      </x:c>
      <x:c r="B57" s="26" t="str">
        <x:v>Subjective archetype</x:v>
      </x:c>
      <x:c r="C57" s="26" t="str"/>
      <x:c r="D57" s="26" t="str"/>
      <x:c r="E57" s="26" t="str">
        <x:v>chaos; random effects</x:v>
      </x:c>
      <x:c r="F57" s="26" t="str">
        <x:v>Semantic</x:v>
      </x:c>
      <x:c r="G57" s="43" t="n">
        <x:v>0.3</x:v>
      </x:c>
      <x:c r="H57" s="26" t="str">
        <x:v>Subjective community archetype.</x:v>
      </x:c>
    </x:row>
    <x:row r="58">
      <x:c r="A58" s="26" t="str">
        <x:v>Goodstuff</x:v>
      </x:c>
      <x:c r="B58" s="26" t="str">
        <x:v>Subjective archetype</x:v>
      </x:c>
      <x:c r="C58" s="26" t="str"/>
      <x:c r="D58" s="26" t="str"/>
      <x:c r="E58" s="26" t="str">
        <x:v>goodstuff; best cards; staples</x:v>
      </x:c>
      <x:c r="F58" s="26" t="str">
        <x:v>Semantic</x:v>
      </x:c>
      <x:c r="G58" s="43" t="n">
        <x:v>0.3</x:v>
      </x:c>
      <x:c r="H58" s="26" t="str">
        <x:v>Subjective ranking request, not native syntax.</x:v>
      </x:c>
    </x:row>
    <x:row r="59">
      <x:c r="A59" s="26" t="str">
        <x:v>Sneak and Show</x:v>
      </x:c>
      <x:c r="B59" s="26" t="str">
        <x:v>Composite archetype</x:v>
      </x:c>
      <x:c r="C59" s="26" t="str">
        <x:v>o:/put.*permanent.*onto the battlefield/</x:v>
      </x:c>
      <x:c r="D59" s="26" t="str"/>
      <x:c r="E59" s="26" t="str">
        <x:v>sneak and show; cheat into play; cheat permanents</x:v>
      </x:c>
      <x:c r="F59" s="26" t="str">
        <x:v>Review</x:v>
      </x:c>
      <x:c r="G59" s="43" t="n">
        <x:v>0.68</x:v>
      </x:c>
      <x:c r="H59" s="26" t="str">
        <x:v>Broad cheating-into-play template; object/zone may refine.</x:v>
      </x:c>
    </x:row>
    <x:row r="60">
      <x:c r="A60" s="26" t="str">
        <x:v>Self-Mill</x:v>
      </x:c>
      <x:c r="B60" s="26" t="str">
        <x:v>Semantic function</x:v>
      </x:c>
      <x:c r="C60" s="26" t="str">
        <x:v>o:/mill.*yourself|you mill/</x:v>
      </x:c>
      <x:c r="D60" s="26" t="str">
        <x:v>otag:mill-self</x:v>
      </x:c>
      <x:c r="E60" s="26" t="str">
        <x:v>self mill; mill myself; fill my graveyard</x:v>
      </x:c>
      <x:c r="F60" s="26" t="str">
        <x:v>Production-ready</x:v>
      </x:c>
      <x:c r="G60" s="43" t="n">
        <x:v>0.94</x:v>
      </x:c>
      <x:c r="H60" s="26" t="str">
        <x:v>EDHREC validates mill-self tag; Oracle fallback is wording-sensitive.</x:v>
      </x:c>
    </x:row>
    <x:row r="61">
      <x:c r="A61" s="26" t="str">
        <x:v>-1/-1 Counters</x:v>
      </x:c>
      <x:c r="B61" s="26" t="str">
        <x:v>Semantic function</x:v>
      </x:c>
      <x:c r="C61" s="26" t="str">
        <x:v>o:/-1\/-1 counter/</x:v>
      </x:c>
      <x:c r="D61" s="26" t="str">
        <x:v>(otag:mm-counters-matter or otag:gives-mm-counters)</x:v>
      </x:c>
      <x:c r="E61" s="26" t="str">
        <x:v>-1 counters; minus one counters; wither counters</x:v>
      </x:c>
      <x:c r="F61" s="26" t="str">
        <x:v>Review</x:v>
      </x:c>
      <x:c r="G61" s="43" t="n">
        <x:v>0.68</x:v>
      </x:c>
      <x:c r="H61" s="26" t="str">
        <x:v>Recent community evidence confirms mm-counter Tagger family; validate before production allowlist.</x:v>
      </x:c>
    </x:row>
    <x:row r="62">
      <x:c r="A62" s="26" t="str">
        <x:v>Energy</x:v>
      </x:c>
      <x:c r="B62" s="26" t="str">
        <x:v>Named resource</x:v>
      </x:c>
      <x:c r="C62" s="26" t="str">
        <x:v>o:/energy counter|\{E\}/</x:v>
      </x:c>
      <x:c r="D62" s="26" t="str"/>
      <x:c r="E62" s="26" t="str">
        <x:v>energy; energy counters</x:v>
      </x:c>
      <x:c r="F62" s="26" t="str">
        <x:v>Review</x:v>
      </x:c>
      <x:c r="G62" s="43" t="n">
        <x:v>0.68</x:v>
      </x:c>
      <x:c r="H62" s="26" t="str">
        <x:v>Oracle text/symbol baseline; refine for producers vs payoffs.</x:v>
      </x:c>
    </x:row>
  </x:sheetData>
  <x:mergeCells>
    <x:mergeCell ref="A1:H1"/>
    <x:mergeCell ref="A2:H2"/>
  </x:mergeCells>
  <x:conditionalFormatting sqref="F5:F62">
    <x:cfRule type="expression" dxfId="11" priority="1">
      <x:formula>F5="Production-ready"</x:formula>
    </x:cfRule>
    <x:cfRule type="expression" dxfId="12" priority="2">
      <x:formula>F5="Review"</x:formula>
    </x:cfRule>
    <x:cfRule type="expression" dxfId="13" priority="3">
      <x:formula>F5="Semantic"</x:formula>
    </x:cfRule>
  </x:conditionalFormatting>
  <x:pageMargins left="0.7" right="0.7" top="0.75" bottom="0.75" header="0.3" footer="0.3"/>
  <x:tableParts count="1">
    <x:tablePart xmlns:r="http://schemas.openxmlformats.org/officeDocument/2006/relationships" r:id="R8838310d9c2b4306"/>
  </x:tableParts>
</x:worksheet>
</file>

<file path=xl/worksheets/sheet7.xml><?xml version="1.0" encoding="utf-8"?>
<x:worksheet xmlns:x="http://schemas.openxmlformats.org/spreadsheetml/2006/main">
  <x:sheetFormatPr defaultRowHeight="15"/>
  <x:cols>
    <x:col min="1" max="1" width="36" hidden="0" customWidth="1"/>
    <x:col min="2" max="2" width="58" hidden="0" customWidth="1"/>
    <x:col min="3" max="3" width="26" hidden="0" customWidth="1"/>
    <x:col min="4" max="4" width="48" hidden="0" customWidth="1"/>
    <x:col min="5" max="5" width="16" hidden="0" customWidth="1"/>
    <x:col min="6" max="6" width="52" hidden="0" customWidth="1"/>
    <x:col min="7" max="7" width="44" hidden="0" customWidth="1"/>
  </x:cols>
  <x:sheetData>
    <x:row r="1" ht="28" customHeight="1">
      <x:c r="A1" s="33" t="str">
        <x:v>REUSABLE SCRYFALL QUERY RECIPES</x:v>
      </x:c>
      <x:c r="B1" s="33"/>
      <x:c r="C1" s="33"/>
      <x:c r="D1" s="33"/>
      <x:c r="E1" s="33"/>
      <x:c r="F1" s="33"/>
      <x:c r="G1" s="33"/>
    </x:row>
    <x:row r="2" ht="30" customHeight="1">
      <x:c r="A2" s="35" t="str">
        <x:v>Composable search patterns for Commander, mechanics, printings, regex, Tagger functions, and result controls. Bracketed values are parameters.</x:v>
      </x:c>
      <x:c r="B2" s="35"/>
      <x:c r="C2" s="35"/>
      <x:c r="D2" s="35"/>
      <x:c r="E2" s="35"/>
      <x:c r="F2" s="35"/>
      <x:c r="G2" s="35"/>
    </x:row>
    <x:row r="4" ht="28" customHeight="1">
      <x:c r="A4" s="39" t="str">
        <x:v>User Goal</x:v>
      </x:c>
      <x:c r="B4" s="39" t="str">
        <x:v>Canonical Query / Template</x:v>
      </x:c>
      <x:c r="C4" s="39" t="str">
        <x:v>Primary Technique</x:v>
      </x:c>
      <x:c r="D4" s="39" t="str">
        <x:v>Assumption / Scope</x:v>
      </x:c>
      <x:c r="E4" s="39" t="str">
        <x:v>Reliability</x:v>
      </x:c>
      <x:c r="F4" s="39" t="str">
        <x:v>Translator Note</x:v>
      </x:c>
      <x:c r="G4" s="39" t="str">
        <x:v>Source</x:v>
      </x:c>
    </x:row>
    <x:row r="5">
      <x:c r="A5" s="26" t="str">
        <x:v>Commander cards that fit a color identity</x:v>
      </x:c>
      <x:c r="B5" s="26" t="str">
        <x:v>f:commander id&lt;=[COLORS] unique:cards</x:v>
      </x:c>
      <x:c r="C5" s="26" t="str">
        <x:v>Format + identity subset</x:v>
      </x:c>
      <x:c r="D5" s="26" t="str">
        <x:v>[COLORS] is normalized WUBRG.</x:v>
      </x:c>
      <x:c r="E5" s="26" t="str">
        <x:v>High</x:v>
      </x:c>
      <x:c r="F5" s="26" t="str">
        <x:v>This is the default deck-pool skeleton for Commander.</x:v>
      </x:c>
      <x:c r="G5" s="26" t="str">
        <x:v>https://scryfall.com/docs/syntax</x:v>
      </x:c>
    </x:row>
    <x:row r="6">
      <x:c r="A6" s="26" t="str">
        <x:v>Exact-color-identity commanders</x:v>
      </x:c>
      <x:c r="B6" s="26" t="str">
        <x:v>is:commander id=[COLORS] order:edhrec</x:v>
      </x:c>
      <x:c r="C6" s="26" t="str">
        <x:v>Commander role + exact identity</x:v>
      </x:c>
      <x:c r="D6" s="26" t="str">
        <x:v>Exact identity, not merely contains colors.</x:v>
      </x:c>
      <x:c r="E6" s="26" t="str">
        <x:v>High</x:v>
      </x:c>
      <x:c r="F6" s="26" t="str">
        <x:v>Use when user says 'exactly' or names a commander identity class.</x:v>
      </x:c>
      <x:c r="G6" s="26" t="str">
        <x:v>https://scryfall.com/docs/syntax</x:v>
      </x:c>
    </x:row>
    <x:row r="7">
      <x:c r="A7" s="26" t="str">
        <x:v>Commanders that include at least two colors</x:v>
      </x:c>
      <x:c r="B7" s="26" t="str">
        <x:v>is:commander id&gt;=[COLORS] order:edhrec</x:v>
      </x:c>
      <x:c r="C7" s="26" t="str">
        <x:v>Identity superset</x:v>
      </x:c>
      <x:c r="D7" s="26" t="str">
        <x:v>Additional colors allowed.</x:v>
      </x:c>
      <x:c r="E7" s="26" t="str">
        <x:v>High</x:v>
      </x:c>
      <x:c r="F7" s="26" t="str">
        <x:v>Good for 'commanders that can play this WB card'.</x:v>
      </x:c>
      <x:c r="G7" s="26" t="str">
        <x:v>https://scryfall.com/docs/syntax</x:v>
      </x:c>
    </x:row>
    <x:row r="8">
      <x:c r="A8" s="26" t="str">
        <x:v>Cheap Commander removal</x:v>
      </x:c>
      <x:c r="B8" s="26" t="str">
        <x:v>f:commander id&lt;=[COLORS] otag:removal usd&lt;[PRICE] unique:cards</x:v>
      </x:c>
      <x:c r="C8" s="26" t="str">
        <x:v>Tagger + identity + price</x:v>
      </x:c>
      <x:c r="D8" s="26" t="str">
        <x:v>Price is printing-level.</x:v>
      </x:c>
      <x:c r="E8" s="26" t="str">
        <x:v>High</x:v>
      </x:c>
      <x:c r="F8" s="26" t="str">
        <x:v>If user says cheapest available printing, add printing preference/cheapest logic.</x:v>
      </x:c>
      <x:c r="G8" s="26" t="str">
        <x:v>https://edhrec.com/guides/guide-to-scryfall-syntax</x:v>
      </x:c>
    </x:row>
    <x:row r="9">
      <x:c r="A9" s="26" t="str">
        <x:v>Commander ramp</x:v>
      </x:c>
      <x:c r="B9" s="26" t="str">
        <x:v>f:commander id&lt;=[COLORS] otag:ramp unique:cards order:edhrec</x:v>
      </x:c>
      <x:c r="C9" s="26" t="str">
        <x:v>Functional tag</x:v>
      </x:c>
      <x:c r="D9" s="26" t="str">
        <x:v>Broad ramp definition from Tagger.</x:v>
      </x:c>
      <x:c r="E9" s="26" t="str">
        <x:v>High</x:v>
      </x:c>
      <x:c r="F9" s="26" t="str">
        <x:v>Refine to land/artifact/creature if requested.</x:v>
      </x:c>
      <x:c r="G9" s="26" t="str">
        <x:v>https://edhrec.com/guides/guide-to-scryfall-syntax</x:v>
      </x:c>
    </x:row>
    <x:row r="10">
      <x:c r="A10" s="26" t="str">
        <x:v>Commander card advantage</x:v>
      </x:c>
      <x:c r="B10" s="26" t="str">
        <x:v>f:commander id&lt;=[COLORS] otag:card-advantage unique:cards order:edhrec</x:v>
      </x:c>
      <x:c r="C10" s="26" t="str">
        <x:v>Functional tag</x:v>
      </x:c>
      <x:c r="D10" s="26" t="str">
        <x:v>Broad semantic advantage.</x:v>
      </x:c>
      <x:c r="E10" s="26" t="str">
        <x:v>High</x:v>
      </x:c>
      <x:c r="F10" s="26" t="str">
        <x:v>Better than literal o:draw when user asks for value/advantage.</x:v>
      </x:c>
      <x:c r="G10" s="26" t="str">
        <x:v>https://edhrec.com/guides/guide-to-scryfall-syntax</x:v>
      </x:c>
    </x:row>
    <x:row r="11">
      <x:c r="A11" s="26" t="str">
        <x:v>Counterspells in Commander colors</x:v>
      </x:c>
      <x:c r="B11" s="26" t="str">
        <x:v>f:commander id&lt;=[COLORS] otag:counterspell unique:cards</x:v>
      </x:c>
      <x:c r="C11" s="26" t="str">
        <x:v>Functional tag</x:v>
      </x:c>
      <x:c r="D11" s="26" t="str">
        <x:v>Includes semantic counterspells.</x:v>
      </x:c>
      <x:c r="E11" s="26" t="str">
        <x:v>High</x:v>
      </x:c>
      <x:c r="F11" s="26" t="str">
        <x:v>Refine mv/price if given.</x:v>
      </x:c>
      <x:c r="G11" s="26" t="str">
        <x:v>https://scryfall.com/docs/tagger-tags</x:v>
      </x:c>
    </x:row>
    <x:row r="12">
      <x:c r="A12" s="26" t="str">
        <x:v>Literal counter-target-spell templates</x:v>
      </x:c>
      <x:c r="B12" s="26" t="str">
        <x:v>f:commander id&lt;=[COLORS] o:/counter target.*spell/</x:v>
      </x:c>
      <x:c r="C12" s="26" t="str">
        <x:v>Regex</x:v>
      </x:c>
      <x:c r="D12" s="26" t="str">
        <x:v>Wording-based, not semantically exhaustive.</x:v>
      </x:c>
      <x:c r="E12" s="26" t="str">
        <x:v>Medium</x:v>
      </x:c>
      <x:c r="F12" s="26" t="str">
        <x:v>Use when user asks about wording or tag is unavailable.</x:v>
      </x:c>
      <x:c r="G12" s="26" t="str">
        <x:v>https://luckypaper.co/articles/regular-expressions/</x:v>
      </x:c>
    </x:row>
    <x:row r="13">
      <x:c r="A13" s="26" t="str">
        <x:v>Creatures with a keyword</x:v>
      </x:c>
      <x:c r="B13" s="26" t="str">
        <x:v>t:creature kw:[KEYWORD]</x:v>
      </x:c>
      <x:c r="C13" s="26" t="str">
        <x:v>Native type + keyword</x:v>
      </x:c>
      <x:c r="D13" s="26" t="str">
        <x:v>Keyword must be valid.</x:v>
      </x:c>
      <x:c r="E13" s="26" t="str">
        <x:v>High</x:v>
      </x:c>
      <x:c r="F13" s="26" t="str">
        <x:v>Prefer kw over o for 'has keyword'.</x:v>
      </x:c>
      <x:c r="G13" s="26" t="str">
        <x:v>https://scryfall.com/docs/syntax</x:v>
      </x:c>
    </x:row>
    <x:row r="14">
      <x:c r="A14" s="26" t="str">
        <x:v>Noncreatures with a keyword</x:v>
      </x:c>
      <x:c r="B14" s="26" t="str">
        <x:v>-t:creature kw:[KEYWORD]</x:v>
      </x:c>
      <x:c r="C14" s="26" t="str">
        <x:v>Negation + keyword</x:v>
      </x:c>
      <x:c r="D14" s="26" t="str">
        <x:v>Keyword must be valid.</x:v>
      </x:c>
      <x:c r="E14" s="26" t="str">
        <x:v>High</x:v>
      </x:c>
      <x:c r="F14" s="26" t="str">
        <x:v>Useful for odd keyword-bearing cards.</x:v>
      </x:c>
      <x:c r="G14" s="26" t="str">
        <x:v>https://scryfall.com/docs/syntax</x:v>
      </x:c>
    </x:row>
    <x:row r="15">
      <x:c r="A15" s="26" t="str">
        <x:v>Creatures of a subtype</x:v>
      </x:c>
      <x:c r="B15" s="26" t="str">
        <x:v>t:[SUBTYPE] t:creature</x:v>
      </x:c>
      <x:c r="C15" s="26" t="str">
        <x:v>Native taxonomy</x:v>
      </x:c>
      <x:c r="D15" s="26" t="str">
        <x:v>Subtype canonicalized.</x:v>
      </x:c>
      <x:c r="E15" s="26" t="str">
        <x:v>High</x:v>
      </x:c>
      <x:c r="F15" s="26" t="str">
        <x:v>The extra t:creature is usually readable even if redundant.</x:v>
      </x:c>
      <x:c r="G15" s="26" t="str">
        <x:v>https://scryfall.com/docs/syntax</x:v>
      </x:c>
    </x:row>
    <x:row r="16">
      <x:c r="A16" s="26" t="str">
        <x:v>Legendary creatures of a subtype</x:v>
      </x:c>
      <x:c r="B16" s="26" t="str">
        <x:v>t:legendary t:creature t:[SUBTYPE]</x:v>
      </x:c>
      <x:c r="C16" s="26" t="str">
        <x:v>Native taxonomy</x:v>
      </x:c>
      <x:c r="D16" s="26" t="str">
        <x:v>Subtype canonicalized.</x:v>
      </x:c>
      <x:c r="E16" s="26" t="str">
        <x:v>High</x:v>
      </x:c>
      <x:c r="F16" s="26" t="str">
        <x:v>No Oracle search needed.</x:v>
      </x:c>
      <x:c r="G16" s="26" t="str">
        <x:v>https://scryfall.com/docs/syntax</x:v>
      </x:c>
    </x:row>
    <x:row r="17">
      <x:c r="A17" s="26" t="str">
        <x:v>Cards playable in Commander deck by subtype</x:v>
      </x:c>
      <x:c r="B17" s="26" t="str">
        <x:v>f:commander id&lt;=[COLORS] t:[SUBTYPE]</x:v>
      </x:c>
      <x:c r="C17" s="26" t="str">
        <x:v>Identity + taxonomy</x:v>
      </x:c>
      <x:c r="D17" s="26" t="str">
        <x:v>Includes all matching card types carrying subtype.</x:v>
      </x:c>
      <x:c r="E17" s="26" t="str">
        <x:v>High</x:v>
      </x:c>
      <x:c r="F17" s="26" t="str">
        <x:v>Use creature qualifier if user explicitly says creatures.</x:v>
      </x:c>
      <x:c r="G17" s="26" t="str">
        <x:v>https://scryfall.com/docs/syntax</x:v>
      </x:c>
    </x:row>
    <x:row r="18">
      <x:c r="A18" s="26" t="str">
        <x:v>Creatures with own ETB triggers</x:v>
      </x:c>
      <x:c r="B18" s="26" t="str">
        <x:v>t:creature o:/when ~ enters|whenever ~ enters/</x:v>
      </x:c>
      <x:c r="C18" s="26" t="str">
        <x:v>Regex</x:v>
      </x:c>
      <x:c r="D18" s="26" t="str">
        <x:v>Own self-referential trigger baseline.</x:v>
      </x:c>
      <x:c r="E18" s="26" t="str">
        <x:v>Medium</x:v>
      </x:c>
      <x:c r="F18" s="26" t="str">
        <x:v>Does not cover all templating/trigger forms.</x:v>
      </x:c>
      <x:c r="G18" s="26" t="str">
        <x:v>https://luckypaper.co/articles/regular-expressions/</x:v>
      </x:c>
    </x:row>
    <x:row r="19">
      <x:c r="A19" s="26" t="str">
        <x:v>ETB token creators</x:v>
      </x:c>
      <x:c r="B19" s="26" t="str">
        <x:v>t:creature o:/when ~ enters.*create.*token/</x:v>
      </x:c>
      <x:c r="C19" s="26" t="str">
        <x:v>Regex</x:v>
      </x:c>
      <x:c r="D19" s="26" t="str">
        <x:v>Own ETB creates a token.</x:v>
      </x:c>
      <x:c r="E19" s="26" t="str">
        <x:v>Medium</x:v>
      </x:c>
      <x:c r="F19" s="26" t="str">
        <x:v>Useful narrower recipe.</x:v>
      </x:c>
      <x:c r="G19" s="26" t="str">
        <x:v>https://luckypaper.co/articles/regular-expressions/</x:v>
      </x:c>
    </x:row>
    <x:row r="20">
      <x:c r="A20" s="26" t="str">
        <x:v>Blink/flicker enablers</x:v>
      </x:c>
      <x:c r="B20" s="26" t="str">
        <x:v>f:commander id&lt;=[COLORS] otag:blink</x:v>
      </x:c>
      <x:c r="C20" s="26" t="str">
        <x:v>Functional tag</x:v>
      </x:c>
      <x:c r="D20" s="26" t="str">
        <x:v>Tagger semantic mapping.</x:v>
      </x:c>
      <x:c r="E20" s="26" t="str">
        <x:v>High</x:v>
      </x:c>
      <x:c r="F20" s="26" t="str">
        <x:v>Do not confuse with ETB payoffs.</x:v>
      </x:c>
      <x:c r="G20" s="26" t="str">
        <x:v>https://scryfall.com/docs/tagger-tags</x:v>
      </x:c>
    </x:row>
    <x:row r="21">
      <x:c r="A21" s="26" t="str">
        <x:v>Self-mill cards</x:v>
      </x:c>
      <x:c r="B21" s="26" t="str">
        <x:v>f:commander id&lt;=[COLORS] otag:mill-self</x:v>
      </x:c>
      <x:c r="C21" s="26" t="str">
        <x:v>Functional tag</x:v>
      </x:c>
      <x:c r="D21" s="26" t="str">
        <x:v>Self-mill scope.</x:v>
      </x:c>
      <x:c r="E21" s="26" t="str">
        <x:v>High</x:v>
      </x:c>
      <x:c r="F21" s="26" t="str">
        <x:v>Separate from milling opponents.</x:v>
      </x:c>
      <x:c r="G21" s="26" t="str">
        <x:v>https://edhrec.com/guides/guide-to-scryfall-syntax</x:v>
      </x:c>
    </x:row>
    <x:row r="22">
      <x:c r="A22" s="26" t="str">
        <x:v>Mill cards broadly</x:v>
      </x:c>
      <x:c r="B22" s="26" t="str">
        <x:v>f:commander id&lt;=[COLORS] otag:mill</x:v>
      </x:c>
      <x:c r="C22" s="26" t="str">
        <x:v>Functional tag</x:v>
      </x:c>
      <x:c r="D22" s="26" t="str">
        <x:v>May cover multiple mill roles.</x:v>
      </x:c>
      <x:c r="E22" s="26" t="str">
        <x:v>High</x:v>
      </x:c>
      <x:c r="F22" s="26" t="str">
        <x:v>If user states opponent/self, refine tag family.</x:v>
      </x:c>
      <x:c r="G22" s="26" t="str">
        <x:v>https://edhrec.com/guides/guide-to-scryfall-syntax</x:v>
      </x:c>
    </x:row>
    <x:row r="23">
      <x:c r="A23" s="26" t="str">
        <x:v>+1/+1 counter payoffs/producers</x:v>
      </x:c>
      <x:c r="B23" s="26" t="str">
        <x:v>f:commander id&lt;=[COLORS] (otag:pp-counters-matter or otag:gives-pp-counters)</x:v>
      </x:c>
      <x:c r="C23" s="26" t="str">
        <x:v>Tag family</x:v>
      </x:c>
      <x:c r="D23" s="26" t="str">
        <x:v>Combines payoff and producer roles.</x:v>
      </x:c>
      <x:c r="E23" s="26" t="str">
        <x:v>High</x:v>
      </x:c>
      <x:c r="F23" s="26" t="str">
        <x:v>Offer role chips to narrow.</x:v>
      </x:c>
      <x:c r="G23" s="26" t="str">
        <x:v>https://edhrec.com/guides/guide-to-scryfall-syntax</x:v>
      </x:c>
    </x:row>
    <x:row r="24">
      <x:c r="A24" s="26" t="str">
        <x:v>-1/-1 counter payoffs/producers</x:v>
      </x:c>
      <x:c r="B24" s="26" t="str">
        <x:v>f:commander id&lt;=[COLORS] (otag:mm-counters-matter or otag:gives-mm-counters)</x:v>
      </x:c>
      <x:c r="C24" s="26" t="str">
        <x:v>Tag family</x:v>
      </x:c>
      <x:c r="D24" s="26" t="str">
        <x:v>Recent community-verified names; production should revalidate.</x:v>
      </x:c>
      <x:c r="E24" s="26" t="str">
        <x:v>Medium</x:v>
      </x:c>
      <x:c r="F24" s="26" t="str">
        <x:v>Keep behind allowlist verification.</x:v>
      </x:c>
      <x:c r="G24" s="26" t="str">
        <x:v>https://www.reddit.com/r/mtg/comments/1ptq1ww/cannot_find_11_counter_cards_on_scryfall/</x:v>
      </x:c>
    </x:row>
    <x:row r="25">
      <x:c r="A25" s="26" t="str">
        <x:v>Cards with proliferate</x:v>
      </x:c>
      <x:c r="B25" s="26" t="str">
        <x:v>f:commander id&lt;=[COLORS] o:proliferate</x:v>
      </x:c>
      <x:c r="C25" s="26" t="str">
        <x:v>Oracle action</x:v>
      </x:c>
      <x:c r="D25" s="26" t="str">
        <x:v>Direct text.</x:v>
      </x:c>
      <x:c r="E25" s="26" t="str">
        <x:v>High</x:v>
      </x:c>
      <x:c r="F25" s="26" t="str">
        <x:v>Can combine with counter themes.</x:v>
      </x:c>
      <x:c r="G25" s="26" t="str">
        <x:v>https://scryfall.com/docs/syntax</x:v>
      </x:c>
    </x:row>
    <x:row r="26">
      <x:c r="A26" s="26" t="str">
        <x:v>Cards with infect or toxic</x:v>
      </x:c>
      <x:c r="B26" s="26" t="str">
        <x:v>f:commander id&lt;=[COLORS] (kw:infect or kw:toxic)</x:v>
      </x:c>
      <x:c r="C26" s="26" t="str">
        <x:v>Keyword OR</x:v>
      </x:c>
      <x:c r="D26" s="26" t="str">
        <x:v>Named mechanics.</x:v>
      </x:c>
      <x:c r="E26" s="26" t="str">
        <x:v>High</x:v>
      </x:c>
      <x:c r="F26" s="26" t="str">
        <x:v>Poison support without those mechanics is broader.</x:v>
      </x:c>
      <x:c r="G26" s="26" t="str">
        <x:v>https://scryfall.com/docs/syntax</x:v>
      </x:c>
    </x:row>
    <x:row r="27">
      <x:c r="A27" s="26" t="str">
        <x:v>Treasure makers</x:v>
      </x:c>
      <x:c r="B27" s="26" t="str">
        <x:v>f:commander id&lt;=[COLORS] o:/create.*Treasure/</x:v>
      </x:c>
      <x:c r="C27" s="26" t="str">
        <x:v>Regex</x:v>
      </x:c>
      <x:c r="D27" s="26" t="str">
        <x:v>Creation wording baseline.</x:v>
      </x:c>
      <x:c r="E27" s="26" t="str">
        <x:v>Medium</x:v>
      </x:c>
      <x:c r="F27" s="26" t="str">
        <x:v>Some cards make copies/replace tokens with different wording.</x:v>
      </x:c>
      <x:c r="G27" s="26" t="str">
        <x:v>https://luckypaper.co/articles/regular-expressions/</x:v>
      </x:c>
    </x:row>
    <x:row r="28">
      <x:c r="A28" s="26" t="str">
        <x:v>Token makers</x:v>
      </x:c>
      <x:c r="B28" s="26" t="str">
        <x:v>f:commander id&lt;=[COLORS] o:/create.*token/</x:v>
      </x:c>
      <x:c r="C28" s="26" t="str">
        <x:v>Regex</x:v>
      </x:c>
      <x:c r="D28" s="26" t="str">
        <x:v>Broad token creation.</x:v>
      </x:c>
      <x:c r="E28" s="26" t="str">
        <x:v>Medium</x:v>
      </x:c>
      <x:c r="F28" s="26" t="str">
        <x:v>Does not mean token payoff.</x:v>
      </x:c>
      <x:c r="G28" s="26" t="str">
        <x:v>https://luckypaper.co/articles/regular-expressions/</x:v>
      </x:c>
    </x:row>
    <x:row r="29">
      <x:c r="A29" s="26" t="str">
        <x:v>Mana rocks</x:v>
      </x:c>
      <x:c r="B29" s="26" t="str">
        <x:v>f:commander id&lt;=[COLORS] t:artifact -t:creature o:/\{T\}: Add/</x:v>
      </x:c>
      <x:c r="C29" s="26" t="str">
        <x:v>Type + activation regex</x:v>
      </x:c>
      <x:c r="D29" s="26" t="str">
        <x:v>Conventional tap-for-mana rocks.</x:v>
      </x:c>
      <x:c r="E29" s="26" t="str">
        <x:v>Medium</x:v>
      </x:c>
      <x:c r="F29" s="26" t="str">
        <x:v>Misses rocks with non-tap/more complex abilities.</x:v>
      </x:c>
      <x:c r="G29" s="26" t="str">
        <x:v>https://scryfall.com/docs/regular-expressions</x:v>
      </x:c>
    </x:row>
    <x:row r="30">
      <x:c r="A30" s="26" t="str">
        <x:v>Mana dorks</x:v>
      </x:c>
      <x:c r="B30" s="26" t="str">
        <x:v>f:commander id&lt;=[COLORS] t:creature o:/\{T\}: Add/</x:v>
      </x:c>
      <x:c r="C30" s="26" t="str">
        <x:v>Type + activation regex</x:v>
      </x:c>
      <x:c r="D30" s="26" t="str">
        <x:v>Conventional tap-for-mana creatures.</x:v>
      </x:c>
      <x:c r="E30" s="26" t="str">
        <x:v>Medium</x:v>
      </x:c>
      <x:c r="F30" s="26" t="str">
        <x:v>Misses alternate mana abilities.</x:v>
      </x:c>
      <x:c r="G30" s="26" t="str">
        <x:v>https://scryfall.com/docs/regular-expressions</x:v>
      </x:c>
    </x:row>
    <x:row r="31">
      <x:c r="A31" s="26" t="str">
        <x:v>Cheap mana-value spells</x:v>
      </x:c>
      <x:c r="B31" s="26" t="str">
        <x:v>f:commander id&lt;=[COLORS] mv&lt;=[MV]</x:v>
      </x:c>
      <x:c r="C31" s="26" t="str">
        <x:v>Numeric comparison</x:v>
      </x:c>
      <x:c r="D31" s="26" t="str">
        <x:v>MV threshold supplied by user.</x:v>
      </x:c>
      <x:c r="E31" s="26" t="str">
        <x:v>High</x:v>
      </x:c>
      <x:c r="F31" s="26" t="str">
        <x:v>Do not infer 'cheap' threshold silently.</x:v>
      </x:c>
      <x:c r="G31" s="26" t="str">
        <x:v>https://scryfall.com/docs/syntax</x:v>
      </x:c>
    </x:row>
    <x:row r="32">
      <x:c r="A32" s="26" t="str">
        <x:v>X-cost cards</x:v>
      </x:c>
      <x:c r="B32" s="26" t="str">
        <x:v>f:commander id&lt;=[COLORS] mana:{X}</x:v>
      </x:c>
      <x:c r="C32" s="26" t="str">
        <x:v>Mana-symbol search</x:v>
      </x:c>
      <x:c r="D32" s="26" t="str">
        <x:v>X appears in mana cost.</x:v>
      </x:c>
      <x:c r="E32" s="26" t="str">
        <x:v>High</x:v>
      </x:c>
      <x:c r="F32" s="26" t="str">
        <x:v>Does not capture variable costs/effects without X in cost.</x:v>
      </x:c>
      <x:c r="G32" s="26" t="str">
        <x:v>https://scryfall.com/docs/syntax</x:v>
      </x:c>
    </x:row>
    <x:row r="33">
      <x:c r="A33" s="26" t="str">
        <x:v>Artifacts in Commander colors</x:v>
      </x:c>
      <x:c r="B33" s="26" t="str">
        <x:v>f:commander id&lt;=[COLORS] t:artifact</x:v>
      </x:c>
      <x:c r="C33" s="26" t="str">
        <x:v>Identity + type</x:v>
      </x:c>
      <x:c r="D33" s="26" t="str">
        <x:v>Artifact cards, not artifact synergy.</x:v>
      </x:c>
      <x:c r="E33" s="26" t="str">
        <x:v>High</x:v>
      </x:c>
      <x:c r="F33" s="26" t="str">
        <x:v>If user says 'artifacts matter', route semantic relation.</x:v>
      </x:c>
      <x:c r="G33" s="26" t="str">
        <x:v>https://scryfall.com/docs/syntax</x:v>
      </x:c>
    </x:row>
    <x:row r="34">
      <x:c r="A34" s="26" t="str">
        <x:v>Auras in Commander colors</x:v>
      </x:c>
      <x:c r="B34" s="26" t="str">
        <x:v>f:commander id&lt;=[COLORS] t:aura</x:v>
      </x:c>
      <x:c r="C34" s="26" t="str">
        <x:v>Identity + subtype</x:v>
      </x:c>
      <x:c r="D34" s="26" t="str">
        <x:v>Aura cards.</x:v>
      </x:c>
      <x:c r="E34" s="26" t="str">
        <x:v>High</x:v>
      </x:c>
      <x:c r="F34" s="26" t="str">
        <x:v>Aura support is separate.</x:v>
      </x:c>
      <x:c r="G34" s="26" t="str">
        <x:v>https://scryfall.com/docs/syntax</x:v>
      </x:c>
    </x:row>
    <x:row r="35">
      <x:c r="A35" s="26" t="str">
        <x:v>Equipment in Commander colors</x:v>
      </x:c>
      <x:c r="B35" s="26" t="str">
        <x:v>f:commander id&lt;=[COLORS] t:equipment</x:v>
      </x:c>
      <x:c r="C35" s="26" t="str">
        <x:v>Identity + subtype</x:v>
      </x:c>
      <x:c r="D35" s="26" t="str">
        <x:v>Equipment cards.</x:v>
      </x:c>
      <x:c r="E35" s="26" t="str">
        <x:v>High</x:v>
      </x:c>
      <x:c r="F35" s="26" t="str">
        <x:v>Equipment support is separate.</x:v>
      </x:c>
      <x:c r="G35" s="26" t="str">
        <x:v>https://scryfall.com/docs/syntax</x:v>
      </x:c>
    </x:row>
    <x:row r="36">
      <x:c r="A36" s="26" t="str">
        <x:v>Vehicles in Commander colors</x:v>
      </x:c>
      <x:c r="B36" s="26" t="str">
        <x:v>f:commander id&lt;=[COLORS] t:vehicle</x:v>
      </x:c>
      <x:c r="C36" s="26" t="str">
        <x:v>Identity + subtype</x:v>
      </x:c>
      <x:c r="D36" s="26" t="str">
        <x:v>Vehicle cards.</x:v>
      </x:c>
      <x:c r="E36" s="26" t="str">
        <x:v>High</x:v>
      </x:c>
      <x:c r="F36" s="26" t="str">
        <x:v>Vehicle support is separate.</x:v>
      </x:c>
      <x:c r="G36" s="26" t="str">
        <x:v>https://scryfall.com/docs/syntax</x:v>
      </x:c>
    </x:row>
    <x:row r="37">
      <x:c r="A37" s="26" t="str">
        <x:v>Planeswalkers in Commander colors</x:v>
      </x:c>
      <x:c r="B37" s="26" t="str">
        <x:v>f:commander id&lt;=[COLORS] t:planeswalker</x:v>
      </x:c>
      <x:c r="C37" s="26" t="str">
        <x:v>Identity + type</x:v>
      </x:c>
      <x:c r="D37" s="26" t="str">
        <x:v>Planeswalker cards.</x:v>
      </x:c>
      <x:c r="E37" s="26" t="str">
        <x:v>High</x:v>
      </x:c>
      <x:c r="F37" s="26" t="str">
        <x:v>Superfriends support is broader.</x:v>
      </x:c>
      <x:c r="G37" s="26" t="str">
        <x:v>https://scryfall.com/docs/syntax</x:v>
      </x:c>
    </x:row>
    <x:row r="38">
      <x:c r="A38" s="26" t="str">
        <x:v>Cards with exact ability word</x:v>
      </x:c>
      <x:c r="B38" s="26" t="str">
        <x:v>f:commander id&lt;=[COLORS] o:"[ABILITY WORD]"</x:v>
      </x:c>
      <x:c r="C38" s="26" t="str">
        <x:v>Oracle phrase</x:v>
      </x:c>
      <x:c r="D38" s="26" t="str">
        <x:v>Ability word appears in Oracle text.</x:v>
      </x:c>
      <x:c r="E38" s="26" t="str">
        <x:v>High</x:v>
      </x:c>
      <x:c r="F38" s="26" t="str">
        <x:v>Ability words are not kw: in general.</x:v>
      </x:c>
      <x:c r="G38" s="26" t="str">
        <x:v>https://scryfall.com/docs/syntax</x:v>
      </x:c>
    </x:row>
    <x:row r="39">
      <x:c r="A39" s="26" t="str">
        <x:v>Landfall cards</x:v>
      </x:c>
      <x:c r="B39" s="26" t="str">
        <x:v>f:commander id&lt;=[COLORS] o:landfall</x:v>
      </x:c>
      <x:c r="C39" s="26" t="str">
        <x:v>Oracle text</x:v>
      </x:c>
      <x:c r="D39" s="26" t="str">
        <x:v>Direct ability word.</x:v>
      </x:c>
      <x:c r="E39" s="26" t="str">
        <x:v>High</x:v>
      </x:c>
      <x:c r="F39" s="26" t="str">
        <x:v>Landfall support not labeled landfall can be missed.</x:v>
      </x:c>
      <x:c r="G39" s="26" t="str">
        <x:v>https://scryfall.com/docs/syntax</x:v>
      </x:c>
    </x:row>
    <x:row r="40">
      <x:c r="A40" s="26" t="str">
        <x:v>Storm cards</x:v>
      </x:c>
      <x:c r="B40" s="26" t="str">
        <x:v>f:commander id&lt;=[COLORS] kw:storm</x:v>
      </x:c>
      <x:c r="C40" s="26" t="str">
        <x:v>Keyword</x:v>
      </x:c>
      <x:c r="D40" s="26" t="str">
        <x:v>Has Storm keyword.</x:v>
      </x:c>
      <x:c r="E40" s="26" t="str">
        <x:v>High</x:v>
      </x:c>
      <x:c r="F40" s="26" t="str">
        <x:v>Storm-support cards are broader.</x:v>
      </x:c>
      <x:c r="G40" s="26" t="str">
        <x:v>https://scryfall.com/docs/syntax</x:v>
      </x:c>
    </x:row>
    <x:row r="41">
      <x:c r="A41" s="26" t="str">
        <x:v>Ninjutsu cards</x:v>
      </x:c>
      <x:c r="B41" s="26" t="str">
        <x:v>f:commander id&lt;=[COLORS] kw:ninjutsu</x:v>
      </x:c>
      <x:c r="C41" s="26" t="str">
        <x:v>Keyword</x:v>
      </x:c>
      <x:c r="D41" s="26" t="str">
        <x:v>Has Ninjutsu.</x:v>
      </x:c>
      <x:c r="E41" s="26" t="str">
        <x:v>High</x:v>
      </x:c>
      <x:c r="F41" s="26" t="str">
        <x:v>Ninja-synergy is separate.</x:v>
      </x:c>
      <x:c r="G41" s="26" t="str">
        <x:v>https://scryfall.com/docs/syntax</x:v>
      </x:c>
    </x:row>
    <x:row r="42">
      <x:c r="A42" s="26" t="str">
        <x:v>Cascade or Discover cards</x:v>
      </x:c>
      <x:c r="B42" s="26" t="str">
        <x:v>f:commander id&lt;=[COLORS] (kw:cascade or o:discover)</x:v>
      </x:c>
      <x:c r="C42" s="26" t="str">
        <x:v>Keyword + action OR</x:v>
      </x:c>
      <x:c r="D42" s="26" t="str">
        <x:v>Two mechanics grouped.</x:v>
      </x:c>
      <x:c r="E42" s="26" t="str">
        <x:v>High</x:v>
      </x:c>
      <x:c r="F42" s="26" t="str">
        <x:v>Do not forget parentheses when adding other AND constraints.</x:v>
      </x:c>
      <x:c r="G42" s="26" t="str">
        <x:v>https://scryfall.com/docs/syntax</x:v>
      </x:c>
    </x:row>
    <x:row r="43">
      <x:c r="A43" s="26" t="str">
        <x:v>Extra-turn effects</x:v>
      </x:c>
      <x:c r="B43" s="26" t="str">
        <x:v>f:commander id&lt;=[COLORS] o:/take an extra turn/</x:v>
      </x:c>
      <x:c r="C43" s="26" t="str">
        <x:v>Regex</x:v>
      </x:c>
      <x:c r="D43" s="26" t="str">
        <x:v>Common extra-turn wording.</x:v>
      </x:c>
      <x:c r="E43" s="26" t="str">
        <x:v>High</x:v>
      </x:c>
      <x:c r="F43" s="26" t="str">
        <x:v>Variant wording can be missed.</x:v>
      </x:c>
      <x:c r="G43" s="26" t="str">
        <x:v>https://scryfall.com/docs/regular-expressions</x:v>
      </x:c>
    </x:row>
    <x:row r="44">
      <x:c r="A44" s="26" t="str">
        <x:v>Wheel-like effects</x:v>
      </x:c>
      <x:c r="B44" s="26" t="str">
        <x:v>f:commander id&lt;=[COLORS] o:/discard.*draw/</x:v>
      </x:c>
      <x:c r="C44" s="26" t="str">
        <x:v>Regex</x:v>
      </x:c>
      <x:c r="D44" s="26" t="str">
        <x:v>Discard precedes draw.</x:v>
      </x:c>
      <x:c r="E44" s="26" t="str">
        <x:v>Medium</x:v>
      </x:c>
      <x:c r="F44" s="26" t="str">
        <x:v>Not every matching card is a classic wheel.</x:v>
      </x:c>
      <x:c r="G44" s="26" t="str">
        <x:v>https://luckypaper.co/articles/regular-expressions/</x:v>
      </x:c>
    </x:row>
    <x:row r="45">
      <x:c r="A45" s="26" t="str">
        <x:v>Reanimation effects</x:v>
      </x:c>
      <x:c r="B45" s="26" t="str">
        <x:v>f:commander id&lt;=[COLORS] o:/return.*creature.*from.*graveyard.*battlefield/</x:v>
      </x:c>
      <x:c r="C45" s="26" t="str">
        <x:v>Regex</x:v>
      </x:c>
      <x:c r="D45" s="26" t="str">
        <x:v>Return creature from graveyard to battlefield.</x:v>
      </x:c>
      <x:c r="E45" s="26" t="str">
        <x:v>Medium</x:v>
      </x:c>
      <x:c r="F45" s="26" t="str">
        <x:v>Needs graveyard ownership/destination refinements for precision.</x:v>
      </x:c>
      <x:c r="G45" s="26" t="str">
        <x:v>https://scryfall.com/docs/regular-expressions</x:v>
      </x:c>
    </x:row>
    <x:row r="46">
      <x:c r="A46" s="26" t="str">
        <x:v>Recursion to hand</x:v>
      </x:c>
      <x:c r="B46" s="26" t="str">
        <x:v>f:commander id&lt;=[COLORS] o:/return.*from.*graveyard.*to.*hand/</x:v>
      </x:c>
      <x:c r="C46" s="26" t="str">
        <x:v>Regex</x:v>
      </x:c>
      <x:c r="D46" s="26" t="str">
        <x:v>Return something from graveyard to hand.</x:v>
      </x:c>
      <x:c r="E46" s="26" t="str">
        <x:v>Medium</x:v>
      </x:c>
      <x:c r="F46" s="26" t="str">
        <x:v>Object/type can refine.</x:v>
      </x:c>
      <x:c r="G46" s="26" t="str">
        <x:v>https://scryfall.com/docs/regular-expressions</x:v>
      </x:c>
    </x:row>
    <x:row r="47">
      <x:c r="A47" s="26" t="str">
        <x:v>Tutors broadly</x:v>
      </x:c>
      <x:c r="B47" s="26" t="str">
        <x:v>f:commander id&lt;=[COLORS] o:/search your library/</x:v>
      </x:c>
      <x:c r="C47" s="26" t="str">
        <x:v>Regex</x:v>
      </x:c>
      <x:c r="D47" s="26" t="str">
        <x:v>Search your library.</x:v>
      </x:c>
      <x:c r="E47" s="26" t="str">
        <x:v>Medium</x:v>
      </x:c>
      <x:c r="F47" s="26" t="str">
        <x:v>Includes land search and constrained searches; refine target.</x:v>
      </x:c>
      <x:c r="G47" s="26" t="str">
        <x:v>https://scryfall.com/docs/regular-expressions</x:v>
      </x:c>
    </x:row>
    <x:row r="48">
      <x:c r="A48" s="26" t="str">
        <x:v>Land tutors / ramp text</x:v>
      </x:c>
      <x:c r="B48" s="26" t="str">
        <x:v>f:commander id&lt;=[COLORS] o:/search your library for.*land/</x:v>
      </x:c>
      <x:c r="C48" s="26" t="str">
        <x:v>Regex</x:v>
      </x:c>
      <x:c r="D48" s="26" t="str">
        <x:v>Search library for a land.</x:v>
      </x:c>
      <x:c r="E48" s="26" t="str">
        <x:v>Medium</x:v>
      </x:c>
      <x:c r="F48" s="26" t="str">
        <x:v>Destination and basic/nonbasic matter.</x:v>
      </x:c>
      <x:c r="G48" s="26" t="str">
        <x:v>https://scryfall.com/docs/regular-expressions</x:v>
      </x:c>
    </x:row>
    <x:row r="49">
      <x:c r="A49" s="26" t="str">
        <x:v>Conditional untapped lands</x:v>
      </x:c>
      <x:c r="B49" s="26" t="str">
        <x:v>t:land o:"enters tapped"</x:v>
      </x:c>
      <x:c r="C49" s="26" t="str">
        <x:v>Oracle phrase</x:v>
      </x:c>
      <x:c r="D49" s="26" t="str">
        <x:v>Lands with enters-tapped clauses.</x:v>
      </x:c>
      <x:c r="E49" s="26" t="str">
        <x:v>Medium</x:v>
      </x:c>
      <x:c r="F49" s="26" t="str">
        <x:v>Finding specifically conditional untapped lands requires careful exclusion/pattern review.</x:v>
      </x:c>
      <x:c r="G49" s="26" t="str">
        <x:v>https://scryfall.com/docs/syntax</x:v>
      </x:c>
    </x:row>
    <x:row r="50">
      <x:c r="A50" s="26" t="str">
        <x:v>Paper-only Commander pool</x:v>
      </x:c>
      <x:c r="B50" s="26" t="str">
        <x:v>f:commander game:paper id&lt;=[COLORS]</x:v>
      </x:c>
      <x:c r="C50" s="26" t="str">
        <x:v>Format + game</x:v>
      </x:c>
      <x:c r="D50" s="26" t="str">
        <x:v>Legal in Commander and paper availability.</x:v>
      </x:c>
      <x:c r="E50" s="26" t="str">
        <x:v>High</x:v>
      </x:c>
      <x:c r="F50" s="26" t="str">
        <x:v>Do not use game:paper as a substitute for legality.</x:v>
      </x:c>
      <x:c r="G50" s="26" t="str">
        <x:v>https://scryfall.com/docs/syntax</x:v>
      </x:c>
    </x:row>
    <x:row r="51">
      <x:c r="A51" s="26" t="str">
        <x:v>Exclude Universes Beyond</x:v>
      </x:c>
      <x:c r="B51" s="26" t="str">
        <x:v>f:commander id&lt;=[COLORS] not:universesbeyond</x:v>
      </x:c>
      <x:c r="C51" s="26" t="str">
        <x:v>Property exclusion</x:v>
      </x:c>
      <x:c r="D51" s="26" t="str">
        <x:v>Excludes UB.</x:v>
      </x:c>
      <x:c r="E51" s="26" t="str">
        <x:v>High</x:v>
      </x:c>
      <x:c r="F51" s="26" t="str">
        <x:v>Can combine with any deck search.</x:v>
      </x:c>
      <x:c r="G51" s="26" t="str">
        <x:v>https://scryfall.com/docs/syntax</x:v>
      </x:c>
    </x:row>
    <x:row r="52">
      <x:c r="A52" s="26" t="str">
        <x:v>New non-reprint cards since date</x:v>
      </x:c>
      <x:c r="B52" s="26" t="str">
        <x:v>date&gt;=[DATE] not:reprint unique:cards</x:v>
      </x:c>
      <x:c r="C52" s="26" t="str">
        <x:v>Date + reprint status</x:v>
      </x:c>
      <x:c r="D52" s="26" t="str">
        <x:v>New cards in their set after date.</x:v>
      </x:c>
      <x:c r="E52" s="26" t="str">
        <x:v>High</x:v>
      </x:c>
      <x:c r="F52" s="26" t="str">
        <x:v>This is not the same as cards receiving a new printing after date.</x:v>
      </x:c>
      <x:c r="G52" s="26" t="str">
        <x:v>https://scryfall.com/docs/syntax</x:v>
      </x:c>
    </x:row>
    <x:row r="53">
      <x:c r="A53" s="26" t="str">
        <x:v>Cards from a set</x:v>
      </x:c>
      <x:c r="B53" s="26" t="str">
        <x:v>set:[SET]</x:v>
      </x:c>
      <x:c r="C53" s="26" t="str">
        <x:v>Printing membership</x:v>
      </x:c>
      <x:c r="D53" s="26" t="str">
        <x:v>Results are printings in set.</x:v>
      </x:c>
      <x:c r="E53" s="26" t="str">
        <x:v>High</x:v>
      </x:c>
      <x:c r="F53" s="26" t="str">
        <x:v>Use in: when asking historical membership.</x:v>
      </x:c>
      <x:c r="G53" s="26" t="str">
        <x:v>https://scryfall.com/docs/syntax</x:v>
      </x:c>
    </x:row>
    <x:row r="54">
      <x:c r="A54" s="26" t="str">
        <x:v>Cards ever printed in a set</x:v>
      </x:c>
      <x:c r="B54" s="26" t="str">
        <x:v>in:[SET] unique:cards</x:v>
      </x:c>
      <x:c r="C54" s="26" t="str">
        <x:v>Card history</x:v>
      </x:c>
      <x:c r="D54" s="26" t="str">
        <x:v>Card has appeared in set.</x:v>
      </x:c>
      <x:c r="E54" s="26" t="str">
        <x:v>High</x:v>
      </x:c>
      <x:c r="F54" s="26" t="str">
        <x:v>Different from set:.</x:v>
      </x:c>
      <x:c r="G54" s="26" t="str">
        <x:v>https://scryfall.com/docs/syntax</x:v>
      </x:c>
    </x:row>
    <x:row r="55">
      <x:c r="A55" s="26" t="str">
        <x:v>Exclude any card ever in a set</x:v>
      </x:c>
      <x:c r="B55" s="26" t="str">
        <x:v>-in:[SET] unique:cards</x:v>
      </x:c>
      <x:c r="C55" s="26" t="str">
        <x:v>Historical negation</x:v>
      </x:c>
      <x:c r="D55" s="26" t="str">
        <x:v>Exclude cards with any printing in set.</x:v>
      </x:c>
      <x:c r="E55" s="26" t="str">
        <x:v>High</x:v>
      </x:c>
      <x:c r="F55" s="26" t="str">
        <x:v>Useful for 'everything except cards that appeared in product X'.</x:v>
      </x:c>
      <x:c r="G55" s="26" t="str">
        <x:v>https://scryfall.com/docs/syntax</x:v>
      </x:c>
    </x:row>
    <x:row r="56">
      <x:c r="A56" s="26" t="str">
        <x:v>Exact physical printing by set + collector number</x:v>
      </x:c>
      <x:c r="B56" s="26" t="str">
        <x:v>set:[SET] cn:[NUMBER]</x:v>
      </x:c>
      <x:c r="C56" s="26" t="str">
        <x:v>Printing identifiers</x:v>
      </x:c>
      <x:c r="D56" s="26" t="str">
        <x:v>Set code and collector number known.</x:v>
      </x:c>
      <x:c r="E56" s="26" t="str">
        <x:v>High</x:v>
      </x:c>
      <x:c r="F56" s="26" t="str">
        <x:v>Add lang: when needed.</x:v>
      </x:c>
      <x:c r="G56" s="26" t="str">
        <x:v>https://scryfall.com/docs/syntax</x:v>
      </x:c>
    </x:row>
    <x:row r="57">
      <x:c r="A57" s="26" t="str">
        <x:v>All printings of exact card</x:v>
      </x:c>
      <x:c r="B57" s="26" t="str">
        <x:v>!"[CARD NAME]" unique:prints</x:v>
      </x:c>
      <x:c r="C57" s="26" t="str">
        <x:v>Exact name + result mode</x:v>
      </x:c>
      <x:c r="D57" s="26" t="str">
        <x:v>Exact card name.</x:v>
      </x:c>
      <x:c r="E57" s="26" t="str">
        <x:v>High</x:v>
      </x:c>
      <x:c r="F57" s="26" t="str">
        <x:v>Collecting/printing history.</x:v>
      </x:c>
      <x:c r="G57" s="26" t="str">
        <x:v>https://scryfall.com/docs/syntax</x:v>
      </x:c>
    </x:row>
    <x:row r="58">
      <x:c r="A58" s="26" t="str">
        <x:v>Unique artwork of exact card</x:v>
      </x:c>
      <x:c r="B58" s="26" t="str">
        <x:v>!"[CARD NAME]" unique:art</x:v>
      </x:c>
      <x:c r="C58" s="26" t="str">
        <x:v>Exact name + result mode</x:v>
      </x:c>
      <x:c r="D58" s="26" t="str">
        <x:v>Exact card name.</x:v>
      </x:c>
      <x:c r="E58" s="26" t="str">
        <x:v>High</x:v>
      </x:c>
      <x:c r="F58" s="26" t="str">
        <x:v>Art research.</x:v>
      </x:c>
      <x:c r="G58" s="26" t="str">
        <x:v>https://scryfall.com/docs/syntax</x:v>
      </x:c>
    </x:row>
    <x:row r="59">
      <x:c r="A59" s="26" t="str">
        <x:v>Cheapest USD printing per card</x:v>
      </x:c>
      <x:c r="B59" s="26" t="str">
        <x:v>[FILTERS] cheapest:usd</x:v>
      </x:c>
      <x:c r="C59" s="26" t="str">
        <x:v>Printing selection</x:v>
      </x:c>
      <x:c r="D59" s="26" t="str">
        <x:v>USD price field available.</x:v>
      </x:c>
      <x:c r="E59" s="26" t="str">
        <x:v>High</x:v>
      </x:c>
      <x:c r="F59" s="26" t="str">
        <x:v>Useful when budget intent concerns cheapest copies.</x:v>
      </x:c>
      <x:c r="G59" s="26" t="str">
        <x:v>https://scryfall.com/docs/syntax</x:v>
      </x:c>
    </x:row>
    <x:row r="60">
      <x:c r="A60" s="26" t="str">
        <x:v>Sort Commander candidates by popularity</x:v>
      </x:c>
      <x:c r="B60" s="26" t="str">
        <x:v>[FILTERS] order:edhrec</x:v>
      </x:c>
      <x:c r="C60" s="26" t="str">
        <x:v>Result control</x:v>
      </x:c>
      <x:c r="D60" s="26" t="str">
        <x:v>EDHREC rank available.</x:v>
      </x:c>
      <x:c r="E60" s="26" t="str">
        <x:v>High</x:v>
      </x:c>
      <x:c r="F60" s="26" t="str">
        <x:v>Lower rank number = more popular.</x:v>
      </x:c>
      <x:c r="G60" s="26" t="str">
        <x:v>https://scryfall.com/docs/syntax</x:v>
      </x:c>
    </x:row>
    <x:row r="61">
      <x:c r="A61" s="26" t="str">
        <x:v>Search art for subject</x:v>
      </x:c>
      <x:c r="B61" s="26" t="str">
        <x:v>art:[TAG]</x:v>
      </x:c>
      <x:c r="C61" s="26" t="str">
        <x:v>Art Tagger</x:v>
      </x:c>
      <x:c r="D61" s="26" t="str">
        <x:v>Exact art-tag vocabulary.</x:v>
      </x:c>
      <x:c r="E61" s="26" t="str">
        <x:v>Tag-dependent</x:v>
      </x:c>
      <x:c r="F61" s="26" t="str">
        <x:v>Art tags describe illustration, not card function.</x:v>
      </x:c>
      <x:c r="G61" s="26" t="str">
        <x:v>https://scryfall.com/docs/tagger-tags</x:v>
      </x:c>
    </x:row>
  </x:sheetData>
  <x:mergeCells>
    <x:mergeCell ref="A1:G1"/>
    <x:mergeCell ref="A2:G2"/>
  </x:mergeCells>
  <x:pageMargins left="0.7" right="0.7" top="0.75" bottom="0.75" header="0.3" footer="0.3"/>
  <x:tableParts count="1">
    <x:tablePart xmlns:r="http://schemas.openxmlformats.org/officeDocument/2006/relationships" r:id="R1e196cf7e9a148be"/>
  </x:tableParts>
</x:worksheet>
</file>

<file path=xl/worksheets/sheet8.xml><?xml version="1.0" encoding="utf-8"?>
<x:worksheet xmlns:x="http://schemas.openxmlformats.org/spreadsheetml/2006/main">
  <x:sheetFormatPr defaultRowHeight="15"/>
  <x:cols>
    <x:col min="1" max="1" width="30" hidden="0" customWidth="1"/>
    <x:col min="2" max="2" width="42" hidden="0" customWidth="1"/>
    <x:col min="3" max="3" width="48" hidden="0" customWidth="1"/>
    <x:col min="4" max="4" width="44" hidden="0" customWidth="1"/>
    <x:col min="5" max="5" width="22" hidden="0" customWidth="1"/>
    <x:col min="6" max="6" width="48" hidden="0" customWidth="1"/>
    <x:col min="7" max="7" width="42" hidden="0" customWidth="1"/>
    <x:col min="8" max="8" width="44" hidden="0" customWidth="1"/>
  </x:cols>
  <x:sheetData>
    <x:row r="1" ht="28" customHeight="1">
      <x:c r="A1" s="33" t="str">
        <x:v>SCRYFALL REGEX LIBRARY</x:v>
      </x:c>
      <x:c r="B1" s="33"/>
      <x:c r="C1" s="33"/>
      <x:c r="D1" s="33"/>
      <x:c r="E1" s="33"/>
      <x:c r="F1" s="33"/>
      <x:c r="G1" s="33"/>
      <x:c r="H1" s="33"/>
    </x:row>
    <x:row r="2" ht="30" customHeight="1">
      <x:c r="A2" s="35" t="str">
        <x:v>Practical, Scryfall-specific regex recipes. Use these only when wording structure matters or a native operator / governed Tagger concept cannot express the intent.</x:v>
      </x:c>
      <x:c r="B2" s="35"/>
      <x:c r="C2" s="35"/>
      <x:c r="D2" s="35"/>
      <x:c r="E2" s="35"/>
      <x:c r="F2" s="35"/>
      <x:c r="G2" s="35"/>
      <x:c r="H2" s="35"/>
    </x:row>
    <x:row r="4" ht="28" customHeight="1">
      <x:c r="A4" s="39" t="str">
        <x:v>Pattern Name</x:v>
      </x:c>
      <x:c r="B4" s="39" t="str">
        <x:v>Use Case</x:v>
      </x:c>
      <x:c r="C4" s="39" t="str">
        <x:v>Scryfall Query</x:v>
      </x:c>
      <x:c r="D4" s="39" t="str">
        <x:v>Read It As</x:v>
      </x:c>
      <x:c r="E4" s="39" t="str">
        <x:v>Precision / Recall</x:v>
      </x:c>
      <x:c r="F4" s="39" t="str">
        <x:v>Known Caveat</x:v>
      </x:c>
      <x:c r="G4" s="39" t="str">
        <x:v>Recommended Use</x:v>
      </x:c>
      <x:c r="H4" s="39" t="str">
        <x:v>Source</x:v>
      </x:c>
    </x:row>
    <x:row r="5">
      <x:c r="A5" s="26" t="str">
        <x:v>Counterspell wording</x:v>
      </x:c>
      <x:c r="B5" s="26" t="str">
        <x:v>Find many counterspell templates</x:v>
      </x:c>
      <x:c r="C5" s="26" t="str">
        <x:v>o:/counter target.*spell/</x:v>
      </x:c>
      <x:c r="D5" s="26" t="str">
        <x:v>"counter target" then any text then "spell"</x:v>
      </x:c>
      <x:c r="E5" s="26" t="str">
        <x:v>Medium precision / high recall</x:v>
      </x:c>
      <x:c r="F5" s="26" t="str">
        <x:v>Misses effects that stop spells without using this template.</x:v>
      </x:c>
      <x:c r="G5" s="26" t="str">
        <x:v>Discovery; prefer otag:counterspell for semantic intent.</x:v>
      </x:c>
      <x:c r="H5" s="26" t="str">
        <x:v>https://luckypaper.co/articles/regular-expressions/</x:v>
      </x:c>
    </x:row>
    <x:row r="6">
      <x:c r="A6" s="26" t="str">
        <x:v>Blink/flicker wording</x:v>
      </x:c>
      <x:c r="B6" s="26" t="str">
        <x:v>Exile then return in same Oracle segment</x:v>
      </x:c>
      <x:c r="C6" s="26" t="str">
        <x:v>o:/exile.*return/</x:v>
      </x:c>
      <x:c r="D6" s="26" t="str">
        <x:v>exile before return</x:v>
      </x:c>
      <x:c r="E6" s="26" t="str">
        <x:v>Medium / medium</x:v>
      </x:c>
      <x:c r="F6" s="26" t="str">
        <x:v>Can match non-blink uses; dot normally does not cross line breaks.</x:v>
      </x:c>
      <x:c r="G6" s="26" t="str">
        <x:v>Fallback for blink wording.</x:v>
      </x:c>
      <x:c r="H6" s="26" t="str">
        <x:v>https://luckypaper.co/articles/regular-expressions/</x:v>
      </x:c>
    </x:row>
    <x:row r="7">
      <x:c r="A7" s="26" t="str">
        <x:v>Sacrifice cost that draws</x:v>
      </x:c>
      <x:c r="B7" s="26" t="str">
        <x:v>Activated ability with sacrifice before colon and draw after</x:v>
      </x:c>
      <x:c r="C7" s="26" t="str">
        <x:v>o:/sacrifice.*:.*draw/</x:v>
      </x:c>
      <x:c r="D7" s="26" t="str">
        <x:v>sacrifice in cost, then draw in effect</x:v>
      </x:c>
      <x:c r="E7" s="26" t="str">
        <x:v>High / medium</x:v>
      </x:c>
      <x:c r="F7" s="26" t="str">
        <x:v>May match complex abilities and other sacrifices.</x:v>
      </x:c>
      <x:c r="G7" s="26" t="str">
        <x:v>Great structural pattern.</x:v>
      </x:c>
      <x:c r="H7" s="26" t="str">
        <x:v>https://luckypaper.co/articles/regular-expressions/</x:v>
      </x:c>
    </x:row>
    <x:row r="8">
      <x:c r="A8" s="26" t="str">
        <x:v>Destroy or exile creature</x:v>
      </x:c>
      <x:c r="B8" s="26" t="str">
        <x:v>Broad creature removal wording</x:v>
      </x:c>
      <x:c r="C8" s="26" t="str">
        <x:v>o:/(destroy|exile) target.*creature/</x:v>
      </x:c>
      <x:c r="D8" s="26" t="str">
        <x:v>destroy OR exile a target ... creature</x:v>
      </x:c>
      <x:c r="E8" s="26" t="str">
        <x:v>Medium / medium</x:v>
      </x:c>
      <x:c r="F8" s="26" t="str">
        <x:v>Misses sacrifice, damage, -X/-X, bounce, non-targeted removal.</x:v>
      </x:c>
      <x:c r="G8" s="26" t="str">
        <x:v>Literal removal fallback.</x:v>
      </x:c>
      <x:c r="H8" s="26" t="str">
        <x:v>https://luckypaper.co/articles/regular-expressions/</x:v>
      </x:c>
    </x:row>
    <x:row r="9">
      <x:c r="A9" s="26" t="str">
        <x:v>Activated ability cost: sac creature</x:v>
      </x:c>
      <x:c r="B9" s="26" t="str">
        <x:v>Ability begins by sacrificing a creature</x:v>
      </x:c>
      <x:c r="C9" s="26" t="str">
        <x:v>o:/^sacrifice a creature.*:/</x:v>
      </x:c>
      <x:c r="D9" s="26" t="str">
        <x:v>line starts sacrifice a creature and later colon</x:v>
      </x:c>
      <x:c r="E9" s="26" t="str">
        <x:v>High / medium</x:v>
      </x:c>
      <x:c r="F9" s="26" t="str">
        <x:v>Anchors are line-sensitive; costs may include mana before sacrifice.</x:v>
      </x:c>
      <x:c r="G9" s="26" t="str">
        <x:v>Strict cost pattern.</x:v>
      </x:c>
      <x:c r="H9" s="26" t="str">
        <x:v>https://luckypaper.co/articles/regular-expressions/</x:v>
      </x:c>
    </x:row>
    <x:row r="10">
      <x:c r="A10" s="26" t="str">
        <x:v>Exact Partner ability</x:v>
      </x:c>
      <x:c r="B10" s="26" t="str">
        <x:v>Partner but not partner-with text</x:v>
      </x:c>
      <x:c r="C10" s="26" t="str">
        <x:v>o:/^partner$/</x:v>
      </x:c>
      <x:c r="D10" s="26" t="str">
        <x:v>a line containing only partner</x:v>
      </x:c>
      <x:c r="E10" s="26" t="str">
        <x:v>High / high for exact line</x:v>
      </x:c>
      <x:c r="F10" s="26" t="str">
        <x:v>Oracle formatting changes could affect line semantics.</x:v>
      </x:c>
      <x:c r="G10" s="26" t="str">
        <x:v>Exact mechanic research.</x:v>
      </x:c>
      <x:c r="H10" s="26" t="str">
        <x:v>https://luckypaper.co/articles/regular-expressions/</x:v>
      </x:c>
    </x:row>
    <x:row r="11">
      <x:c r="A11" s="26" t="str">
        <x:v>Generic 3-mana activation</x:v>
      </x:c>
      <x:c r="B11" s="26" t="str">
        <x:v>Activated ability starts with {3}</x:v>
      </x:c>
      <x:c r="C11" s="26" t="str">
        <x:v>o:/^\{3\}:/</x:v>
      </x:c>
      <x:c r="D11" s="26" t="str">
        <x:v>line begins {3}:</x:v>
      </x:c>
      <x:c r="E11" s="26" t="str">
        <x:v>High / medium</x:v>
      </x:c>
      <x:c r="F11" s="26" t="str">
        <x:v>Only exact 3 generic and no other cost before colon.</x:v>
      </x:c>
      <x:c r="G11" s="26" t="str">
        <x:v>Cost-shape research.</x:v>
      </x:c>
      <x:c r="H11" s="26" t="str">
        <x:v>https://luckypaper.co/articles/regular-expressions/</x:v>
      </x:c>
    </x:row>
    <x:row r="12">
      <x:c r="A12" s="26" t="str">
        <x:v>Any fixed numeric damage</x:v>
      </x:c>
      <x:c r="B12" s="26" t="str">
        <x:v>Deals one-or-more digits damage</x:v>
      </x:c>
      <x:c r="C12" s="26" t="str">
        <x:v>o:/deals \d+ damage/</x:v>
      </x:c>
      <x:c r="D12" s="26" t="str">
        <x:v>deals [number] damage</x:v>
      </x:c>
      <x:c r="E12" s="26" t="str">
        <x:v>Medium / medium</x:v>
      </x:c>
      <x:c r="F12" s="26" t="str">
        <x:v>Misses variable damage, 'damage equal to', and different wording.</x:v>
      </x:c>
      <x:c r="G12" s="26" t="str">
        <x:v>Numerical damage discovery.</x:v>
      </x:c>
      <x:c r="H12" s="26" t="str">
        <x:v>https://luckypaper.co/articles/regular-expressions/</x:v>
      </x:c>
    </x:row>
    <x:row r="13">
      <x:c r="A13" s="26" t="str">
        <x:v>Power/toughness pump text</x:v>
      </x:c>
      <x:c r="B13" s="26" t="str">
        <x:v>Target creature gets +N/+N</x:v>
      </x:c>
      <x:c r="C13" s="26" t="str">
        <x:v>o:/target creature gets \+\d+\/\+\d+/</x:v>
      </x:c>
      <x:c r="D13" s="26" t="str">
        <x:v>target creature gets numeric positive P/T</x:v>
      </x:c>
      <x:c r="E13" s="26" t="str">
        <x:v>High / low-medium</x:v>
      </x:c>
      <x:c r="F13" s="26" t="str">
        <x:v>Only numeric wording; misses variable or asymmetric effects.</x:v>
      </x:c>
      <x:c r="G13" s="26" t="str">
        <x:v>Specific pump pattern.</x:v>
      </x:c>
      <x:c r="H13" s="26" t="str">
        <x:v>https://luckypaper.co/articles/regular-expressions/</x:v>
      </x:c>
    </x:row>
    <x:row r="14">
      <x:c r="A14" s="26" t="str">
        <x:v>Whole word artifact</x:v>
      </x:c>
      <x:c r="B14" s="26" t="str">
        <x:v>Artifact as word, not nonartifact</x:v>
      </x:c>
      <x:c r="C14" s="26" t="str">
        <x:v>o:/\bartifact\b/</x:v>
      </x:c>
      <x:c r="D14" s="26" t="str">
        <x:v>word-boundary artifact</x:v>
      </x:c>
      <x:c r="E14" s="26" t="str">
        <x:v>High / high for literal word</x:v>
      </x:c>
      <x:c r="F14" s="26" t="str">
        <x:v>Still semantic only where Oracle uses the word.</x:v>
      </x:c>
      <x:c r="G14" s="26" t="str">
        <x:v>Better literal-word search.</x:v>
      </x:c>
      <x:c r="H14" s="26" t="str">
        <x:v>https://luckypaper.co/articles/regular-expressions/</x:v>
      </x:c>
    </x:row>
    <x:row r="15">
      <x:c r="A15" s="26" t="str">
        <x:v>Artifact not prefixed by non</x:v>
      </x:c>
      <x:c r="B15" s="26" t="str">
        <x:v>Exclude nonartifact via lookbehind</x:v>
      </x:c>
      <x:c r="C15" s="26" t="str">
        <x:v>o:/(?&lt;!non)artifact/</x:v>
      </x:c>
      <x:c r="D15" s="26" t="str">
        <x:v>artifact not immediately preceded by non</x:v>
      </x:c>
      <x:c r="E15" s="26" t="str">
        <x:v>High / high for specific issue</x:v>
      </x:c>
      <x:c r="F15" s="26" t="str">
        <x:v>Lookbehind is advanced; word-boundary may be simpler.</x:v>
      </x:c>
      <x:c r="G15" s="26" t="str">
        <x:v>Edge-case precision.</x:v>
      </x:c>
      <x:c r="H15" s="26" t="str">
        <x:v>https://luckypaper.co/articles/regular-expressions/</x:v>
      </x:c>
    </x:row>
    <x:row r="16">
      <x:c r="A16" s="26" t="str">
        <x:v>Exile creature but not return</x:v>
      </x:c>
      <x:c r="B16" s="26" t="str">
        <x:v>Removal-like exile excluding blink</x:v>
      </x:c>
      <x:c r="C16" s="26" t="str">
        <x:v>o:/exile target creature(?!.*return)/</x:v>
      </x:c>
      <x:c r="D16" s="26" t="str">
        <x:v>exile target creature not followed later by return</x:v>
      </x:c>
      <x:c r="E16" s="26" t="str">
        <x:v>Medium / medium</x:v>
      </x:c>
      <x:c r="F16" s="26" t="str">
        <x:v>May still match unrelated return text on same line; misses many removal templates.</x:v>
      </x:c>
      <x:c r="G16" s="26" t="str">
        <x:v>Candidate cleanup.</x:v>
      </x:c>
      <x:c r="H16" s="26" t="str">
        <x:v>https://luckypaper.co/articles/regular-expressions/</x:v>
      </x:c>
    </x:row>
    <x:row r="17">
      <x:c r="A17" s="26" t="str">
        <x:v>Own ETB creates token</x:v>
      </x:c>
      <x:c r="B17" s="26" t="str">
        <x:v>Card creates token when it enters</x:v>
      </x:c>
      <x:c r="C17" s="26" t="str">
        <x:v>o:/when ~ enters.*create.*token/</x:v>
      </x:c>
      <x:c r="D17" s="26" t="str">
        <x:v>when this card enters ... create ... token</x:v>
      </x:c>
      <x:c r="E17" s="26" t="str">
        <x:v>High / medium</x:v>
      </x:c>
      <x:c r="F17" s="26" t="str">
        <x:v>Misses 'whenever', replacement effects, and alternate self-reference.</x:v>
      </x:c>
      <x:c r="G17" s="26" t="str">
        <x:v>ETB token generator recipe.</x:v>
      </x:c>
      <x:c r="H17" s="26" t="str">
        <x:v>https://luckypaper.co/articles/regular-expressions/</x:v>
      </x:c>
    </x:row>
    <x:row r="18">
      <x:c r="A18" s="26" t="str">
        <x:v>Triggered token creation</x:v>
      </x:c>
      <x:c r="B18" s="26" t="str">
        <x:v>At/when trigger that creates token</x:v>
      </x:c>
      <x:c r="C18" s="26" t="str">
        <x:v>o:/(\bat\b|\bwhen\b).*,.*create.*token/</x:v>
      </x:c>
      <x:c r="D18" s="26" t="str">
        <x:v>trigger clause followed by token creation</x:v>
      </x:c>
      <x:c r="E18" s="26" t="str">
        <x:v>Medium / medium</x:v>
      </x:c>
      <x:c r="F18" s="26" t="str">
        <x:v>Does not cover every trigger word/template.</x:v>
      </x:c>
      <x:c r="G18" s="26" t="str">
        <x:v>Discovery only.</x:v>
      </x:c>
      <x:c r="H18" s="26" t="str">
        <x:v>https://luckypaper.co/articles/regular-expressions/</x:v>
      </x:c>
    </x:row>
    <x:row r="19">
      <x:c r="A19" s="26" t="str">
        <x:v>Generic cost reduction</x:v>
      </x:c>
      <x:c r="B19" s="26" t="str">
        <x:v>Costs {N} less to cast</x:v>
      </x:c>
      <x:c r="C19" s="26" t="str">
        <x:v>o:/costs \{\d+\} less to cast/</x:v>
      </x:c>
      <x:c r="D19" s="26" t="str">
        <x:v>costs {number} less to cast</x:v>
      </x:c>
      <x:c r="E19" s="26" t="str">
        <x:v>High / medium</x:v>
      </x:c>
      <x:c r="F19" s="26" t="str">
        <x:v>Misses variable/specific-type reductions using other templates.</x:v>
      </x:c>
      <x:c r="G19" s="26" t="str">
        <x:v>Cost reduction research.</x:v>
      </x:c>
      <x:c r="H19" s="26" t="str">
        <x:v>https://luckypaper.co/articles/regular-expressions/</x:v>
      </x:c>
    </x:row>
    <x:row r="20">
      <x:c r="A20" s="26" t="str">
        <x:v>Broad fetch-land wording</x:v>
      </x:c>
      <x:c r="B20" s="26" t="str">
        <x:v>Land sacrifices to search and put onto battlefield</x:v>
      </x:c>
      <x:c r="C20" s="26" t="str">
        <x:v>t:land o:/sacrifice.*search.*battlefield/</x:v>
      </x:c>
      <x:c r="D20" s="26" t="str">
        <x:v>land + sacrifice, search, battlefield in order</x:v>
      </x:c>
      <x:c r="E20" s="26" t="str">
        <x:v>Medium / medium</x:v>
      </x:c>
      <x:c r="F20" s="26" t="str">
        <x:v>Can include nontraditional fetches; misses some variants.</x:v>
      </x:c>
      <x:c r="G20" s="26" t="str">
        <x:v>Broad land tutoring discovery.</x:v>
      </x:c>
      <x:c r="H20" s="26" t="str">
        <x:v>https://luckypaper.co/articles/regular-expressions/</x:v>
      </x:c>
    </x:row>
    <x:row r="21">
      <x:c r="A21" s="26" t="str">
        <x:v>Cycling exactly {1}</x:v>
      </x:c>
      <x:c r="B21" s="26" t="str">
        <x:v>Cycling 1 without additional mana symbol</x:v>
      </x:c>
      <x:c r="C21" s="26" t="str">
        <x:v>o:/\bcycling \{1\}(?!\{)/</x:v>
      </x:c>
      <x:c r="D21" s="26" t="str">
        <x:v>cycling {1}, not immediately another symbol</x:v>
      </x:c>
      <x:c r="E21" s="26" t="str">
        <x:v>High / high</x:v>
      </x:c>
      <x:c r="F21" s="26" t="str">
        <x:v>Reminder/full Oracle differences may matter.</x:v>
      </x:c>
      <x:c r="G21" s="26" t="str">
        <x:v>Exact mechanic cost.</x:v>
      </x:c>
      <x:c r="H21" s="26" t="str">
        <x:v>https://luckypaper.co/articles/regular-expressions/</x:v>
      </x:c>
    </x:row>
    <x:row r="22">
      <x:c r="A22" s="26" t="str">
        <x:v>Activated grants combat keyword</x:v>
      </x:c>
      <x:c r="B22" s="26" t="str">
        <x:v>Activated ability grants common keyword</x:v>
      </x:c>
      <x:c r="C22" s="26" t="str">
        <x:v>o:/:.*gain.*(flying|vigilance|haste|double strike|trample|indestructible)/</x:v>
      </x:c>
      <x:c r="D22" s="26" t="str">
        <x:v>after colon, gains one listed keyword</x:v>
      </x:c>
      <x:c r="E22" s="26" t="str">
        <x:v>Medium / medium</x:v>
      </x:c>
      <x:c r="F22" s="26" t="str">
        <x:v>Only listed keywords and 'gain' wording.</x:v>
      </x:c>
      <x:c r="G22" s="26" t="str">
        <x:v>Targeted ability discovery.</x:v>
      </x:c>
      <x:c r="H22" s="26" t="str">
        <x:v>https://luckypaper.co/articles/regular-expressions/</x:v>
      </x:c>
    </x:row>
    <x:row r="23">
      <x:c r="A23" s="26" t="str">
        <x:v>Discard in activation cost</x:v>
      </x:c>
      <x:c r="B23" s="26" t="str">
        <x:v>Discard appears before colon</x:v>
      </x:c>
      <x:c r="C23" s="26" t="str">
        <x:v>o:/discard.*:/</x:v>
      </x:c>
      <x:c r="D23" s="26" t="str">
        <x:v>discard before activated-ability colon</x:v>
      </x:c>
      <x:c r="E23" s="26" t="str">
        <x:v>Medium / high</x:v>
      </x:c>
      <x:c r="F23" s="26" t="str">
        <x:v>Could match other text before a later colon.</x:v>
      </x:c>
      <x:c r="G23" s="26" t="str">
        <x:v>Candidate discard outlets.</x:v>
      </x:c>
      <x:c r="H23" s="26" t="str">
        <x:v>https://luckypaper.co/articles/regular-expressions/</x:v>
      </x:c>
    </x:row>
    <x:row r="24">
      <x:c r="A24" s="26" t="str">
        <x:v>Flashback line</x:v>
      </x:c>
      <x:c r="B24" s="26" t="str">
        <x:v>Oracle line begins with Flashback</x:v>
      </x:c>
      <x:c r="C24" s="26" t="str">
        <x:v>o:/^flashback/</x:v>
      </x:c>
      <x:c r="D24" s="26" t="str">
        <x:v>line starts flashback</x:v>
      </x:c>
      <x:c r="E24" s="26" t="str">
        <x:v>High / high</x:v>
      </x:c>
      <x:c r="F24" s="26" t="str">
        <x:v>Use kw:flashback when the user means the keyword itself.</x:v>
      </x:c>
      <x:c r="G24" s="26" t="str">
        <x:v>Text-shape research.</x:v>
      </x:c>
      <x:c r="H24" s="26" t="str">
        <x:v>https://luckypaper.co/articles/regular-expressions/</x:v>
      </x:c>
    </x:row>
    <x:row r="25">
      <x:c r="A25" s="26" t="str">
        <x:v>Remove +1/+1 counter as cost</x:v>
      </x:c>
      <x:c r="B25" s="26" t="str">
        <x:v>Activation cost removes +1/+1 counter</x:v>
      </x:c>
      <x:c r="C25" s="26" t="str">
        <x:v>o:/^remove.*\+1\/\+1.*counter.*:/</x:v>
      </x:c>
      <x:c r="D25" s="26" t="str">
        <x:v>line begins remove ... +1/+1 ... counter ... colon</x:v>
      </x:c>
      <x:c r="E25" s="26" t="str">
        <x:v>High / medium</x:v>
      </x:c>
      <x:c r="F25" s="26" t="str">
        <x:v>May miss mana preceding remove.</x:v>
      </x:c>
      <x:c r="G25" s="26" t="str">
        <x:v>Cost-specific discovery.</x:v>
      </x:c>
      <x:c r="H25" s="26" t="str">
        <x:v>https://luckypaper.co/articles/regular-expressions/</x:v>
      </x:c>
    </x:row>
    <x:row r="26">
      <x:c r="A26" s="26" t="str">
        <x:v>Blue symbol in Oracle</x:v>
      </x:c>
      <x:c r="B26" s="26" t="str">
        <x:v>Any blue mana symbol in rules text</x:v>
      </x:c>
      <x:c r="C26" s="26" t="str">
        <x:v>o:/\{u\}/</x:v>
      </x:c>
      <x:c r="D26" s="26" t="str">
        <x:v>contains {U}</x:v>
      </x:c>
      <x:c r="E26" s="26" t="str">
        <x:v>High / high for literal symbol</x:v>
      </x:c>
      <x:c r="F26" s="26" t="str">
        <x:v>Rules-text mana symbol is not card color or identity.</x:v>
      </x:c>
      <x:c r="G26" s="26" t="str">
        <x:v>Rules-text symbol research.</x:v>
      </x:c>
      <x:c r="H26" s="26" t="str">
        <x:v>https://luckypaper.co/articles/regular-expressions/</x:v>
      </x:c>
    </x:row>
    <x:row r="27">
      <x:c r="A27" s="26" t="str">
        <x:v>Blue symbol in activated cost</x:v>
      </x:c>
      <x:c r="B27" s="26" t="str">
        <x:v>Blue symbol before activation colon</x:v>
      </x:c>
      <x:c r="C27" s="26" t="str">
        <x:v>o:/\{u\}.*:/</x:v>
      </x:c>
      <x:c r="D27" s="26" t="str">
        <x:v>{U} then later colon</x:v>
      </x:c>
      <x:c r="E27" s="26" t="str">
        <x:v>Medium / medium</x:v>
      </x:c>
      <x:c r="F27" s="26" t="str">
        <x:v>May pair symbol from unrelated text with colon.</x:v>
      </x:c>
      <x:c r="G27" s="26" t="str">
        <x:v>Candidate activation pattern.</x:v>
      </x:c>
      <x:c r="H27" s="26" t="str">
        <x:v>https://luckypaper.co/articles/regular-expressions/</x:v>
      </x:c>
    </x:row>
    <x:row r="28">
      <x:c r="A28" s="26" t="str">
        <x:v>Activation costs exactly one blue</x:v>
      </x:c>
      <x:c r="B28" s="26" t="str">
        <x:v>Line starts {U}: only</x:v>
      </x:c>
      <x:c r="C28" s="26" t="str">
        <x:v>o:/^\{u\}:/</x:v>
      </x:c>
      <x:c r="D28" s="26" t="str">
        <x:v>line begins {U}:</x:v>
      </x:c>
      <x:c r="E28" s="26" t="str">
        <x:v>High / high</x:v>
      </x:c>
      <x:c r="F28" s="26" t="str">
        <x:v>Strictly excludes other costs before {U}.</x:v>
      </x:c>
      <x:c r="G28" s="26" t="str">
        <x:v>Exact activation cost.</x:v>
      </x:c>
      <x:c r="H28" s="26" t="str">
        <x:v>https://luckypaper.co/articles/regular-expressions/</x:v>
      </x:c>
    </x:row>
    <x:row r="29">
      <x:c r="A29" s="26" t="str">
        <x:v>Swords naming pattern</x:v>
      </x:c>
      <x:c r="B29" s="26" t="str">
        <x:v>Sword of X and Y</x:v>
      </x:c>
      <x:c r="C29" s="26" t="str">
        <x:v>name:/sword of.*and/</x:v>
      </x:c>
      <x:c r="D29" s="26" t="str">
        <x:v>name contains sword of ... and</x:v>
      </x:c>
      <x:c r="E29" s="26" t="str">
        <x:v>High / high</x:v>
      </x:c>
      <x:c r="F29" s="26" t="str">
        <x:v>Can match non-cycle names fitting wording.</x:v>
      </x:c>
      <x:c r="G29" s="26" t="str">
        <x:v>Name-pattern discovery.</x:v>
      </x:c>
      <x:c r="H29" s="26" t="str">
        <x:v>https://luckypaper.co/articles/regular-expressions/</x:v>
      </x:c>
    </x:row>
    <x:row r="30">
      <x:c r="A30" s="26" t="str">
        <x:v>Alternate win/loss text</x:v>
      </x:c>
      <x:c r="B30" s="26" t="str">
        <x:v>Cards say a player wins or loses game</x:v>
      </x:c>
      <x:c r="C30" s="26" t="str">
        <x:v>o:/(wins?|loses?) the game/</x:v>
      </x:c>
      <x:c r="D30" s="26" t="str">
        <x:v>win/wins/lose/loses the game</x:v>
      </x:c>
      <x:c r="E30" s="26" t="str">
        <x:v>High / high</x:v>
      </x:c>
      <x:c r="F30" s="26" t="str">
        <x:v>Not every alternate-win mechanism uses identical wording.</x:v>
      </x:c>
      <x:c r="G30" s="26" t="str">
        <x:v>Alternate condition discovery.</x:v>
      </x:c>
      <x:c r="H30" s="26" t="str">
        <x:v>https://luckypaper.co/articles/regular-expressions/</x:v>
      </x:c>
    </x:row>
    <x:row r="31">
      <x:c r="A31" s="26" t="str">
        <x:v>Dice text</x:v>
      </x:c>
      <x:c r="B31" s="26" t="str">
        <x:v>Roll/rolled and die/dice/dN</x:v>
      </x:c>
      <x:c r="C31" s="26" t="str">
        <x:v>o:/\broll(ed)?\b.*\b(d\d+|die|dice)\b/</x:v>
      </x:c>
      <x:c r="D31" s="26" t="str">
        <x:v>roll/rolled ... die/dice/dN</x:v>
      </x:c>
      <x:c r="E31" s="26" t="str">
        <x:v>High / medium</x:v>
      </x:c>
      <x:c r="F31" s="26" t="str">
        <x:v>May miss templates with intervening line breaks.</x:v>
      </x:c>
      <x:c r="G31" s="26" t="str">
        <x:v>Dice-theme discovery.</x:v>
      </x:c>
      <x:c r="H31" s="26" t="str">
        <x:v>https://luckypaper.co/articles/regular-expressions/</x:v>
      </x:c>
    </x:row>
    <x:row r="32">
      <x:c r="A32" s="26" t="str">
        <x:v>Landcycling family</x:v>
      </x:c>
      <x:c r="B32" s="26" t="str">
        <x:v>Any basic landcycling word</x:v>
      </x:c>
      <x:c r="C32" s="26" t="str">
        <x:v>o:/(plains|island|swamp|mountain|forest|basic land)cycling/</x:v>
      </x:c>
      <x:c r="D32" s="26" t="str">
        <x:v>one named/basic land type + cycling</x:v>
      </x:c>
      <x:c r="E32" s="26" t="str">
        <x:v>High / high</x:v>
      </x:c>
      <x:c r="F32" s="26" t="str">
        <x:v>Keyword list can evolve.</x:v>
      </x:c>
      <x:c r="G32" s="26" t="str">
        <x:v>Landcycling research.</x:v>
      </x:c>
      <x:c r="H32" s="26" t="str">
        <x:v>https://luckypaper.co/articles/regular-expressions/</x:v>
      </x:c>
    </x:row>
    <x:row r="33">
      <x:c r="A33" s="26" t="str">
        <x:v>Loose acronym search</x:v>
      </x:c>
      <x:c r="B33" s="26" t="str">
        <x:v>Words beginning G S Z in order</x:v>
      </x:c>
      <x:c r="C33" s="26" t="str">
        <x:v>name:/\bG.*\bS.*\bZ/</x:v>
      </x:c>
      <x:c r="D33" s="26" t="str">
        <x:v>word starts G ... then S ... then Z</x:v>
      </x:c>
      <x:c r="E33" s="26" t="str">
        <x:v>Medium / high</x:v>
      </x:c>
      <x:c r="F33" s="26" t="str">
        <x:v>Can match extra words and broad names.</x:v>
      </x:c>
      <x:c r="G33" s="26" t="str">
        <x:v>Find cards from player acronyms.</x:v>
      </x:c>
      <x:c r="H33" s="26" t="str">
        <x:v>https://luckypaper.co/articles/regular-expressions/</x:v>
      </x:c>
    </x:row>
    <x:row r="34">
      <x:c r="A34" s="26" t="str">
        <x:v>Strict 3-word acronym</x:v>
      </x:c>
      <x:c r="B34" s="26" t="str">
        <x:v>Exactly G... S... Z... before end or DFC separator</x:v>
      </x:c>
      <x:c r="C34" s="26" t="str">
        <x:v>name:/^G[a-z']+[ -]S[a-z']+[ -]Z[a-z']+($| \/\/)/</x:v>
      </x:c>
      <x:c r="D34" s="26" t="str">
        <x:v>three words with initials G/S/Z</x:v>
      </x:c>
      <x:c r="E34" s="26" t="str">
        <x:v>High / low</x:v>
      </x:c>
      <x:c r="F34" s="26" t="str">
        <x:v>English-letter assumptions; punctuation/name forms vary.</x:v>
      </x:c>
      <x:c r="G34" s="26" t="str">
        <x:v>Strict acronym research.</x:v>
      </x:c>
      <x:c r="H34" s="26" t="str">
        <x:v>https://luckypaper.co/articles/regular-expressions/</x:v>
      </x:c>
    </x:row>
    <x:row r="35">
      <x:c r="A35" s="26" t="str">
        <x:v>Scryfall P/T helper</x:v>
      </x:c>
      <x:c r="B35" s="26" t="str">
        <x:v>Match X/X-style P/T text</x:v>
      </x:c>
      <x:c r="C35" s="26" t="str">
        <x:v>o:/\spt/</x:v>
      </x:c>
      <x:c r="D35" s="26" t="str">
        <x:v>Scryfall-specific power/toughness pattern</x:v>
      </x:c>
      <x:c r="E35" s="26" t="str">
        <x:v>Scryfall-specific</x:v>
      </x:c>
      <x:c r="F35" s="26" t="str">
        <x:v>Not portable general regex.</x:v>
      </x:c>
      <x:c r="G35" s="26" t="str">
        <x:v>Use only inside Scryfall.</x:v>
      </x:c>
      <x:c r="H35" s="26" t="str">
        <x:v>https://scryfall.com/docs/regular-expressions</x:v>
      </x:c>
    </x:row>
    <x:row r="36">
      <x:c r="A36" s="26" t="str">
        <x:v>Scryfall pump helper</x:v>
      </x:c>
      <x:c r="B36" s="26" t="str">
        <x:v>Match +X/+X-style text</x:v>
      </x:c>
      <x:c r="C36" s="26" t="str">
        <x:v>o:/\spp/</x:v>
      </x:c>
      <x:c r="D36" s="26" t="str">
        <x:v>Scryfall-specific +P/+T pattern</x:v>
      </x:c>
      <x:c r="E36" s="26" t="str">
        <x:v>Scryfall-specific</x:v>
      </x:c>
      <x:c r="F36" s="26" t="str">
        <x:v>Not portable general regex.</x:v>
      </x:c>
      <x:c r="G36" s="26" t="str">
        <x:v>Use only inside Scryfall.</x:v>
      </x:c>
      <x:c r="H36" s="26" t="str">
        <x:v>https://scryfall.com/docs/regular-expressions</x:v>
      </x:c>
    </x:row>
  </x:sheetData>
  <x:mergeCells>
    <x:mergeCell ref="A1:H1"/>
    <x:mergeCell ref="A2:H2"/>
  </x:mergeCells>
  <x:pageMargins left="0.7" right="0.7" top="0.75" bottom="0.75" header="0.3" footer="0.3"/>
  <x:tableParts count="1">
    <x:tablePart xmlns:r="http://schemas.openxmlformats.org/officeDocument/2006/relationships" r:id="R20e7a9d32a20464c"/>
  </x:tableParts>
</x:worksheet>
</file>

<file path=xl/worksheets/sheet9.xml><?xml version="1.0" encoding="utf-8"?>
<x:worksheet xmlns:x="http://schemas.openxmlformats.org/spreadsheetml/2006/main">
  <x:sheetFormatPr defaultRowHeight="15"/>
  <x:cols>
    <x:col min="1" max="1" width="28" hidden="0" customWidth="1"/>
    <x:col min="2" max="2" width="38" hidden="0" customWidth="1"/>
    <x:col min="3" max="3" width="44" hidden="0" customWidth="1"/>
    <x:col min="4" max="4" width="14" hidden="0" customWidth="1"/>
    <x:col min="5" max="5" width="54" hidden="0" customWidth="1"/>
    <x:col min="6" max="6" width="28" hidden="0" customWidth="1"/>
  </x:cols>
  <x:sheetData>
    <x:row r="1" ht="28" customHeight="1">
      <x:c r="A1" s="33" t="str">
        <x:v>PLAIN READING PARSER SCHEMA</x:v>
      </x:c>
      <x:c r="B1" s="33"/>
      <x:c r="C1" s="33"/>
      <x:c r="D1" s="33"/>
      <x:c r="E1" s="33"/>
      <x:c r="F1" s="33"/>
    </x:row>
    <x:row r="2" ht="30" customHeight="1">
      <x:c r="A2" s="35" t="str">
        <x:v>A structured contract for turning natural language into a canonical query. The core design rule is: parse into fields first; assemble the Scryfall string last.</x:v>
      </x:c>
      <x:c r="B2" s="35"/>
      <x:c r="C2" s="35"/>
      <x:c r="D2" s="35"/>
      <x:c r="E2" s="35"/>
      <x:c r="F2" s="35"/>
    </x:row>
    <x:row r="4" ht="28" customHeight="1">
      <x:c r="A4" s="39" t="str">
        <x:v>Field</x:v>
      </x:c>
      <x:c r="B4" s="39" t="str">
        <x:v>Purpose</x:v>
      </x:c>
      <x:c r="C4" s="39" t="str">
        <x:v>Allowed / Example Values</x:v>
      </x:c>
      <x:c r="D4" s="39" t="str">
        <x:v>Required?</x:v>
      </x:c>
      <x:c r="E4" s="39" t="str">
        <x:v>Generation Rule</x:v>
      </x:c>
      <x:c r="F4" s="39" t="str">
        <x:v>UX Surface</x:v>
      </x:c>
    </x:row>
    <x:row r="5">
      <x:c r="A5" s="26" t="str">
        <x:v>input_text</x:v>
      </x:c>
      <x:c r="B5" s="26" t="str">
        <x:v>Original user request</x:v>
      </x:c>
      <x:c r="C5" s="26" t="str">
        <x:v>free text</x:v>
      </x:c>
      <x:c r="D5" s="26" t="str">
        <x:v>Yes</x:v>
      </x:c>
      <x:c r="E5" s="26" t="str">
        <x:v>Never mutate; keep for audit/replay.</x:v>
      </x:c>
      <x:c r="F5" s="26" t="str">
        <x:v>Search box / telemetry</x:v>
      </x:c>
    </x:row>
    <x:row r="6">
      <x:c r="A6" s="26" t="str">
        <x:v>context.format</x:v>
      </x:c>
      <x:c r="B6" s="26" t="str">
        <x:v>Known format context</x:v>
      </x:c>
      <x:c r="C6" s="26" t="str">
        <x:v>commander, modern, standard, none</x:v>
      </x:c>
      <x:c r="D6" s="26" t="str">
        <x:v>No</x:v>
      </x:c>
      <x:c r="E6" s="26" t="str">
        <x:v>Context can resolve legality and color-identity semantics.</x:v>
      </x:c>
      <x:c r="F6" s="26" t="str">
        <x:v>Context chip</x:v>
      </x:c>
    </x:row>
    <x:row r="7">
      <x:c r="A7" s="26" t="str">
        <x:v>context.deck_colors</x:v>
      </x:c>
      <x:c r="B7" s="26" t="str">
        <x:v>Known deck/commander colors</x:v>
      </x:c>
      <x:c r="C7" s="26" t="str">
        <x:v>WUBRG subset</x:v>
      </x:c>
      <x:c r="D7" s="26" t="str">
        <x:v>No</x:v>
      </x:c>
      <x:c r="E7" s="26" t="str">
        <x:v>If present, 'cards for my deck' can safely become id&lt;=.</x:v>
      </x:c>
      <x:c r="F7" s="26" t="str">
        <x:v>Context chip</x:v>
      </x:c>
    </x:row>
    <x:row r="8">
      <x:c r="A8" s="26" t="str">
        <x:v>explicit_syntax_tokens</x:v>
      </x:c>
      <x:c r="B8" s="26" t="str">
        <x:v>User-entered Scryfall syntax already present</x:v>
      </x:c>
      <x:c r="C8" s="26" t="str">
        <x:v>t:, id:, o:, mv&lt;=, etc.</x:v>
      </x:c>
      <x:c r="D8" s="26" t="str">
        <x:v>No</x:v>
      </x:c>
      <x:c r="E8" s="26" t="str">
        <x:v>Preserve valid explicit tokens and avoid reinterpreting their contents.</x:v>
      </x:c>
      <x:c r="F8" s="26" t="str">
        <x:v>Advanced/explain view</x:v>
      </x:c>
    </x:row>
    <x:row r="9">
      <x:c r="A9" s="26" t="str">
        <x:v>name_constraints</x:v>
      </x:c>
      <x:c r="B9" s="26" t="str">
        <x:v>Card-name intent</x:v>
      </x:c>
      <x:c r="C9" s="26" t="str">
        <x:v>loose words, exact !name, regex</x:v>
      </x:c>
      <x:c r="D9" s="26" t="str">
        <x:v>No</x:v>
      </x:c>
      <x:c r="E9" s="26" t="str">
        <x:v>Exact quoted card names outrank semantic tokenization.</x:v>
      </x:c>
      <x:c r="F9" s="26" t="str">
        <x:v>Recognized constraints</x:v>
      </x:c>
    </x:row>
    <x:row r="10">
      <x:c r="A10" s="26" t="str">
        <x:v>format_constraints</x:v>
      </x:c>
      <x:c r="B10" s="26" t="str">
        <x:v>Legality/status</x:v>
      </x:c>
      <x:c r="C10" s="26" t="str">
        <x:v>f:commander, banned:legacy</x:v>
      </x:c>
      <x:c r="D10" s="26" t="str">
        <x:v>No</x:v>
      </x:c>
      <x:c r="E10" s="26" t="str">
        <x:v>Use official format operator first.</x:v>
      </x:c>
      <x:c r="F10" s="26" t="str">
        <x:v>Recognized constraints</x:v>
      </x:c>
    </x:row>
    <x:row r="11">
      <x:c r="A11" s="26" t="str">
        <x:v>color_value</x:v>
      </x:c>
      <x:c r="B11" s="26" t="str">
        <x:v>Normalized WUBRG set</x:v>
      </x:c>
      <x:c r="C11" s="26" t="str">
        <x:v>u, wb, gur, wubrg</x:v>
      </x:c>
      <x:c r="D11" s="26" t="str">
        <x:v>No</x:v>
      </x:c>
      <x:c r="E11" s="26" t="str">
        <x:v>Store colors independently from relation/operator.</x:v>
      </x:c>
      <x:c r="F11" s="26" t="str">
        <x:v>Recognized constraints</x:v>
      </x:c>
    </x:row>
    <x:row r="12">
      <x:c r="A12" s="26" t="str">
        <x:v>color_domain</x:v>
      </x:c>
      <x:c r="B12" s="26" t="str">
        <x:v>Color vs identity</x:v>
      </x:c>
      <x:c r="C12" s="26" t="str">
        <x:v>color, identity</x:v>
      </x:c>
      <x:c r="D12" s="26" t="str">
        <x:v>No</x:v>
      </x:c>
      <x:c r="E12" s="26" t="str">
        <x:v>Commander/deck-pool context strongly prefers identity.</x:v>
      </x:c>
      <x:c r="F12" s="26" t="str">
        <x:v>Assumption chip</x:v>
      </x:c>
    </x:row>
    <x:row r="13">
      <x:c r="A13" s="26" t="str">
        <x:v>color_relation</x:v>
      </x:c>
      <x:c r="B13" s="26" t="str">
        <x:v>Exact/subset/superset</x:v>
      </x:c>
      <x:c r="C13" s="26" t="str">
        <x:v>=, &lt;=, &gt;=</x:v>
      </x:c>
      <x:c r="D13" s="26" t="str">
        <x:v>No</x:v>
      </x:c>
      <x:c r="E13" s="26" t="str">
        <x:v>Never infer exact when user says playable/fits in.</x:v>
      </x:c>
      <x:c r="F13" s="26" t="str">
        <x:v>Assumption chip</x:v>
      </x:c>
    </x:row>
    <x:row r="14">
      <x:c r="A14" s="26" t="str">
        <x:v>type_constraints</x:v>
      </x:c>
      <x:c r="B14" s="26" t="str">
        <x:v>Types/supertypes/subtypes</x:v>
      </x:c>
      <x:c r="C14" s="26" t="str">
        <x:v>creature, legendary, elf, equipment</x:v>
      </x:c>
      <x:c r="D14" s="26" t="str">
        <x:v>No</x:v>
      </x:c>
      <x:c r="E14" s="26" t="str">
        <x:v>Use t: native taxonomy.</x:v>
      </x:c>
      <x:c r="F14" s="26" t="str">
        <x:v>Recognized constraints</x:v>
      </x:c>
    </x:row>
    <x:row r="15">
      <x:c r="A15" s="26" t="str">
        <x:v>keyword_constraints</x:v>
      </x:c>
      <x:c r="B15" s="26" t="str">
        <x:v>Named keyword abilities</x:v>
      </x:c>
      <x:c r="C15" s="26" t="str">
        <x:v>flying, cycling, toxic</x:v>
      </x:c>
      <x:c r="D15" s="26" t="str">
        <x:v>No</x:v>
      </x:c>
      <x:c r="E15" s="26" t="str">
        <x:v>Use kw: when user means 'has' keyword.</x:v>
      </x:c>
      <x:c r="F15" s="26" t="str">
        <x:v>Recognized constraints</x:v>
      </x:c>
    </x:row>
    <x:row r="16">
      <x:c r="A16" s="26" t="str">
        <x:v>keyword_action_constraints</x:v>
      </x:c>
      <x:c r="B16" s="26" t="str">
        <x:v>Named keyword actions</x:v>
      </x:c>
      <x:c r="C16" s="26" t="str">
        <x:v>proliferate, goad, discover</x:v>
      </x:c>
      <x:c r="D16" s="26" t="str">
        <x:v>No</x:v>
      </x:c>
      <x:c r="E16" s="26" t="str">
        <x:v>Usually Oracle text, not kw:.</x:v>
      </x:c>
      <x:c r="F16" s="26" t="str">
        <x:v>Recognized constraints</x:v>
      </x:c>
    </x:row>
    <x:row r="17">
      <x:c r="A17" s="26" t="str">
        <x:v>ability_word_constraints</x:v>
      </x:c>
      <x:c r="B17" s="26" t="str">
        <x:v>Ability words</x:v>
      </x:c>
      <x:c r="C17" s="26" t="str">
        <x:v>landfall, morbid, metalcraft</x:v>
      </x:c>
      <x:c r="D17" s="26" t="str">
        <x:v>No</x:v>
      </x:c>
      <x:c r="E17" s="26" t="str">
        <x:v>Use Oracle text label.</x:v>
      </x:c>
      <x:c r="F17" s="26" t="str">
        <x:v>Recognized constraints</x:v>
      </x:c>
    </x:row>
    <x:row r="18">
      <x:c r="A18" s="26" t="str">
        <x:v>function_concepts</x:v>
      </x:c>
      <x:c r="B18" s="26" t="str">
        <x:v>Semantic roles</x:v>
      </x:c>
      <x:c r="C18" s="26" t="str">
        <x:v>ramp, removal, card-advantage, blink</x:v>
      </x:c>
      <x:c r="D18" s="26" t="str">
        <x:v>No</x:v>
      </x:c>
      <x:c r="E18" s="26" t="str">
        <x:v>Use allowlisted Tagger tags or governed recipes.</x:v>
      </x:c>
      <x:c r="F18" s="26" t="str">
        <x:v>Recognized constraints</x:v>
      </x:c>
    </x:row>
    <x:row r="19">
      <x:c r="A19" s="26" t="str">
        <x:v>relationship_concepts</x:v>
      </x:c>
      <x:c r="B19" s="26" t="str">
        <x:v>Semantic relationships</x:v>
      </x:c>
      <x:c r="C19" s="26" t="str">
        <x:v>ETB payoff, artifacts matter, commander matters</x:v>
      </x:c>
      <x:c r="D19" s="26" t="str">
        <x:v>No</x:v>
      </x:c>
      <x:c r="E19" s="26" t="str">
        <x:v>Must map through curated relationship recipe or remain unresolved.</x:v>
      </x:c>
      <x:c r="F19" s="26" t="str">
        <x:v>Interpretation panel</x:v>
      </x:c>
    </x:row>
    <x:row r="20">
      <x:c r="A20" s="26" t="str">
        <x:v>oracle_phrases</x:v>
      </x:c>
      <x:c r="B20" s="26" t="str">
        <x:v>Literal rules wording</x:v>
      </x:c>
      <x:c r="C20" s="26" t="str">
        <x:v>draw a card; search your library</x:v>
      </x:c>
      <x:c r="D20" s="26" t="str">
        <x:v>No</x:v>
      </x:c>
      <x:c r="E20" s="26" t="str">
        <x:v>Use o: with quotes for phrases.</x:v>
      </x:c>
      <x:c r="F20" s="26" t="str">
        <x:v>Recognized constraints</x:v>
      </x:c>
    </x:row>
    <x:row r="21">
      <x:c r="A21" s="26" t="str">
        <x:v>regex_templates</x:v>
      </x:c>
      <x:c r="B21" s="26" t="str">
        <x:v>Pattern-level text intent</x:v>
      </x:c>
      <x:c r="C21" s="26" t="str">
        <x:v>counter target.*spell</x:v>
      </x:c>
      <x:c r="D21" s="26" t="str">
        <x:v>No</x:v>
      </x:c>
      <x:c r="E21" s="26" t="str">
        <x:v>Use only after native fields/tags are insufficient.</x:v>
      </x:c>
      <x:c r="F21" s="26" t="str">
        <x:v>Advanced/explain view</x:v>
      </x:c>
    </x:row>
    <x:row r="22">
      <x:c r="A22" s="26" t="str">
        <x:v>mana_value_constraints</x:v>
      </x:c>
      <x:c r="B22" s="26" t="str">
        <x:v>Numeric MV bounds</x:v>
      </x:c>
      <x:c r="C22" s="26" t="str">
        <x:v>mv&lt;=3, mv&gt;=6</x:v>
      </x:c>
      <x:c r="D22" s="26" t="str">
        <x:v>No</x:v>
      </x:c>
      <x:c r="E22" s="26" t="str">
        <x:v>Threshold must come from user or disclosed product assumption.</x:v>
      </x:c>
      <x:c r="F22" s="26" t="str">
        <x:v>Recognized constraints</x:v>
      </x:c>
    </x:row>
    <x:row r="23">
      <x:c r="A23" s="26" t="str">
        <x:v>mana_cost_constraints</x:v>
      </x:c>
      <x:c r="B23" s="26" t="str">
        <x:v>Mana symbols</x:v>
      </x:c>
      <x:c r="C23" s="26" t="str">
        <x:v>mana:{X}, mana:{U}{U}</x:v>
      </x:c>
      <x:c r="D23" s="26" t="str">
        <x:v>No</x:v>
      </x:c>
      <x:c r="E23" s="26" t="str">
        <x:v>Preserve symbol semantics; don't substitute MV.</x:v>
      </x:c>
      <x:c r="F23" s="26" t="str">
        <x:v>Recognized constraints</x:v>
      </x:c>
    </x:row>
    <x:row r="24">
      <x:c r="A24" s="26" t="str">
        <x:v>stat_constraints</x:v>
      </x:c>
      <x:c r="B24" s="26" t="str">
        <x:v>Power/toughness/loyalty</x:v>
      </x:c>
      <x:c r="C24" s="26" t="str">
        <x:v>pow&gt;=4, tou=1, loy&gt;=3</x:v>
      </x:c>
      <x:c r="D24" s="26" t="str">
        <x:v>No</x:v>
      </x:c>
      <x:c r="E24" s="26" t="str">
        <x:v>Use numeric comparators.</x:v>
      </x:c>
      <x:c r="F24" s="26" t="str">
        <x:v>Recognized constraints</x:v>
      </x:c>
    </x:row>
    <x:row r="25">
      <x:c r="A25" s="26" t="str">
        <x:v>price_constraints</x:v>
      </x:c>
      <x:c r="B25" s="26" t="str">
        <x:v>Price/currency</x:v>
      </x:c>
      <x:c r="C25" s="26" t="str">
        <x:v>usd&lt;5, eur&lt;=2</x:v>
      </x:c>
      <x:c r="D25" s="26" t="str">
        <x:v>No</x:v>
      </x:c>
      <x:c r="E25" s="26" t="str">
        <x:v>Track printing-level scope and strict/inclusive wording.</x:v>
      </x:c>
      <x:c r="F25" s="26" t="str">
        <x:v>Recognized constraints</x:v>
      </x:c>
    </x:row>
    <x:row r="26">
      <x:c r="A26" s="26" t="str">
        <x:v>printing_constraints</x:v>
      </x:c>
      <x:c r="B26" s="26" t="str">
        <x:v>Set/date/language/frame/foil/game</x:v>
      </x:c>
      <x:c r="C26" s="26" t="str">
        <x:v>set:mh3, date&gt;=..., lang:ja</x:v>
      </x:c>
      <x:c r="D26" s="26" t="str">
        <x:v>No</x:v>
      </x:c>
      <x:c r="E26" s="26" t="str">
        <x:v>Keep separate from card-level semantics.</x:v>
      </x:c>
      <x:c r="F26" s="26" t="str">
        <x:v>Recognized constraints</x:v>
      </x:c>
    </x:row>
    <x:row r="27">
      <x:c r="A27" s="26" t="str">
        <x:v>history_constraints</x:v>
      </x:c>
      <x:c r="B27" s="26" t="str">
        <x:v>Historical membership/reprint</x:v>
      </x:c>
      <x:c r="C27" s="26" t="str">
        <x:v>in:lea, -in:m3c, not:reprint</x:v>
      </x:c>
      <x:c r="D27" s="26" t="str">
        <x:v>No</x:v>
      </x:c>
      <x:c r="E27" s="26" t="str">
        <x:v>Differentiate set: from in:.</x:v>
      </x:c>
      <x:c r="F27" s="26" t="str">
        <x:v>Recognized constraints</x:v>
      </x:c>
    </x:row>
    <x:row r="28">
      <x:c r="A28" s="26" t="str">
        <x:v>result_controls</x:v>
      </x:c>
      <x:c r="B28" s="26" t="str">
        <x:v>Uniqueness/sort/display/preference</x:v>
      </x:c>
      <x:c r="C28" s="26" t="str">
        <x:v>unique:cards, order:edhrec</x:v>
      </x:c>
      <x:c r="D28" s="26" t="str">
        <x:v>No</x:v>
      </x:c>
      <x:c r="E28" s="26" t="str">
        <x:v>Apply after semantic query assembly.</x:v>
      </x:c>
      <x:c r="F28" s="26" t="str">
        <x:v>Display controls</x:v>
      </x:c>
    </x:row>
    <x:row r="29">
      <x:c r="A29" s="26" t="str">
        <x:v>negative_constraints</x:v>
      </x:c>
      <x:c r="B29" s="26" t="str">
        <x:v>Exclusions</x:v>
      </x:c>
      <x:c r="C29" s="26" t="str">
        <x:v>-t:human, not:universesbeyond</x:v>
      </x:c>
      <x:c r="D29" s="26" t="str">
        <x:v>No</x:v>
      </x:c>
      <x:c r="E29" s="26" t="str">
        <x:v>Attach to intended operator, not free text blindly.</x:v>
      </x:c>
      <x:c r="F29" s="26" t="str">
        <x:v>Recognized constraints</x:v>
      </x:c>
    </x:row>
    <x:row r="30">
      <x:c r="A30" s="26" t="str">
        <x:v>ignored_terms</x:v>
      </x:c>
      <x:c r="B30" s="26" t="str">
        <x:v>Stop/filler words</x:v>
      </x:c>
      <x:c r="C30" s="26" t="str">
        <x:v>find, show me, cards, please</x:v>
      </x:c>
      <x:c r="D30" s="26" t="str">
        <x:v>No</x:v>
      </x:c>
      <x:c r="E30" s="26" t="str">
        <x:v>Log for explainability; do not turn into name terms.</x:v>
      </x:c>
      <x:c r="F30" s="26" t="str">
        <x:v>Explain view</x:v>
      </x:c>
    </x:row>
    <x:row r="31">
      <x:c r="A31" s="26" t="str">
        <x:v>unresolved_terms</x:v>
      </x:c>
      <x:c r="B31" s="26" t="str">
        <x:v>Meaningful unmatched text</x:v>
      </x:c>
      <x:c r="C31" s="26" t="str">
        <x:v>good, synergizes, fun, oppressive</x:v>
      </x:c>
      <x:c r="D31" s="26" t="str">
        <x:v>No</x:v>
      </x:c>
      <x:c r="E31" s="26" t="str">
        <x:v>Never silently drop meaningful semantic words.</x:v>
      </x:c>
      <x:c r="F31" s="26" t="str">
        <x:v>Warning / refinement chips</x:v>
      </x:c>
    </x:row>
    <x:row r="32">
      <x:c r="A32" s="26" t="str">
        <x:v>assumptions</x:v>
      </x:c>
      <x:c r="B32" s="26" t="str">
        <x:v>Non-explicit decisions</x:v>
      </x:c>
      <x:c r="C32" s="26" t="str">
        <x:v>blue+green =&gt; id&lt;=ug; ETB =&gt; own ETB</x:v>
      </x:c>
      <x:c r="D32" s="26" t="str">
        <x:v>No</x:v>
      </x:c>
      <x:c r="E32" s="26" t="str">
        <x:v>Every material assumption should be human-readable.</x:v>
      </x:c>
      <x:c r="F32" s="26" t="str">
        <x:v>Assumption chips</x:v>
      </x:c>
    </x:row>
    <x:row r="33">
      <x:c r="A33" s="26" t="str">
        <x:v>alternatives</x:v>
      </x:c>
      <x:c r="B33" s="26" t="str">
        <x:v>Plausible alternate parses</x:v>
      </x:c>
      <x:c r="C33" s="26" t="str">
        <x:v>exact colors vs deck-compatible; generator vs payoff</x:v>
      </x:c>
      <x:c r="D33" s="26" t="str">
        <x:v>No</x:v>
      </x:c>
      <x:c r="E33" s="26" t="str">
        <x:v>Generate when confidence gap is meaningful.</x:v>
      </x:c>
      <x:c r="F33" s="26" t="str">
        <x:v>Quick refinement choices</x:v>
      </x:c>
    </x:row>
    <x:row r="34">
      <x:c r="A34" s="26" t="str">
        <x:v>confidence</x:v>
      </x:c>
      <x:c r="B34" s="26" t="str">
        <x:v>Confidence in translation</x:v>
      </x:c>
      <x:c r="C34" s="26" t="str">
        <x:v>0.0-1.0 + tier</x:v>
      </x:c>
      <x:c r="D34" s="26" t="str">
        <x:v>Yes</x:v>
      </x:c>
      <x:c r="E34" s="26" t="str">
        <x:v>Measures parse fidelity, not card quality.</x:v>
      </x:c>
      <x:c r="F34" s="26" t="str">
        <x:v>Subtle confidence/explain UI</x:v>
      </x:c>
    </x:row>
    <x:row r="35">
      <x:c r="A35" s="26" t="str">
        <x:v>query</x:v>
      </x:c>
      <x:c r="B35" s="26" t="str">
        <x:v>Generated canonical Scryfall query</x:v>
      </x:c>
      <x:c r="C35" s="26" t="str">
        <x:v>string</x:v>
      </x:c>
      <x:c r="D35" s="26" t="str">
        <x:v>Yes</x:v>
      </x:c>
      <x:c r="E35" s="26" t="str">
        <x:v>Deterministic assembly from resolved fields only.</x:v>
      </x:c>
      <x:c r="F35" s="26" t="str">
        <x:v>Editable query bar</x:v>
      </x:c>
    </x:row>
    <x:row r="36">
      <x:c r="A36" s="26" t="str">
        <x:v>query_explanation</x:v>
      </x:c>
      <x:c r="B36" s="26" t="str">
        <x:v>Constraint-by-constraint explanation</x:v>
      </x:c>
      <x:c r="C36" s="26" t="str">
        <x:v>structured list</x:v>
      </x:c>
      <x:c r="D36" s="26" t="str">
        <x:v>Yes</x:v>
      </x:c>
      <x:c r="E36" s="26" t="str">
        <x:v>Explain why each fragment exists.</x:v>
      </x:c>
      <x:c r="F36" s="26" t="str">
        <x:v>Plain Reading explanation</x:v>
      </x:c>
    </x:row>
    <x:row r="37">
      <x:c r="A37" s="26" t="str">
        <x:v>validation_state</x:v>
      </x:c>
      <x:c r="B37" s="26" t="str">
        <x:v>QA/runtime status</x:v>
      </x:c>
      <x:c r="C37" s="26" t="str">
        <x:v>valid, needs_review, unresolved</x:v>
      </x:c>
      <x:c r="D37" s="26" t="str">
        <x:v>Yes</x:v>
      </x:c>
      <x:c r="E37" s="26" t="str">
        <x:v>Do not send clearly unresolved/invalid syntax as if authoritative.</x:v>
      </x:c>
      <x:c r="F37" s="26" t="str">
        <x:v>Internal + fallback UX</x:v>
      </x:c>
    </x:row>
  </x:sheetData>
  <x:mergeCells>
    <x:mergeCell ref="A1:F1"/>
    <x:mergeCell ref="A2:F2"/>
  </x:mergeCells>
  <x:pageMargins left="0.7" right="0.7" top="0.75" bottom="0.75" header="0.3" footer="0.3"/>
  <x:tableParts count="1">
    <x:tablePart xmlns:r="http://schemas.openxmlformats.org/officeDocument/2006/relationships" r:id="R83f59cacee834ea2"/>
  </x:tableParts>
</x:worksheet>
</file>

<file path=xl/worksheets/sheet10.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28" hidden="0" customWidth="1"/>
    <x:col min="5" max="5" width="58" hidden="0" customWidth="1"/>
    <x:col min="6" max="6" width="52" hidden="0" customWidth="1"/>
    <x:col min="7" max="7" width="52" hidden="0" customWidth="1"/>
    <x:col min="8" max="8" width="42" hidden="0" customWidth="1"/>
    <x:col min="9" max="9" width="12" hidden="0" customWidth="1"/>
    <x:col min="10" max="10" width="16" hidden="0" customWidth="1"/>
  </x:cols>
  <x:sheetData>
    <x:row r="1" ht="28" customHeight="1">
      <x:c r="A1" s="33" t="str">
        <x:v>IMPLICIT MAZE — SCRYFALL TRANSLATION EVALS</x:v>
      </x:c>
      <x:c r="B1" s="33"/>
      <x:c r="C1" s="33"/>
      <x:c r="D1" s="33"/>
      <x:c r="E1" s="33"/>
      <x:c r="F1" s="33"/>
      <x:c r="G1" s="33"/>
      <x:c r="H1" s="33"/>
      <x:c r="I1" s="33"/>
      <x:c r="J1" s="33"/>
    </x:row>
    <x:row r="2" ht="30" customHeight="1">
      <x:c r="A2" s="35" t="str">
        <x:v>Release-oriented evaluations for deterministic translation, semantic ambiguity, syntax preservation, printing scope, and regex. P0 failures should block Plain Reading releases.</x:v>
      </x:c>
      <x:c r="B2" s="35"/>
      <x:c r="C2" s="35"/>
      <x:c r="D2" s="35"/>
      <x:c r="E2" s="35"/>
      <x:c r="F2" s="35"/>
      <x:c r="G2" s="35"/>
      <x:c r="H2" s="35"/>
      <x:c r="I2" s="35"/>
      <x:c r="J2" s="35"/>
    </x:row>
    <x:row r="4" ht="28" customHeight="1">
      <x:c r="A4" s="39" t="str">
        <x:v>Eval ID</x:v>
      </x:c>
      <x:c r="B4" s="39" t="str">
        <x:v>Category</x:v>
      </x:c>
      <x:c r="C4" s="39" t="str">
        <x:v>Plain-Language Input</x:v>
      </x:c>
      <x:c r="D4" s="39" t="str">
        <x:v>Context</x:v>
      </x:c>
      <x:c r="E4" s="39" t="str">
        <x:v>Expected Canonical Query</x:v>
      </x:c>
      <x:c r="F4" s="39" t="str">
        <x:v>Expected Assumption / Explanation</x:v>
      </x:c>
      <x:c r="G4" s="39" t="str">
        <x:v>Expected Unresolved / Alternatives</x:v>
      </x:c>
      <x:c r="H4" s="39" t="str">
        <x:v>Must NOT Generate</x:v>
      </x:c>
      <x:c r="I4" s="39" t="str">
        <x:v>Priority</x:v>
      </x:c>
      <x:c r="J4" s="39" t="str">
        <x:v>Expected Tier</x:v>
      </x:c>
    </x:row>
    <x:row r="5">
      <x:c r="A5" s="26" t="str">
        <x:v>IM-SF-001</x:v>
      </x:c>
      <x:c r="B5" s="26" t="str">
        <x:v>Deterministic</x:v>
      </x:c>
      <x:c r="C5" s="26" t="str">
        <x:v>green creatures with flying</x:v>
      </x:c>
      <x:c r="D5" s="26" t="str">
        <x:v>None</x:v>
      </x:c>
      <x:c r="E5" s="26" t="str">
        <x:v>t:creature c:g kw:flying</x:v>
      </x:c>
      <x:c r="F5" s="26" t="str">
        <x:v>'green' treated as card color outside Commander; 'has flying' uses kw:.</x:v>
      </x:c>
      <x:c r="G5" s="26" t="str"/>
      <x:c r="H5" s="26" t="str">
        <x:v>o:flying</x:v>
      </x:c>
      <x:c r="I5" s="26" t="str">
        <x:v>P0</x:v>
      </x:c>
      <x:c r="J5" s="26" t="str">
        <x:v>High</x:v>
      </x:c>
    </x:row>
    <x:row r="6">
      <x:c r="A6" s="26" t="str">
        <x:v>IM-SF-002</x:v>
      </x:c>
      <x:c r="B6" s="26" t="str">
        <x:v>Deterministic</x:v>
      </x:c>
      <x:c r="C6" s="26" t="str">
        <x:v>Commander legal creatures with flying in Simic</x:v>
      </x:c>
      <x:c r="D6" s="26" t="str">
        <x:v>Commander</x:v>
      </x:c>
      <x:c r="E6" s="26" t="str">
        <x:v>f:commander id&lt;=ug t:creature kw:flying</x:v>
      </x:c>
      <x:c r="F6" s="26" t="str">
        <x:v>Simic interpreted as deck-compatible color identity.</x:v>
      </x:c>
      <x:c r="G6" s="26" t="str"/>
      <x:c r="H6" s="26" t="str">
        <x:v>c=ug</x:v>
      </x:c>
      <x:c r="I6" s="26" t="str">
        <x:v>P0</x:v>
      </x:c>
      <x:c r="J6" s="26" t="str">
        <x:v>High</x:v>
      </x:c>
    </x:row>
    <x:row r="7">
      <x:c r="A7" s="26" t="str">
        <x:v>IM-SF-003</x:v>
      </x:c>
      <x:c r="B7" s="26" t="str">
        <x:v>Color</x:v>
      </x:c>
      <x:c r="C7" s="26" t="str">
        <x:v>cards I can play in my Esper commander deck</x:v>
      </x:c>
      <x:c r="D7" s="26" t="str">
        <x:v>Commander</x:v>
      </x:c>
      <x:c r="E7" s="26" t="str">
        <x:v>f:commander id&lt;=wub</x:v>
      </x:c>
      <x:c r="F7" s="26" t="str">
        <x:v>Fits-inside identity, including mono/colorless cards.</x:v>
      </x:c>
      <x:c r="G7" s="26" t="str"/>
      <x:c r="H7" s="26" t="str">
        <x:v>id=wub</x:v>
      </x:c>
      <x:c r="I7" s="26" t="str">
        <x:v>P0</x:v>
      </x:c>
      <x:c r="J7" s="26" t="str">
        <x:v>High</x:v>
      </x:c>
    </x:row>
    <x:row r="8">
      <x:c r="A8" s="26" t="str">
        <x:v>IM-SF-004</x:v>
      </x:c>
      <x:c r="B8" s="26" t="str">
        <x:v>Color</x:v>
      </x:c>
      <x:c r="C8" s="26" t="str">
        <x:v>exactly Esper commanders</x:v>
      </x:c>
      <x:c r="D8" s="26" t="str">
        <x:v>Commander</x:v>
      </x:c>
      <x:c r="E8" s="26" t="str">
        <x:v>is:commander id=wub</x:v>
      </x:c>
      <x:c r="F8" s="26" t="str">
        <x:v>'exactly' selects exact identity.</x:v>
      </x:c>
      <x:c r="G8" s="26" t="str"/>
      <x:c r="H8" s="26" t="str">
        <x:v>id&lt;=wub</x:v>
      </x:c>
      <x:c r="I8" s="26" t="str">
        <x:v>P0</x:v>
      </x:c>
      <x:c r="J8" s="26" t="str">
        <x:v>High</x:v>
      </x:c>
    </x:row>
    <x:row r="9">
      <x:c r="A9" s="26" t="str">
        <x:v>IM-SF-005</x:v>
      </x:c>
      <x:c r="B9" s="26" t="str">
        <x:v>Color</x:v>
      </x:c>
      <x:c r="C9" s="26" t="str">
        <x:v>commanders that include white and black</x:v>
      </x:c>
      <x:c r="D9" s="26" t="str">
        <x:v>Commander</x:v>
      </x:c>
      <x:c r="E9" s="26" t="str">
        <x:v>is:commander id&gt;=wb</x:v>
      </x:c>
      <x:c r="F9" s="26" t="str">
        <x:v>Additional colors allowed.</x:v>
      </x:c>
      <x:c r="G9" s="26" t="str"/>
      <x:c r="H9" s="26" t="str"/>
      <x:c r="I9" s="26" t="str">
        <x:v>P0</x:v>
      </x:c>
      <x:c r="J9" s="26" t="str">
        <x:v>High</x:v>
      </x:c>
    </x:row>
    <x:row r="10">
      <x:c r="A10" s="26" t="str">
        <x:v>IM-SF-006</x:v>
      </x:c>
      <x:c r="B10" s="26" t="str">
        <x:v>Type</x:v>
      </x:c>
      <x:c r="C10" s="26" t="str">
        <x:v>legendary elf creatures</x:v>
      </x:c>
      <x:c r="D10" s="26" t="str">
        <x:v>None</x:v>
      </x:c>
      <x:c r="E10" s="26" t="str">
        <x:v>t:legendary t:elf t:creature</x:v>
      </x:c>
      <x:c r="F10" s="26" t="str">
        <x:v>All terms are native type-line taxonomy.</x:v>
      </x:c>
      <x:c r="G10" s="26" t="str"/>
      <x:c r="H10" s="26" t="str">
        <x:v>o:elf</x:v>
      </x:c>
      <x:c r="I10" s="26" t="str">
        <x:v>P0</x:v>
      </x:c>
      <x:c r="J10" s="26" t="str">
        <x:v>High</x:v>
      </x:c>
    </x:row>
    <x:row r="11">
      <x:c r="A11" s="26" t="str">
        <x:v>IM-SF-007</x:v>
      </x:c>
      <x:c r="B11" s="26" t="str">
        <x:v>Keyword</x:v>
      </x:c>
      <x:c r="C11" s="26" t="str">
        <x:v>noncreatures with deathtouch</x:v>
      </x:c>
      <x:c r="D11" s="26" t="str">
        <x:v>None</x:v>
      </x:c>
      <x:c r="E11" s="26" t="str">
        <x:v>-t:creature kw:deathtouch</x:v>
      </x:c>
      <x:c r="F11" s="26" t="str">
        <x:v>Deathtouch is a keyword ability.</x:v>
      </x:c>
      <x:c r="G11" s="26" t="str"/>
      <x:c r="H11" s="26" t="str">
        <x:v>o:deathtouch</x:v>
      </x:c>
      <x:c r="I11" s="26" t="str">
        <x:v>P0</x:v>
      </x:c>
      <x:c r="J11" s="26" t="str">
        <x:v>High</x:v>
      </x:c>
    </x:row>
    <x:row r="12">
      <x:c r="A12" s="26" t="str">
        <x:v>IM-SF-008</x:v>
      </x:c>
      <x:c r="B12" s="26" t="str">
        <x:v>Keyword Action</x:v>
      </x:c>
      <x:c r="C12" s="26" t="str">
        <x:v>proliferate cards in Sultai commander</x:v>
      </x:c>
      <x:c r="D12" s="26" t="str">
        <x:v>Commander</x:v>
      </x:c>
      <x:c r="E12" s="26" t="str">
        <x:v>f:commander id&lt;=bgu o:proliferate</x:v>
      </x:c>
      <x:c r="F12" s="26" t="str">
        <x:v>Proliferate routed as Oracle keyword action.</x:v>
      </x:c>
      <x:c r="G12" s="26" t="str"/>
      <x:c r="H12" s="26" t="str">
        <x:v>kw:proliferate</x:v>
      </x:c>
      <x:c r="I12" s="26" t="str">
        <x:v>P1</x:v>
      </x:c>
      <x:c r="J12" s="26" t="str">
        <x:v>High</x:v>
      </x:c>
    </x:row>
    <x:row r="13">
      <x:c r="A13" s="26" t="str">
        <x:v>IM-SF-009</x:v>
      </x:c>
      <x:c r="B13" s="26" t="str">
        <x:v>Ability Word</x:v>
      </x:c>
      <x:c r="C13" s="26" t="str">
        <x:v>landfall cards in Gruul commander</x:v>
      </x:c>
      <x:c r="D13" s="26" t="str">
        <x:v>Commander</x:v>
      </x:c>
      <x:c r="E13" s="26" t="str">
        <x:v>f:commander id&lt;=rg o:landfall</x:v>
      </x:c>
      <x:c r="F13" s="26" t="str">
        <x:v>Landfall searched as ability word in Oracle text.</x:v>
      </x:c>
      <x:c r="G13" s="26" t="str"/>
      <x:c r="H13" s="26" t="str"/>
      <x:c r="I13" s="26" t="str">
        <x:v>P0</x:v>
      </x:c>
      <x:c r="J13" s="26" t="str">
        <x:v>High</x:v>
      </x:c>
    </x:row>
    <x:row r="14">
      <x:c r="A14" s="26" t="str">
        <x:v>IM-SF-010</x:v>
      </x:c>
      <x:c r="B14" s="26" t="str">
        <x:v>Function</x:v>
      </x:c>
      <x:c r="C14" s="26" t="str">
        <x:v>ramp in mono white commander</x:v>
      </x:c>
      <x:c r="D14" s="26" t="str">
        <x:v>Commander</x:v>
      </x:c>
      <x:c r="E14" s="26" t="str">
        <x:v>f:commander id&lt;=w otag:ramp</x:v>
      </x:c>
      <x:c r="F14" s="26" t="str">
        <x:v>Ramp is semantic function tag.</x:v>
      </x:c>
      <x:c r="G14" s="26" t="str"/>
      <x:c r="H14" s="26" t="str">
        <x:v>o:ramp</x:v>
      </x:c>
      <x:c r="I14" s="26" t="str">
        <x:v>P0</x:v>
      </x:c>
      <x:c r="J14" s="26" t="str">
        <x:v>High</x:v>
      </x:c>
    </x:row>
    <x:row r="15">
      <x:c r="A15" s="26" t="str">
        <x:v>IM-SF-011</x:v>
      </x:c>
      <x:c r="B15" s="26" t="str">
        <x:v>Function</x:v>
      </x:c>
      <x:c r="C15" s="26" t="str">
        <x:v>cheap removal under $2 for Orzhov</x:v>
      </x:c>
      <x:c r="D15" s="26" t="str">
        <x:v>Commander</x:v>
      </x:c>
      <x:c r="E15" s="26" t="str">
        <x:v>f:commander id&lt;=wb otag:removal usd&lt;2</x:v>
      </x:c>
      <x:c r="F15" s="26" t="str">
        <x:v>Explicit dollar amount resolves 'cheap'; under means strict &lt;.</x:v>
      </x:c>
      <x:c r="G15" s="26" t="str"/>
      <x:c r="H15" s="26" t="str">
        <x:v>mv&lt;2</x:v>
      </x:c>
      <x:c r="I15" s="26" t="str">
        <x:v>P0</x:v>
      </x:c>
      <x:c r="J15" s="26" t="str">
        <x:v>High</x:v>
      </x:c>
    </x:row>
    <x:row r="16">
      <x:c r="A16" s="26" t="str">
        <x:v>IM-SF-012</x:v>
      </x:c>
      <x:c r="B16" s="26" t="str">
        <x:v>Function</x:v>
      </x:c>
      <x:c r="C16" s="26" t="str">
        <x:v>card advantage in Izzet</x:v>
      </x:c>
      <x:c r="D16" s="26" t="str">
        <x:v>Commander</x:v>
      </x:c>
      <x:c r="E16" s="26" t="str">
        <x:v>f:commander id&lt;=ur otag:card-advantage</x:v>
      </x:c>
      <x:c r="F16" s="26" t="str">
        <x:v>Card advantage uses semantic tag, not literal draw.</x:v>
      </x:c>
      <x:c r="G16" s="26" t="str"/>
      <x:c r="H16" s="26" t="str"/>
      <x:c r="I16" s="26" t="str">
        <x:v>P1</x:v>
      </x:c>
      <x:c r="J16" s="26" t="str">
        <x:v>High</x:v>
      </x:c>
    </x:row>
    <x:row r="17">
      <x:c r="A17" s="26" t="str">
        <x:v>IM-SF-013</x:v>
      </x:c>
      <x:c r="B17" s="26" t="str">
        <x:v>Function</x:v>
      </x:c>
      <x:c r="C17" s="26" t="str">
        <x:v>counterspells under 3 mana in Dimir commander</x:v>
      </x:c>
      <x:c r="D17" s="26" t="str">
        <x:v>Commander</x:v>
      </x:c>
      <x:c r="E17" s="26" t="str">
        <x:v>f:commander id&lt;=ub otag:counterspell mv&lt;3</x:v>
      </x:c>
      <x:c r="F17" s="26" t="str">
        <x:v>'under 3 mana' =&gt; mv&lt;3.</x:v>
      </x:c>
      <x:c r="G17" s="26" t="str"/>
      <x:c r="H17" s="26" t="str">
        <x:v>o:"counter target spell" only</x:v>
      </x:c>
      <x:c r="I17" s="26" t="str">
        <x:v>P1</x:v>
      </x:c>
      <x:c r="J17" s="26" t="str">
        <x:v>High</x:v>
      </x:c>
    </x:row>
    <x:row r="18">
      <x:c r="A18" s="26" t="str">
        <x:v>IM-SF-014</x:v>
      </x:c>
      <x:c r="B18" s="26" t="str">
        <x:v>Relation</x:v>
      </x:c>
      <x:c r="C18" s="26" t="str">
        <x:v>blink cards for my Azorius deck</x:v>
      </x:c>
      <x:c r="D18" s="26" t="str">
        <x:v>Commander</x:v>
      </x:c>
      <x:c r="E18" s="26" t="str">
        <x:v>f:commander id&lt;=wu otag:blink</x:v>
      </x:c>
      <x:c r="F18" s="26" t="str">
        <x:v>Blink interpreted as enabler/function.</x:v>
      </x:c>
      <x:c r="G18" s="26" t="str"/>
      <x:c r="H18" s="26" t="str">
        <x:v>o:etb</x:v>
      </x:c>
      <x:c r="I18" s="26" t="str">
        <x:v>P0</x:v>
      </x:c>
      <x:c r="J18" s="26" t="str">
        <x:v>High</x:v>
      </x:c>
    </x:row>
    <x:row r="19">
      <x:c r="A19" s="26" t="str">
        <x:v>IM-SF-015</x:v>
      </x:c>
      <x:c r="B19" s="26" t="str">
        <x:v>Relation</x:v>
      </x:c>
      <x:c r="C19" s="26" t="str">
        <x:v>ETB creatures in Simic</x:v>
      </x:c>
      <x:c r="D19" s="26" t="str">
        <x:v>Commander</x:v>
      </x:c>
      <x:c r="E19" s="26" t="str">
        <x:v>f:commander id&lt;=ug t:creature o:/when ~ enters|whenever ~ enters/</x:v>
      </x:c>
      <x:c r="F19" s="26" t="str">
        <x:v>ETB interpreted as own enters trigger.</x:v>
      </x:c>
      <x:c r="G19" s="26" t="str">
        <x:v>Alternative: any ETB payoff.</x:v>
      </x:c>
      <x:c r="H19" s="26" t="str">
        <x:v>o:etb</x:v>
      </x:c>
      <x:c r="I19" s="26" t="str">
        <x:v>P0</x:v>
      </x:c>
      <x:c r="J19" s="26" t="str">
        <x:v>Medium</x:v>
      </x:c>
    </x:row>
    <x:row r="20">
      <x:c r="A20" s="26" t="str">
        <x:v>IM-SF-016</x:v>
      </x:c>
      <x:c r="B20" s="26" t="str">
        <x:v>Relation</x:v>
      </x:c>
      <x:c r="C20" s="26" t="str">
        <x:v>cards that help my ETB deck in Simic</x:v>
      </x:c>
      <x:c r="D20" s="26" t="str">
        <x:v>Commander</x:v>
      </x:c>
      <x:c r="E20" s="26" t="str">
        <x:v>f:commander id&lt;=ug</x:v>
      </x:c>
      <x:c r="F20" s="26" t="str">
        <x:v>Only color/format are deterministic.</x:v>
      </x:c>
      <x:c r="G20" s="26" t="str">
        <x:v>ETB enablers vs payoffs vs trigger doublers vs blink should be offered.</x:v>
      </x:c>
      <x:c r="H20" s="26" t="str">
        <x:v>o:enters as complete answer</x:v>
      </x:c>
      <x:c r="I20" s="26" t="str">
        <x:v>P0</x:v>
      </x:c>
      <x:c r="J20" s="26" t="str">
        <x:v>Low</x:v>
      </x:c>
    </x:row>
    <x:row r="21">
      <x:c r="A21" s="26" t="str">
        <x:v>IM-SF-017</x:v>
      </x:c>
      <x:c r="B21" s="26" t="str">
        <x:v>Relation</x:v>
      </x:c>
      <x:c r="C21" s="26" t="str">
        <x:v>artifact cards in Breya</x:v>
      </x:c>
      <x:c r="D21" s="26" t="str">
        <x:v>Commander with WUBR identity</x:v>
      </x:c>
      <x:c r="E21" s="26" t="str">
        <x:v>f:commander id&lt;=wubr t:artifact</x:v>
      </x:c>
      <x:c r="F21" s="26" t="str">
        <x:v>Noun 'artifact cards' means card type.</x:v>
      </x:c>
      <x:c r="G21" s="26" t="str"/>
      <x:c r="H21" s="26" t="str"/>
      <x:c r="I21" s="26" t="str">
        <x:v>P0</x:v>
      </x:c>
      <x:c r="J21" s="26" t="str">
        <x:v>High</x:v>
      </x:c>
    </x:row>
    <x:row r="22">
      <x:c r="A22" s="26" t="str">
        <x:v>IM-SF-018</x:v>
      </x:c>
      <x:c r="B22" s="26" t="str">
        <x:v>Relation</x:v>
      </x:c>
      <x:c r="C22" s="26" t="str">
        <x:v>cards that support artifacts in Breya</x:v>
      </x:c>
      <x:c r="D22" s="26" t="str">
        <x:v>Commander with WUBR identity</x:v>
      </x:c>
      <x:c r="E22" s="26" t="str">
        <x:v>f:commander id&lt;=wubr</x:v>
      </x:c>
      <x:c r="F22" s="26" t="str">
        <x:v>Artifact-support relationship unresolved without governed semantic mapping.</x:v>
      </x:c>
      <x:c r="G22" s="26" t="str">
        <x:v>Offer artifacts-matter/payoff/enabler interpretations.</x:v>
      </x:c>
      <x:c r="H22" s="26" t="str">
        <x:v>t:artifact only</x:v>
      </x:c>
      <x:c r="I22" s="26" t="str">
        <x:v>P0</x:v>
      </x:c>
      <x:c r="J22" s="26" t="str">
        <x:v>Low</x:v>
      </x:c>
    </x:row>
    <x:row r="23">
      <x:c r="A23" s="26" t="str">
        <x:v>IM-SF-019</x:v>
      </x:c>
      <x:c r="B23" s="26" t="str">
        <x:v>Tokens</x:v>
      </x:c>
      <x:c r="C23" s="26" t="str">
        <x:v>token makers in Selesnya</x:v>
      </x:c>
      <x:c r="D23" s="26" t="str">
        <x:v>Commander</x:v>
      </x:c>
      <x:c r="E23" s="26" t="str">
        <x:v>f:commander id&lt;=gw o:/create.*token/</x:v>
      </x:c>
      <x:c r="F23" s="26" t="str">
        <x:v>Token makers =&gt; generator recipe.</x:v>
      </x:c>
      <x:c r="G23" s="26" t="str">
        <x:v>Alternative tag when allowlisted.</x:v>
      </x:c>
      <x:c r="H23" s="26" t="str">
        <x:v>otag:"Tokens"</x:v>
      </x:c>
      <x:c r="I23" s="26" t="str">
        <x:v>P1</x:v>
      </x:c>
      <x:c r="J23" s="26" t="str">
        <x:v>Medium</x:v>
      </x:c>
    </x:row>
    <x:row r="24">
      <x:c r="A24" s="26" t="str">
        <x:v>IM-SF-020</x:v>
      </x:c>
      <x:c r="B24" s="26" t="str">
        <x:v>Counters</x:v>
      </x:c>
      <x:c r="C24" s="26" t="str">
        <x:v>+1/+1 counter cards in Abzan</x:v>
      </x:c>
      <x:c r="D24" s="26" t="str">
        <x:v>Commander</x:v>
      </x:c>
      <x:c r="E24" s="26" t="str">
        <x:v>f:commander id&lt;=wbg (otag:pp-counters-matter or otag:gives-pp-counters)</x:v>
      </x:c>
      <x:c r="F24" s="26" t="str">
        <x:v>Broad counter theme expanded to payoff + producer.</x:v>
      </x:c>
      <x:c r="G24" s="26" t="str">
        <x:v>Offer producer/payoff refinement.</x:v>
      </x:c>
      <x:c r="H24" s="26" t="str">
        <x:v>otag:"+1/+1 Counters"</x:v>
      </x:c>
      <x:c r="I24" s="26" t="str">
        <x:v>P0</x:v>
      </x:c>
      <x:c r="J24" s="26" t="str">
        <x:v>High</x:v>
      </x:c>
    </x:row>
    <x:row r="25">
      <x:c r="A25" s="26" t="str">
        <x:v>IM-SF-021</x:v>
      </x:c>
      <x:c r="B25" s="26" t="str">
        <x:v>Counters</x:v>
      </x:c>
      <x:c r="C25" s="26" t="str">
        <x:v>-1/-1 counter payoffs in Jund</x:v>
      </x:c>
      <x:c r="D25" s="26" t="str">
        <x:v>Commander</x:v>
      </x:c>
      <x:c r="E25" s="26" t="str">
        <x:v>f:commander id&lt;=brg otag:mm-counters-matter</x:v>
      </x:c>
      <x:c r="F25" s="26" t="str">
        <x:v>'payoffs' selects matters tag only.</x:v>
      </x:c>
      <x:c r="G25" s="26" t="str"/>
      <x:c r="H25" s="26" t="str">
        <x:v>o:"-1/-1 Counters"</x:v>
      </x:c>
      <x:c r="I25" s="26" t="str">
        <x:v>P1</x:v>
      </x:c>
      <x:c r="J25" s="26" t="str">
        <x:v>Medium</x:v>
      </x:c>
    </x:row>
    <x:row r="26">
      <x:c r="A26" s="26" t="str">
        <x:v>IM-SF-022</x:v>
      </x:c>
      <x:c r="B26" s="26" t="str">
        <x:v>Mill</x:v>
      </x:c>
      <x:c r="C26" s="26" t="str">
        <x:v>self mill in Sultai</x:v>
      </x:c>
      <x:c r="D26" s="26" t="str">
        <x:v>Commander</x:v>
      </x:c>
      <x:c r="E26" s="26" t="str">
        <x:v>f:commander id&lt;=bgu otag:mill-self</x:v>
      </x:c>
      <x:c r="F26" s="26" t="str">
        <x:v>Self scope explicit.</x:v>
      </x:c>
      <x:c r="G26" s="26" t="str"/>
      <x:c r="H26" s="26" t="str">
        <x:v>otag:mill-opponent</x:v>
      </x:c>
      <x:c r="I26" s="26" t="str">
        <x:v>P0</x:v>
      </x:c>
      <x:c r="J26" s="26" t="str">
        <x:v>High</x:v>
      </x:c>
    </x:row>
    <x:row r="27">
      <x:c r="A27" s="26" t="str">
        <x:v>IM-SF-023</x:v>
      </x:c>
      <x:c r="B27" s="26" t="str">
        <x:v>Mill</x:v>
      </x:c>
      <x:c r="C27" s="26" t="str">
        <x:v>mill cards in Dimir</x:v>
      </x:c>
      <x:c r="D27" s="26" t="str">
        <x:v>Commander</x:v>
      </x:c>
      <x:c r="E27" s="26" t="str">
        <x:v>f:commander id&lt;=ub otag:mill</x:v>
      </x:c>
      <x:c r="F27" s="26" t="str">
        <x:v>Generic mill scope.</x:v>
      </x:c>
      <x:c r="G27" s="26" t="str">
        <x:v>Offer self vs opponent if useful.</x:v>
      </x:c>
      <x:c r="H27" s="26" t="str"/>
      <x:c r="I27" s="26" t="str">
        <x:v>P1</x:v>
      </x:c>
      <x:c r="J27" s="26" t="str">
        <x:v>High</x:v>
      </x:c>
    </x:row>
    <x:row r="28">
      <x:c r="A28" s="26" t="str">
        <x:v>IM-SF-024</x:v>
      </x:c>
      <x:c r="B28" s="26" t="str">
        <x:v>Mana</x:v>
      </x:c>
      <x:c r="C28" s="26" t="str">
        <x:v>X spells in Temur</x:v>
      </x:c>
      <x:c r="D28" s="26" t="str">
        <x:v>Commander</x:v>
      </x:c>
      <x:c r="E28" s="26" t="str">
        <x:v>f:commander id&lt;=gur mana:{X}</x:v>
      </x:c>
      <x:c r="F28" s="26" t="str">
        <x:v>X in mana cost.</x:v>
      </x:c>
      <x:c r="G28" s="26" t="str"/>
      <x:c r="H28" s="26" t="str"/>
      <x:c r="I28" s="26" t="str">
        <x:v>P0</x:v>
      </x:c>
      <x:c r="J28" s="26" t="str">
        <x:v>High</x:v>
      </x:c>
    </x:row>
    <x:row r="29">
      <x:c r="A29" s="26" t="str">
        <x:v>IM-SF-025</x:v>
      </x:c>
      <x:c r="B29" s="26" t="str">
        <x:v>Mana</x:v>
      </x:c>
      <x:c r="C29" s="26" t="str">
        <x:v>blue cards that cost exactly UU</x:v>
      </x:c>
      <x:c r="D29" s="26" t="str">
        <x:v>None</x:v>
      </x:c>
      <x:c r="E29" s="26" t="str">
        <x:v>c:u mana:{U}{U}</x:v>
      </x:c>
      <x:c r="F29" s="26" t="str">
        <x:v>Card color + mana-symbol constraint.</x:v>
      </x:c>
      <x:c r="G29" s="26" t="str">
        <x:v>Clarify exact vs contains symbols if product parser distinguishes.</x:v>
      </x:c>
      <x:c r="H29" s="26" t="str">
        <x:v>mv=2 only</x:v>
      </x:c>
      <x:c r="I29" s="26" t="str">
        <x:v>P1</x:v>
      </x:c>
      <x:c r="J29" s="26" t="str">
        <x:v>Medium</x:v>
      </x:c>
    </x:row>
    <x:row r="30">
      <x:c r="A30" s="26" t="str">
        <x:v>IM-SF-026</x:v>
      </x:c>
      <x:c r="B30" s="26" t="str">
        <x:v>Stats</x:v>
      </x:c>
      <x:c r="C30" s="26" t="str">
        <x:v>green creatures power 5 or more</x:v>
      </x:c>
      <x:c r="D30" s="26" t="str">
        <x:v>None</x:v>
      </x:c>
      <x:c r="E30" s="26" t="str">
        <x:v>c:g t:creature pow&gt;=5</x:v>
      </x:c>
      <x:c r="F30" s="26" t="str">
        <x:v>Numeric comparison.</x:v>
      </x:c>
      <x:c r="G30" s="26" t="str"/>
      <x:c r="H30" s="26" t="str"/>
      <x:c r="I30" s="26" t="str">
        <x:v>P0</x:v>
      </x:c>
      <x:c r="J30" s="26" t="str">
        <x:v>High</x:v>
      </x:c>
    </x:row>
    <x:row r="31">
      <x:c r="A31" s="26" t="str">
        <x:v>IM-SF-027</x:v>
      </x:c>
      <x:c r="B31" s="26" t="str">
        <x:v>Price</x:v>
      </x:c>
      <x:c r="C31" s="26" t="str">
        <x:v>Commander cards $5 or less</x:v>
      </x:c>
      <x:c r="D31" s="26" t="str">
        <x:v>Commander</x:v>
      </x:c>
      <x:c r="E31" s="26" t="str">
        <x:v>f:commander usd&lt;=5</x:v>
      </x:c>
      <x:c r="F31" s="26" t="str">
        <x:v>Inclusive price language.</x:v>
      </x:c>
      <x:c r="G31" s="26" t="str">
        <x:v>Printing-level price caveat.</x:v>
      </x:c>
      <x:c r="H31" s="26" t="str">
        <x:v>usd&lt;5</x:v>
      </x:c>
      <x:c r="I31" s="26" t="str">
        <x:v>P0</x:v>
      </x:c>
      <x:c r="J31" s="26" t="str">
        <x:v>High</x:v>
      </x:c>
    </x:row>
    <x:row r="32">
      <x:c r="A32" s="26" t="str">
        <x:v>IM-SF-028</x:v>
      </x:c>
      <x:c r="B32" s="26" t="str">
        <x:v>Price</x:v>
      </x:c>
      <x:c r="C32" s="26" t="str">
        <x:v>budget commander cards</x:v>
      </x:c>
      <x:c r="D32" s="26" t="str">
        <x:v>Commander</x:v>
      </x:c>
      <x:c r="E32" s="26" t="str">
        <x:v>f:commander</x:v>
      </x:c>
      <x:c r="F32" s="26" t="str">
        <x:v>No amount supplied; do not silently fix threshold.</x:v>
      </x:c>
      <x:c r="G32" s="26" t="str">
        <x:v>Offer price threshold chip.</x:v>
      </x:c>
      <x:c r="H32" s="26" t="str">
        <x:v>usd&lt;5 without disclosed policy</x:v>
      </x:c>
      <x:c r="I32" s="26" t="str">
        <x:v>P0</x:v>
      </x:c>
      <x:c r="J32" s="26" t="str">
        <x:v>Low</x:v>
      </x:c>
    </x:row>
    <x:row r="33">
      <x:c r="A33" s="26" t="str">
        <x:v>IM-SF-029</x:v>
      </x:c>
      <x:c r="B33" s="26" t="str">
        <x:v>Ambiguity</x:v>
      </x:c>
      <x:c r="C33" s="26" t="str">
        <x:v>cheap blue spells</x:v>
      </x:c>
      <x:c r="D33" s="26" t="str">
        <x:v>None</x:v>
      </x:c>
      <x:c r="E33" s="26" t="str">
        <x:v>c:u is:spell</x:v>
      </x:c>
      <x:c r="F33" s="26" t="str">
        <x:v>Cheap is unresolved: money vs mana value.</x:v>
      </x:c>
      <x:c r="G33" s="26" t="str">
        <x:v>Offer 'cheap to cast' vs '$ budget'.</x:v>
      </x:c>
      <x:c r="H33" s="26" t="str">
        <x:v>usd&lt;1 or mv&lt;=3 silently</x:v>
      </x:c>
      <x:c r="I33" s="26" t="str">
        <x:v>P0</x:v>
      </x:c>
      <x:c r="J33" s="26" t="str">
        <x:v>Low</x:v>
      </x:c>
    </x:row>
    <x:row r="34">
      <x:c r="A34" s="26" t="str">
        <x:v>IM-SF-030</x:v>
      </x:c>
      <x:c r="B34" s="26" t="str">
        <x:v>Printing</x:v>
      </x:c>
      <x:c r="C34" s="26" t="str">
        <x:v>cards from MH3</x:v>
      </x:c>
      <x:c r="D34" s="26" t="str">
        <x:v>None</x:v>
      </x:c>
      <x:c r="E34" s="26" t="str">
        <x:v>set:mh3</x:v>
      </x:c>
      <x:c r="F34" s="26" t="str">
        <x:v>Current printings from MH3.</x:v>
      </x:c>
      <x:c r="G34" s="26" t="str"/>
      <x:c r="H34" s="26" t="str"/>
      <x:c r="I34" s="26" t="str">
        <x:v>P0</x:v>
      </x:c>
      <x:c r="J34" s="26" t="str">
        <x:v>High</x:v>
      </x:c>
    </x:row>
    <x:row r="35">
      <x:c r="A35" s="26" t="str">
        <x:v>IM-SF-031</x:v>
      </x:c>
      <x:c r="B35" s="26" t="str">
        <x:v>Printing</x:v>
      </x:c>
      <x:c r="C35" s="26" t="str">
        <x:v>cards ever printed in Alpha</x:v>
      </x:c>
      <x:c r="D35" s="26" t="str">
        <x:v>None</x:v>
      </x:c>
      <x:c r="E35" s="26" t="str">
        <x:v>in:lea unique:cards</x:v>
      </x:c>
      <x:c r="F35" s="26" t="str">
        <x:v>Historical membership.</x:v>
      </x:c>
      <x:c r="G35" s="26" t="str"/>
      <x:c r="H35" s="26" t="str">
        <x:v>set:lea as equivalent</x:v>
      </x:c>
      <x:c r="I35" s="26" t="str">
        <x:v>P0</x:v>
      </x:c>
      <x:c r="J35" s="26" t="str">
        <x:v>High</x:v>
      </x:c>
    </x:row>
    <x:row r="36">
      <x:c r="A36" s="26" t="str">
        <x:v>IM-SF-032</x:v>
      </x:c>
      <x:c r="B36" s="26" t="str">
        <x:v>Printing</x:v>
      </x:c>
      <x:c r="C36" s="26" t="str">
        <x:v>exclude anything that was in M3C</x:v>
      </x:c>
      <x:c r="D36" s="26" t="str">
        <x:v>None</x:v>
      </x:c>
      <x:c r="E36" s="26" t="str">
        <x:v>-in:m3c unique:cards</x:v>
      </x:c>
      <x:c r="F36" s="26" t="str">
        <x:v>Historical exclusion.</x:v>
      </x:c>
      <x:c r="G36" s="26" t="str"/>
      <x:c r="H36" s="26" t="str">
        <x:v>-set:m3c</x:v>
      </x:c>
      <x:c r="I36" s="26" t="str">
        <x:v>P0</x:v>
      </x:c>
      <x:c r="J36" s="26" t="str">
        <x:v>High</x:v>
      </x:c>
    </x:row>
    <x:row r="37">
      <x:c r="A37" s="26" t="str">
        <x:v>IM-SF-033</x:v>
      </x:c>
      <x:c r="B37" s="26" t="str">
        <x:v>Printing</x:v>
      </x:c>
      <x:c r="C37" s="26" t="str">
        <x:v>all Lightning Bolt printings</x:v>
      </x:c>
      <x:c r="D37" s="26" t="str">
        <x:v>None</x:v>
      </x:c>
      <x:c r="E37" s="26" t="str">
        <x:v>!"Lightning Bolt" unique:prints</x:v>
      </x:c>
      <x:c r="F37" s="26" t="str">
        <x:v>Exact name + print mode.</x:v>
      </x:c>
      <x:c r="G37" s="26" t="str"/>
      <x:c r="H37" s="26" t="str"/>
      <x:c r="I37" s="26" t="str">
        <x:v>P0</x:v>
      </x:c>
      <x:c r="J37" s="26" t="str">
        <x:v>High</x:v>
      </x:c>
    </x:row>
    <x:row r="38">
      <x:c r="A38" s="26" t="str">
        <x:v>IM-SF-034</x:v>
      </x:c>
      <x:c r="B38" s="26" t="str">
        <x:v>Printing</x:v>
      </x:c>
      <x:c r="C38" s="26" t="str">
        <x:v>Japanese planeswalkers</x:v>
      </x:c>
      <x:c r="D38" s="26" t="str">
        <x:v>None</x:v>
      </x:c>
      <x:c r="E38" s="26" t="str">
        <x:v>lang:japanese t:planeswalker</x:v>
      </x:c>
      <x:c r="F38" s="26" t="str">
        <x:v>Printing language + type.</x:v>
      </x:c>
      <x:c r="G38" s="26" t="str"/>
      <x:c r="H38" s="26" t="str"/>
      <x:c r="I38" s="26" t="str">
        <x:v>P1</x:v>
      </x:c>
      <x:c r="J38" s="26" t="str">
        <x:v>High</x:v>
      </x:c>
    </x:row>
    <x:row r="39">
      <x:c r="A39" s="26" t="str">
        <x:v>IM-SF-035</x:v>
      </x:c>
      <x:c r="B39" s="26" t="str">
        <x:v>Printing</x:v>
      </x:c>
      <x:c r="C39" s="26" t="str">
        <x:v>paper Commander cards, no Universes Beyond</x:v>
      </x:c>
      <x:c r="D39" s="26" t="str">
        <x:v>Commander</x:v>
      </x:c>
      <x:c r="E39" s="26" t="str">
        <x:v>f:commander game:paper not:universesbeyond</x:v>
      </x:c>
      <x:c r="F39" s="26" t="str">
        <x:v>Legality, game, UB exclusion are independent.</x:v>
      </x:c>
      <x:c r="G39" s="26" t="str"/>
      <x:c r="H39" s="26" t="str"/>
      <x:c r="I39" s="26" t="str">
        <x:v>P0</x:v>
      </x:c>
      <x:c r="J39" s="26" t="str">
        <x:v>High</x:v>
      </x:c>
    </x:row>
    <x:row r="40">
      <x:c r="A40" s="26" t="str">
        <x:v>IM-SF-036</x:v>
      </x:c>
      <x:c r="B40" s="26" t="str">
        <x:v>Date</x:v>
      </x:c>
      <x:c r="C40" s="26" t="str">
        <x:v>new cards since Bloomburrow, no reprints</x:v>
      </x:c>
      <x:c r="D40" s="26" t="str">
        <x:v>None</x:v>
      </x:c>
      <x:c r="E40" s="26" t="str">
        <x:v>date&gt;=blb not:reprint unique:cards</x:v>
      </x:c>
      <x:c r="F40" s="26" t="str">
        <x:v>Set code used as release date.</x:v>
      </x:c>
      <x:c r="G40" s="26" t="str"/>
      <x:c r="H40" s="26" t="str"/>
      <x:c r="I40" s="26" t="str">
        <x:v>P1</x:v>
      </x:c>
      <x:c r="J40" s="26" t="str">
        <x:v>High</x:v>
      </x:c>
    </x:row>
    <x:row r="41">
      <x:c r="A41" s="26" t="str">
        <x:v>IM-SF-037</x:v>
      </x:c>
      <x:c r="B41" s="26" t="str">
        <x:v>Regex</x:v>
      </x:c>
      <x:c r="C41" s="26" t="str">
        <x:v>cards that counter target creature spells</x:v>
      </x:c>
      <x:c r="D41" s="26" t="str">
        <x:v>None</x:v>
      </x:c>
      <x:c r="E41" s="26" t="str">
        <x:v>o:/counter target.*creature.*spell/</x:v>
      </x:c>
      <x:c r="F41" s="26" t="str">
        <x:v>Wording-specific regex.</x:v>
      </x:c>
      <x:c r="G41" s="26" t="str">
        <x:v>Semantic counterspell search is alternative.</x:v>
      </x:c>
      <x:c r="H41" s="26" t="str">
        <x:v>otag:counterspell as exact wording answer</x:v>
      </x:c>
      <x:c r="I41" s="26" t="str">
        <x:v>P2</x:v>
      </x:c>
      <x:c r="J41" s="26" t="str">
        <x:v>Medium</x:v>
      </x:c>
    </x:row>
    <x:row r="42">
      <x:c r="A42" s="26" t="str">
        <x:v>IM-SF-038</x:v>
      </x:c>
      <x:c r="B42" s="26" t="str">
        <x:v>Regex</x:v>
      </x:c>
      <x:c r="C42" s="26" t="str">
        <x:v>cards that exile then return something</x:v>
      </x:c>
      <x:c r="D42" s="26" t="str">
        <x:v>None</x:v>
      </x:c>
      <x:c r="E42" s="26" t="str">
        <x:v>o:/exile.*return/</x:v>
      </x:c>
      <x:c r="F42" s="26" t="str">
        <x:v>Wording pattern.</x:v>
      </x:c>
      <x:c r="G42" s="26" t="str">
        <x:v>Blink tag is semantic alternative.</x:v>
      </x:c>
      <x:c r="H42" s="26" t="str"/>
      <x:c r="I42" s="26" t="str">
        <x:v>P2</x:v>
      </x:c>
      <x:c r="J42" s="26" t="str">
        <x:v>Medium</x:v>
      </x:c>
    </x:row>
    <x:row r="43">
      <x:c r="A43" s="26" t="str">
        <x:v>IM-SF-039</x:v>
      </x:c>
      <x:c r="B43" s="26" t="str">
        <x:v>Regex</x:v>
      </x:c>
      <x:c r="C43" s="26" t="str">
        <x:v>activated abilities where sacrificing draws cards</x:v>
      </x:c>
      <x:c r="D43" s="26" t="str">
        <x:v>None</x:v>
      </x:c>
      <x:c r="E43" s="26" t="str">
        <x:v>o:/sacrifice.*:.*draw/</x:v>
      </x:c>
      <x:c r="F43" s="26" t="str">
        <x:v>Colon models activated ability cost/effect.</x:v>
      </x:c>
      <x:c r="G43" s="26" t="str"/>
      <x:c r="H43" s="26" t="str"/>
      <x:c r="I43" s="26" t="str">
        <x:v>P1</x:v>
      </x:c>
      <x:c r="J43" s="26" t="str">
        <x:v>High</x:v>
      </x:c>
    </x:row>
    <x:row r="44">
      <x:c r="A44" s="26" t="str">
        <x:v>IM-SF-040</x:v>
      </x:c>
      <x:c r="B44" s="26" t="str">
        <x:v>Regex</x:v>
      </x:c>
      <x:c r="C44" s="26" t="str">
        <x:v>names ending in dragon</x:v>
      </x:c>
      <x:c r="D44" s="26" t="str">
        <x:v>None</x:v>
      </x:c>
      <x:c r="E44" s="26" t="str">
        <x:v>name:/dragon$/</x:v>
      </x:c>
      <x:c r="F44" s="26" t="str">
        <x:v>Name regex with end anchor.</x:v>
      </x:c>
      <x:c r="G44" s="26" t="str"/>
      <x:c r="H44" s="26" t="str"/>
      <x:c r="I44" s="26" t="str">
        <x:v>P2</x:v>
      </x:c>
      <x:c r="J44" s="26" t="str">
        <x:v>High</x:v>
      </x:c>
    </x:row>
    <x:row r="45">
      <x:c r="A45" s="26" t="str">
        <x:v>IM-SF-041</x:v>
      </x:c>
      <x:c r="B45" s="26" t="str">
        <x:v>Exact Name</x:v>
      </x:c>
      <x:c r="C45" s="26" t="str">
        <x:v>show me Balance exactly</x:v>
      </x:c>
      <x:c r="D45" s="26" t="str">
        <x:v>None</x:v>
      </x:c>
      <x:c r="E45" s="26" t="str">
        <x:v>!Balance</x:v>
      </x:c>
      <x:c r="F45" s="26" t="str">
        <x:v>Exact-name intent.</x:v>
      </x:c>
      <x:c r="G45" s="26" t="str"/>
      <x:c r="H45" s="26" t="str"/>
      <x:c r="I45" s="26" t="str">
        <x:v>P1</x:v>
      </x:c>
      <x:c r="J45" s="26" t="str">
        <x:v>High</x:v>
      </x:c>
    </x:row>
    <x:row r="46">
      <x:c r="A46" s="26" t="str">
        <x:v>IM-SF-042</x:v>
      </x:c>
      <x:c r="B46" s="26" t="str">
        <x:v>Syntax Preserve</x:v>
      </x:c>
      <x:c r="C46" s="26" t="str">
        <x:v>id&lt;=wub t:creature mv&lt;=3 with flying</x:v>
      </x:c>
      <x:c r="D46" s="26" t="str">
        <x:v>Commander</x:v>
      </x:c>
      <x:c r="E46" s="26" t="str">
        <x:v>id&lt;=wub t:creature mv&lt;=3 kw:flying</x:v>
      </x:c>
      <x:c r="F46" s="26" t="str">
        <x:v>Preserve explicit valid syntax and translate remaining phrase.</x:v>
      </x:c>
      <x:c r="G46" s="26" t="str"/>
      <x:c r="H46" s="26" t="str">
        <x:v>rewrite id&lt;=wub as c:wub</x:v>
      </x:c>
      <x:c r="I46" s="26" t="str">
        <x:v>P0</x:v>
      </x:c>
      <x:c r="J46" s="26" t="str">
        <x:v>High</x:v>
      </x:c>
    </x:row>
    <x:row r="47">
      <x:c r="A47" s="26" t="str">
        <x:v>IM-SF-043</x:v>
      </x:c>
      <x:c r="B47" s="26" t="str">
        <x:v>Syntax Preserve</x:v>
      </x:c>
      <x:c r="C47" s="26" t="str">
        <x:v>otag:ramp under $4</x:v>
      </x:c>
      <x:c r="D47" s="26" t="str">
        <x:v>None</x:v>
      </x:c>
      <x:c r="E47" s="26" t="str">
        <x:v>otag:ramp usd&lt;4</x:v>
      </x:c>
      <x:c r="F47" s="26" t="str">
        <x:v>Preserve explicit functional tag.</x:v>
      </x:c>
      <x:c r="G47" s="26" t="str"/>
      <x:c r="H47" s="26" t="str"/>
      <x:c r="I47" s="26" t="str">
        <x:v>P0</x:v>
      </x:c>
      <x:c r="J47" s="26" t="str">
        <x:v>High</x:v>
      </x:c>
    </x:row>
    <x:row r="48">
      <x:c r="A48" s="26" t="str">
        <x:v>IM-SF-044</x:v>
      </x:c>
      <x:c r="B48" s="26" t="str">
        <x:v>Commander Role</x:v>
      </x:c>
      <x:c r="C48" s="26" t="str">
        <x:v>legendary creatures legal in commander</x:v>
      </x:c>
      <x:c r="D48" s="26" t="str">
        <x:v>Commander</x:v>
      </x:c>
      <x:c r="E48" s="26" t="str">
        <x:v>f:commander t:legendary t:creature</x:v>
      </x:c>
      <x:c r="F48" s="26" t="str">
        <x:v>User did not say 'can be commander'.</x:v>
      </x:c>
      <x:c r="G48" s="26" t="str"/>
      <x:c r="H48" s="26" t="str">
        <x:v>is:commander automatically</x:v>
      </x:c>
      <x:c r="I48" s="26" t="str">
        <x:v>P0</x:v>
      </x:c>
      <x:c r="J48" s="26" t="str">
        <x:v>High</x:v>
      </x:c>
    </x:row>
    <x:row r="49">
      <x:c r="A49" s="26" t="str">
        <x:v>IM-SF-045</x:v>
      </x:c>
      <x:c r="B49" s="26" t="str">
        <x:v>Commander Role</x:v>
      </x:c>
      <x:c r="C49" s="26" t="str">
        <x:v>creatures that can be my commander</x:v>
      </x:c>
      <x:c r="D49" s="26" t="str">
        <x:v>Commander</x:v>
      </x:c>
      <x:c r="E49" s="26" t="str">
        <x:v>is:commander t:creature</x:v>
      </x:c>
      <x:c r="F49" s="26" t="str">
        <x:v>Role intent explicit.</x:v>
      </x:c>
      <x:c r="G49" s="26" t="str"/>
      <x:c r="H49" s="26" t="str">
        <x:v>f:commander only</x:v>
      </x:c>
      <x:c r="I49" s="26" t="str">
        <x:v>P0</x:v>
      </x:c>
      <x:c r="J49" s="26" t="str">
        <x:v>High</x:v>
      </x:c>
    </x:row>
    <x:row r="50">
      <x:c r="A50" s="26" t="str">
        <x:v>IM-SF-046</x:v>
      </x:c>
      <x:c r="B50" s="26" t="str">
        <x:v>Result Control</x:v>
      </x:c>
      <x:c r="C50" s="26" t="str">
        <x:v>show every printing of fetchlands</x:v>
      </x:c>
      <x:c r="D50" s="26" t="str">
        <x:v>None</x:v>
      </x:c>
      <x:c r="E50" s="26" t="str">
        <x:v>is:fetchland unique:prints</x:v>
      </x:c>
      <x:c r="F50" s="26" t="str">
        <x:v>Result-control separated from filter.</x:v>
      </x:c>
      <x:c r="G50" s="26" t="str"/>
      <x:c r="H50" s="26" t="str"/>
      <x:c r="I50" s="26" t="str">
        <x:v>P1</x:v>
      </x:c>
      <x:c r="J50" s="26" t="str">
        <x:v>High</x:v>
      </x:c>
    </x:row>
    <x:row r="51">
      <x:c r="A51" s="26" t="str">
        <x:v>IM-SF-047</x:v>
      </x:c>
      <x:c r="B51" s="26" t="str">
        <x:v>Result Control</x:v>
      </x:c>
      <x:c r="C51" s="26" t="str">
        <x:v>most popular commander legal ramp</x:v>
      </x:c>
      <x:c r="D51" s="26" t="str">
        <x:v>Commander</x:v>
      </x:c>
      <x:c r="E51" s="26" t="str">
        <x:v>f:commander otag:ramp order:edhrec</x:v>
      </x:c>
      <x:c r="F51" s="26" t="str">
        <x:v>Popularity mapped to EDHREC sort, not subjective quality.</x:v>
      </x:c>
      <x:c r="G51" s="26" t="str"/>
      <x:c r="H51" s="26" t="str"/>
      <x:c r="I51" s="26" t="str">
        <x:v>P1</x:v>
      </x:c>
      <x:c r="J51" s="26" t="str">
        <x:v>Medium</x:v>
      </x:c>
    </x:row>
    <x:row r="52">
      <x:c r="A52" s="26" t="str">
        <x:v>IM-SF-048</x:v>
      </x:c>
      <x:c r="B52" s="26" t="str">
        <x:v>Art</x:v>
      </x:c>
      <x:c r="C52" s="26" t="str">
        <x:v>lands with squirrel art</x:v>
      </x:c>
      <x:c r="D52" s="26" t="str">
        <x:v>None</x:v>
      </x:c>
      <x:c r="E52" s="26" t="str">
        <x:v>t:land art:squirrel</x:v>
      </x:c>
      <x:c r="F52" s="26" t="str">
        <x:v>Art-tag intent explicit.</x:v>
      </x:c>
      <x:c r="G52" s="26" t="str"/>
      <x:c r="H52" s="26" t="str"/>
      <x:c r="I52" s="26" t="str">
        <x:v>P1</x:v>
      </x:c>
      <x:c r="J52" s="26" t="str">
        <x:v>High</x:v>
      </x:c>
    </x:row>
    <x:row r="53">
      <x:c r="A53" s="26" t="str">
        <x:v>IM-SF-049</x:v>
      </x:c>
      <x:c r="B53" s="26" t="str">
        <x:v>Flavor</x:v>
      </x:c>
      <x:c r="C53" s="26" t="str">
        <x:v>cards with Mishra in flavor text</x:v>
      </x:c>
      <x:c r="D53" s="26" t="str">
        <x:v>None</x:v>
      </x:c>
      <x:c r="E53" s="26" t="str">
        <x:v>ft:mishra</x:v>
      </x:c>
      <x:c r="F53" s="26" t="str">
        <x:v>Flavor domain explicit.</x:v>
      </x:c>
      <x:c r="G53" s="26" t="str"/>
      <x:c r="H53" s="26" t="str"/>
      <x:c r="I53" s="26" t="str">
        <x:v>P1</x:v>
      </x:c>
      <x:c r="J53" s="26" t="str">
        <x:v>High</x:v>
      </x:c>
    </x:row>
    <x:row r="54">
      <x:c r="A54" s="26" t="str">
        <x:v>IM-SF-050</x:v>
      </x:c>
      <x:c r="B54" s="26" t="str">
        <x:v>Archetype</x:v>
      </x:c>
      <x:c r="C54" s="26" t="str">
        <x:v>goodstuff cards in five color</x:v>
      </x:c>
      <x:c r="D54" s="26" t="str">
        <x:v>Commander</x:v>
      </x:c>
      <x:c r="E54" s="26" t="str">
        <x:v>f:commander id&lt;=wubrg</x:v>
      </x:c>
      <x:c r="F54" s="26" t="str">
        <x:v>Goodstuff is subjective and unresolved.</x:v>
      </x:c>
      <x:c r="G54" s="26" t="str">
        <x:v>Offer popularity/staple/role alternatives.</x:v>
      </x:c>
      <x:c r="H54" s="26" t="str">
        <x:v>otag:goodstuff invented</x:v>
      </x:c>
      <x:c r="I54" s="26" t="str">
        <x:v>P0</x:v>
      </x:c>
      <x:c r="J54" s="26" t="str">
        <x:v>Low</x:v>
      </x:c>
    </x:row>
    <x:row r="55">
      <x:c r="A55" s="26" t="str">
        <x:v>IM-SF-051</x:v>
      </x:c>
      <x:c r="B55" s="26" t="str">
        <x:v>Archetype</x:v>
      </x:c>
      <x:c r="C55" s="26" t="str">
        <x:v>stax pieces in Azorius</x:v>
      </x:c>
      <x:c r="D55" s="26" t="str">
        <x:v>Commander</x:v>
      </x:c>
      <x:c r="E55" s="26" t="str">
        <x:v>f:commander id&lt;=wu</x:v>
      </x:c>
      <x:c r="F55" s="26" t="str">
        <x:v>Stax is semantic composite unless allowlisted mapping exists.</x:v>
      </x:c>
      <x:c r="G55" s="26" t="str">
        <x:v>Offer taxes/resource denial/hatebears sub-intents.</x:v>
      </x:c>
      <x:c r="H55" s="26" t="str">
        <x:v>otag:stax unless verified</x:v>
      </x:c>
      <x:c r="I55" s="26" t="str">
        <x:v>P0</x:v>
      </x:c>
      <x:c r="J55" s="26" t="str">
        <x:v>Low</x:v>
      </x:c>
    </x:row>
    <x:row r="56">
      <x:c r="A56" s="26" t="str">
        <x:v>IM-SF-052</x:v>
      </x:c>
      <x:c r="B56" s="26" t="str">
        <x:v>Archetype</x:v>
      </x:c>
      <x:c r="C56" s="26" t="str">
        <x:v>superfriends support in Atraxa colors</x:v>
      </x:c>
      <x:c r="D56" s="26" t="str">
        <x:v>Commander</x:v>
      </x:c>
      <x:c r="E56" s="26" t="str">
        <x:v>f:commander id&lt;=wubg</x:v>
      </x:c>
      <x:c r="F56" s="26" t="str">
        <x:v>Support relation unresolved.</x:v>
      </x:c>
      <x:c r="G56" s="26" t="str">
        <x:v>Offer planeswalkers vs proliferate vs loyalty support.</x:v>
      </x:c>
      <x:c r="H56" s="26" t="str">
        <x:v>t:planeswalker only</x:v>
      </x:c>
      <x:c r="I56" s="26" t="str">
        <x:v>P0</x:v>
      </x:c>
      <x:c r="J56" s="26" t="str">
        <x:v>Low</x:v>
      </x:c>
    </x:row>
    <x:row r="57">
      <x:c r="A57" s="26" t="str">
        <x:v>IM-SF-053</x:v>
      </x:c>
      <x:c r="B57" s="26" t="str">
        <x:v>Archetype</x:v>
      </x:c>
      <x:c r="C57" s="26" t="str">
        <x:v>vehicles in Jeskai</x:v>
      </x:c>
      <x:c r="D57" s="26" t="str">
        <x:v>Commander</x:v>
      </x:c>
      <x:c r="E57" s="26" t="str">
        <x:v>f:commander id&lt;=urw t:vehicle</x:v>
      </x:c>
      <x:c r="F57" s="26" t="str">
        <x:v>Noun asks for Vehicle cards.</x:v>
      </x:c>
      <x:c r="G57" s="26" t="str"/>
      <x:c r="H57" s="26" t="str"/>
      <x:c r="I57" s="26" t="str">
        <x:v>P1</x:v>
      </x:c>
      <x:c r="J57" s="26" t="str">
        <x:v>High</x:v>
      </x:c>
    </x:row>
    <x:row r="58">
      <x:c r="A58" s="26" t="str">
        <x:v>IM-SF-054</x:v>
      </x:c>
      <x:c r="B58" s="26" t="str">
        <x:v>Archetype</x:v>
      </x:c>
      <x:c r="C58" s="26" t="str">
        <x:v>vehicle support in Jeskai</x:v>
      </x:c>
      <x:c r="D58" s="26" t="str">
        <x:v>Commander</x:v>
      </x:c>
      <x:c r="E58" s="26" t="str">
        <x:v>f:commander id&lt;=urw</x:v>
      </x:c>
      <x:c r="F58" s="26" t="str">
        <x:v>Support relationship unresolved.</x:v>
      </x:c>
      <x:c r="G58" s="26" t="str">
        <x:v>Offer Vehicles vs crew/payoff/enabler.</x:v>
      </x:c>
      <x:c r="H58" s="26" t="str">
        <x:v>t:vehicle only</x:v>
      </x:c>
      <x:c r="I58" s="26" t="str">
        <x:v>P1</x:v>
      </x:c>
      <x:c r="J58" s="26" t="str">
        <x:v>Low</x:v>
      </x:c>
    </x:row>
    <x:row r="59">
      <x:c r="A59" s="26" t="str">
        <x:v>IM-SF-055</x:v>
      </x:c>
      <x:c r="B59" s="26" t="str">
        <x:v>Ability</x:v>
      </x:c>
      <x:c r="C59" s="26" t="str">
        <x:v>cards with cycling</x:v>
      </x:c>
      <x:c r="D59" s="26" t="str">
        <x:v>None</x:v>
      </x:c>
      <x:c r="E59" s="26" t="str">
        <x:v>kw:cycling</x:v>
      </x:c>
      <x:c r="F59" s="26" t="str">
        <x:v>Keyword 'has cycling'.</x:v>
      </x:c>
      <x:c r="G59" s="26" t="str"/>
      <x:c r="H59" s="26" t="str">
        <x:v>o:cycling</x:v>
      </x:c>
      <x:c r="I59" s="26" t="str">
        <x:v>P0</x:v>
      </x:c>
      <x:c r="J59" s="26" t="str">
        <x:v>High</x:v>
      </x:c>
    </x:row>
    <x:row r="60">
      <x:c r="A60" s="26" t="str">
        <x:v>IM-SF-056</x:v>
      </x:c>
      <x:c r="B60" s="26" t="str">
        <x:v>Ability</x:v>
      </x:c>
      <x:c r="C60" s="26" t="str">
        <x:v>cards that mention flying</x:v>
      </x:c>
      <x:c r="D60" s="26" t="str">
        <x:v>None</x:v>
      </x:c>
      <x:c r="E60" s="26" t="str">
        <x:v>o:flying</x:v>
      </x:c>
      <x:c r="F60" s="26" t="str">
        <x:v>Explicitly says mention, so Oracle search is correct.</x:v>
      </x:c>
      <x:c r="G60" s="26" t="str"/>
      <x:c r="H60" s="26" t="str">
        <x:v>kw:flying</x:v>
      </x:c>
      <x:c r="I60" s="26" t="str">
        <x:v>P1</x:v>
      </x:c>
      <x:c r="J60" s="26" t="str">
        <x:v>High</x:v>
      </x:c>
    </x:row>
    <x:row r="61">
      <x:c r="A61" s="26" t="str">
        <x:v>IM-SF-057</x:v>
      </x:c>
      <x:c r="B61" s="26" t="str">
        <x:v>Ability</x:v>
      </x:c>
      <x:c r="C61" s="26" t="str">
        <x:v>cards with reminder text mentioning mill</x:v>
      </x:c>
      <x:c r="D61" s="26" t="str">
        <x:v>None</x:v>
      </x:c>
      <x:c r="E61" s="26" t="str">
        <x:v>fo:mill</x:v>
      </x:c>
      <x:c r="F61" s="26" t="str">
        <x:v>Reminder-text intent explicit.</x:v>
      </x:c>
      <x:c r="G61" s="26" t="str"/>
      <x:c r="H61" s="26" t="str">
        <x:v>o:mill only</x:v>
      </x:c>
      <x:c r="I61" s="26" t="str">
        <x:v>P1</x:v>
      </x:c>
      <x:c r="J61" s="26" t="str">
        <x:v>High</x:v>
      </x:c>
    </x:row>
    <x:row r="62">
      <x:c r="A62" s="26" t="str">
        <x:v>IM-SF-058</x:v>
      </x:c>
      <x:c r="B62" s="26" t="str">
        <x:v>Identity</x:v>
      </x:c>
      <x:c r="C62" s="26" t="str">
        <x:v>colorless cards for my mono blue commander deck</x:v>
      </x:c>
      <x:c r="D62" s="26" t="str">
        <x:v>Commander</x:v>
      </x:c>
      <x:c r="E62" s="26" t="str">
        <x:v>f:commander id&lt;=u id:c</x:v>
      </x:c>
      <x:c r="F62" s="26" t="str">
        <x:v>Explicit colorless result plus deck compatibility.</x:v>
      </x:c>
      <x:c r="G62" s="26" t="str">
        <x:v>Could simplify depending validated behavior; key is preserve colorless intent.</x:v>
      </x:c>
      <x:c r="H62" s="26" t="str">
        <x:v>c:u</x:v>
      </x:c>
      <x:c r="I62" s="26" t="str">
        <x:v>P1</x:v>
      </x:c>
      <x:c r="J62" s="26" t="str">
        <x:v>Medium</x:v>
      </x:c>
    </x:row>
    <x:row r="63">
      <x:c r="A63" s="26" t="str">
        <x:v>IM-SF-059</x:v>
      </x:c>
      <x:c r="B63" s="26" t="str">
        <x:v>Negation</x:v>
      </x:c>
      <x:c r="C63" s="26" t="str">
        <x:v>mutate cards that aren't Human</x:v>
      </x:c>
      <x:c r="D63" s="26" t="str">
        <x:v>None</x:v>
      </x:c>
      <x:c r="E63" s="26" t="str">
        <x:v>-t:human kw:mutate</x:v>
      </x:c>
      <x:c r="F63" s="26" t="str">
        <x:v>Negate subtype + keyword.</x:v>
      </x:c>
      <x:c r="G63" s="26" t="str"/>
      <x:c r="H63" s="26" t="str">
        <x:v>not:human</x:v>
      </x:c>
      <x:c r="I63" s="26" t="str">
        <x:v>P1</x:v>
      </x:c>
      <x:c r="J63" s="26" t="str">
        <x:v>High</x:v>
      </x:c>
    </x:row>
  </x:sheetData>
  <x:mergeCells>
    <x:mergeCell ref="A1:J1"/>
    <x:mergeCell ref="A2:J2"/>
  </x:mergeCells>
  <x:conditionalFormatting sqref="I5:I63">
    <x:cfRule type="expression" dxfId="14" priority="1">
      <x:formula>I5="P0"</x:formula>
    </x:cfRule>
  </x:conditionalFormatting>
  <x:conditionalFormatting sqref="J5:J63">
    <x:cfRule type="expression" dxfId="15" priority="2">
      <x:formula>J5="Low"</x:formula>
    </x:cfRule>
  </x:conditionalFormatting>
  <x:pageMargins left="0.7" right="0.7" top="0.75" bottom="0.75" header="0.3" footer="0.3"/>
  <x:tableParts count="1">
    <x:tablePart xmlns:r="http://schemas.openxmlformats.org/officeDocument/2006/relationships" r:id="R9b999c265e95458f"/>
  </x:tableParts>
</x:worksheet>
</file>

<file path=xl/worksheets/sheet11.xml><?xml version="1.0" encoding="utf-8"?>
<x:worksheet xmlns:x="http://schemas.openxmlformats.org/spreadsheetml/2006/main">
  <x:sheetFormatPr defaultRowHeight="15"/>
  <x:cols>
    <x:col min="1" max="1" width="38" hidden="0" customWidth="1"/>
    <x:col min="2" max="2" width="28" hidden="0" customWidth="1"/>
    <x:col min="3" max="3" width="54" hidden="0" customWidth="1"/>
    <x:col min="4" max="4" width="58" hidden="0" customWidth="1"/>
    <x:col min="5" max="5" width="16" hidden="0" customWidth="1"/>
    <x:col min="6" max="6" width="50" hidden="0" customWidth="1"/>
  </x:cols>
  <x:sheetData>
    <x:row r="1" ht="28" customHeight="1">
      <x:c r="A1" s="33" t="str">
        <x:v>SOURCE RECONCILIATION &amp; SYNTAX CLEANUP</x:v>
      </x:c>
      <x:c r="B1" s="33"/>
      <x:c r="C1" s="33"/>
      <x:c r="D1" s="33"/>
      <x:c r="E1" s="33"/>
      <x:c r="F1" s="33"/>
    </x:row>
    <x:row r="2" ht="30" customHeight="1">
      <x:c r="A2" s="35" t="str">
        <x:v>Specific places where community guides, source spreadsheets, or shorthand can produce misleading production behavior. This sheet is the anti-drift / anti-guessing layer.</x:v>
      </x:c>
      <x:c r="B2" s="35"/>
      <x:c r="C2" s="35"/>
      <x:c r="D2" s="35"/>
      <x:c r="E2" s="35"/>
      <x:c r="F2" s="35"/>
    </x:row>
    <x:row r="4" ht="28" customHeight="1">
      <x:c r="A4" s="39" t="str">
        <x:v>Source / Claim</x:v>
      </x:c>
      <x:c r="B4" s="39" t="str">
        <x:v>Issue Type</x:v>
      </x:c>
      <x:c r="C4" s="39" t="str">
        <x:v>Canonical Treatment</x:v>
      </x:c>
      <x:c r="D4" s="39" t="str">
        <x:v>Production Policy</x:v>
      </x:c>
      <x:c r="E4" s="39" t="str">
        <x:v>Status</x:v>
      </x:c>
      <x:c r="F4" s="39" t="str">
        <x:v>Source / Evidence</x:v>
      </x:c>
    </x:row>
    <x:row r="5">
      <x:c r="A5" s="26" t="str">
        <x:v>`ci:` / `commander:` for color identity</x:v>
      </x:c>
      <x:c r="B5" s="26" t="str">
        <x:v>Alias normalization</x:v>
      </x:c>
      <x:c r="C5" s="26" t="str">
        <x:v>Prefer `id:` / `identity:` in generated queries.</x:v>
      </x:c>
      <x:c r="D5" s="26" t="str">
        <x:v>Accept recognized aliases from users, normalize output to `id:`.</x:v>
      </x:c>
      <x:c r="E5" s="26" t="str">
        <x:v>Normalize</x:v>
      </x:c>
      <x:c r="F5" s="26" t="str">
        <x:v>https://scryfall.com/docs/syntax | https://edhrec.com/guides/guide-to-scryfall-syntax</x:v>
      </x:c>
    </x:row>
    <x:row r="6">
      <x:c r="A6" s="26" t="str">
        <x:v>`cmc` for mana value</x:v>
      </x:c>
      <x:c r="B6" s="26" t="str">
        <x:v>Legacy terminology</x:v>
      </x:c>
      <x:c r="C6" s="26" t="str">
        <x:v>Prefer `mv` / `manavalue`.</x:v>
      </x:c>
      <x:c r="D6" s="26" t="str">
        <x:v>Accept legacy input if supported, emit `mv`.</x:v>
      </x:c>
      <x:c r="E6" s="26" t="str">
        <x:v>Normalize</x:v>
      </x:c>
      <x:c r="F6" s="26" t="str">
        <x:v>https://scryfall.com/docs/syntax</x:v>
      </x:c>
    </x:row>
    <x:row r="7">
      <x:c r="A7" s="26" t="str">
        <x:v>`legal:commander` / `legal:edh`</x:v>
      </x:c>
      <x:c r="B7" s="26" t="str">
        <x:v>Community/compatibility form</x:v>
      </x:c>
      <x:c r="C7" s="26" t="str">
        <x:v>Prefer `f:commander`.</x:v>
      </x:c>
      <x:c r="D7" s="26" t="str">
        <x:v>Generated production queries should use official format syntax first.</x:v>
      </x:c>
      <x:c r="E7" s="26" t="str">
        <x:v>Normalize</x:v>
      </x:c>
      <x:c r="F7" s="26" t="str">
        <x:v>https://scryfall.com/docs/syntax | https://edhrec.com/guides/guide-to-scryfall-syntax</x:v>
      </x:c>
    </x:row>
    <x:row r="8">
      <x:c r="A8" s="26" t="str">
        <x:v>`re:` as a generic regex operator</x:v>
      </x:c>
      <x:c r="B8" s="26" t="str">
        <x:v>Unsupported teaching model</x:v>
      </x:c>
      <x:c r="C8" s="26" t="str">
        <x:v>Use regex inside supported fields, e.g. `o:/.../`, `name:/.../`, `t:/.../`, `ft:/.../`.</x:v>
      </x:c>
      <x:c r="D8" s="26" t="str">
        <x:v>Do not generate a generic `re:` prefix unless independently verified in current Scryfall.</x:v>
      </x:c>
      <x:c r="E8" s="26" t="str">
        <x:v>Remove</x:v>
      </x:c>
      <x:c r="F8" s="26" t="str">
        <x:v>https://scryfall.com/docs/regular-expressions</x:v>
      </x:c>
    </x:row>
    <x:row r="9">
      <x:c r="A9" s="26" t="str">
        <x:v>`*` as a general wildcard outside regex</x:v>
      </x:c>
      <x:c r="B9" s="26" t="str">
        <x:v>Ambiguous/outdated shorthand</x:v>
      </x:c>
      <x:c r="C9" s="26" t="str">
        <x:v>Use `.*` inside a regex when arbitrary intervening text is intended.</x:v>
      </x:c>
      <x:c r="D9" s="26" t="str">
        <x:v>Do not teach bare `*` as a universal Scryfall wildcard.</x:v>
      </x:c>
      <x:c r="E9" s="26" t="str">
        <x:v>Remove</x:v>
      </x:c>
      <x:c r="F9" s="26" t="str">
        <x:v>https://scryfall.com/docs/regular-expressions</x:v>
      </x:c>
    </x:row>
    <x:row r="10">
      <x:c r="A10" s="26" t="str">
        <x:v>`in:foil`</x:v>
      </x:c>
      <x:c r="B10" s="26" t="str">
        <x:v>Scope/operator mismatch</x:v>
      </x:c>
      <x:c r="C10" s="26" t="str">
        <x:v>Use `is:foil` / `is:nonfoil` for foil availability.</x:v>
      </x:c>
      <x:c r="D10" s="26" t="str">
        <x:v>Reserve `in:` for documented historical membership/availability categories.</x:v>
      </x:c>
      <x:c r="E10" s="26" t="str">
        <x:v>Correct</x:v>
      </x:c>
      <x:c r="F10" s="26" t="str">
        <x:v>https://scryfall.com/docs/syntax</x:v>
      </x:c>
    </x:row>
    <x:row r="11">
      <x:c r="A11" s="26" t="str">
        <x:v>`border:extendedart`</x:v>
      </x:c>
      <x:c r="B11" s="26" t="str">
        <x:v>Treatment mismatch</x:v>
      </x:c>
      <x:c r="C11" s="26" t="str">
        <x:v>Official border search is for border values such as black/white/silver/borderless.</x:v>
      </x:c>
      <x:c r="D11" s="26" t="str">
        <x:v>Do not generate `border:extendedart`; keep extended-art treatment behind a separately verified selector.</x:v>
      </x:c>
      <x:c r="E11" s="26" t="str">
        <x:v>Review</x:v>
      </x:c>
      <x:c r="F11" s="26" t="str">
        <x:v>https://scryfall.com/docs/syntax</x:v>
      </x:c>
    </x:row>
    <x:row r="12">
      <x:c r="A12" s="26" t="str">
        <x:v>`is:adventure`</x:v>
      </x:c>
      <x:c r="B12" s="26" t="str">
        <x:v>Unverified shortcut</x:v>
      </x:c>
      <x:c r="C12" s="26" t="str">
        <x:v>Adventure is a spell type; `t:adventure` is the safe native taxonomy search.</x:v>
      </x:c>
      <x:c r="D12" s="26" t="str">
        <x:v>Do not invent `is:` shortcuts from card concepts.</x:v>
      </x:c>
      <x:c r="E12" s="26" t="str">
        <x:v>Correct</x:v>
      </x:c>
      <x:c r="F12" s="26" t="str">
        <x:v>https://scryfall.com/docs/syntax</x:v>
      </x:c>
    </x:row>
    <x:row r="13">
      <x:c r="A13" s="26" t="str">
        <x:v>`is:firstprinting`</x:v>
      </x:c>
      <x:c r="B13" s="26" t="str">
        <x:v>Unverified shortcut</x:v>
      </x:c>
      <x:c r="C13" s="26" t="str">
        <x:v>Use documented reprint/newness operators such as `not:reprint` for cards new in their set.</x:v>
      </x:c>
      <x:c r="D13" s="26" t="str">
        <x:v>Keep unsupported convenience forms out of production allowlist until verified.</x:v>
      </x:c>
      <x:c r="E13" s="26" t="str">
        <x:v>Review</x:v>
      </x:c>
      <x:c r="F13" s="26" t="str">
        <x:v>https://scryfall.com/docs/syntax</x:v>
      </x:c>
    </x:row>
    <x:row r="14">
      <x:c r="A14" s="26" t="str">
        <x:v>`is:background`</x:v>
      </x:c>
      <x:c r="B14" s="26" t="str">
        <x:v>Unverified shortcut</x:v>
      </x:c>
      <x:c r="C14" s="26" t="str">
        <x:v>Background is an enchantment subtype; `t:background` is the safe type search.</x:v>
      </x:c>
      <x:c r="D14" s="26" t="str">
        <x:v>Commander-role interpretation may need an additional eligibility rule.</x:v>
      </x:c>
      <x:c r="E14" s="26" t="str">
        <x:v>Review</x:v>
      </x:c>
      <x:c r="F14" s="26" t="str">
        <x:v>https://scryfall.com/docs/syntax</x:v>
      </x:c>
    </x:row>
    <x:row r="15">
      <x:c r="A15" s="26" t="str">
        <x:v>`function:boardwipe` / arbitrary otag spelling</x:v>
      </x:c>
      <x:c r="B15" s="26" t="str">
        <x:v>Tag vocabulary drift</x:v>
      </x:c>
      <x:c r="C15" s="26" t="str">
        <x:v>Functional tags require exact Tagger vocabulary.</x:v>
      </x:c>
      <x:c r="D15" s="26" t="str">
        <x:v>Maintain an allowlist with last-verified date; provide Oracle fallback where feasible.</x:v>
      </x:c>
      <x:c r="E15" s="26" t="str">
        <x:v>Review</x:v>
      </x:c>
      <x:c r="F15" s="26" t="str">
        <x:v>https://scryfall.com/docs/tagger-tags</x:v>
      </x:c>
    </x:row>
    <x:row r="16">
      <x:c r="A16" s="26" t="str">
        <x:v>`o:flying` when user means 'has flying'</x:v>
      </x:c>
      <x:c r="B16" s="26" t="str">
        <x:v>Semantic mismatch</x:v>
      </x:c>
      <x:c r="C16" s="26" t="str">
        <x:v>Use `kw:flying`.</x:v>
      </x:c>
      <x:c r="D16" s="26" t="str">
        <x:v>Native keyword fields outrank Oracle word matching.</x:v>
      </x:c>
      <x:c r="E16" s="26" t="str">
        <x:v>Correct</x:v>
      </x:c>
      <x:c r="F16" s="26" t="str">
        <x:v>https://scryfall.com/docs/syntax</x:v>
      </x:c>
    </x:row>
    <x:row r="17">
      <x:c r="A17" s="26" t="str">
        <x:v>`c:ub` when user means 'fits in a Dimir Commander deck'</x:v>
      </x:c>
      <x:c r="B17" s="26" t="str">
        <x:v>Color-vs-identity mismatch</x:v>
      </x:c>
      <x:c r="C17" s="26" t="str">
        <x:v>Use `id&lt;=ub` for Commander-compatible card pool.</x:v>
      </x:c>
      <x:c r="D17" s="26" t="str">
        <x:v>Color semantics must be context-aware and disclosed.</x:v>
      </x:c>
      <x:c r="E17" s="26" t="str">
        <x:v>Correct</x:v>
      </x:c>
      <x:c r="F17" s="26" t="str">
        <x:v>https://scryfall.com/docs/syntax</x:v>
      </x:c>
    </x:row>
    <x:row r="18">
      <x:c r="A18" s="26" t="str">
        <x:v>`id=ub` when user means 'cards I can play in Dimir'</x:v>
      </x:c>
      <x:c r="B18" s="26" t="str">
        <x:v>Exact-vs-subset mismatch</x:v>
      </x:c>
      <x:c r="C18" s="26" t="str">
        <x:v>Use `id&lt;=ub`.</x:v>
      </x:c>
      <x:c r="D18" s="26" t="str">
        <x:v>Reserve `=` for exact identity.</x:v>
      </x:c>
      <x:c r="E18" s="26" t="str">
        <x:v>Correct</x:v>
      </x:c>
      <x:c r="F18" s="26" t="str">
        <x:v>https://scryfall.com/docs/syntax</x:v>
      </x:c>
    </x:row>
    <x:row r="19">
      <x:c r="A19" s="26" t="str">
        <x:v>`set:x` when user means 'ever printed in x'</x:v>
      </x:c>
      <x:c r="B19" s="26" t="str">
        <x:v>Printing-vs-card-history mismatch</x:v>
      </x:c>
      <x:c r="C19" s="26" t="str">
        <x:v>Use `in:x` for historical membership.</x:v>
      </x:c>
      <x:c r="D19" s="26" t="str">
        <x:v>Track whether the user is asking about current printings or card history.</x:v>
      </x:c>
      <x:c r="E19" s="26" t="str">
        <x:v>Correct</x:v>
      </x:c>
      <x:c r="F19" s="26" t="str">
        <x:v>https://scryfall.com/docs/syntax</x:v>
      </x:c>
    </x:row>
    <x:row r="20">
      <x:c r="A20" s="26" t="str">
        <x:v>Literal Color Pie phrase -&gt; `o:"phrase"`</x:v>
      </x:c>
      <x:c r="B20" s="26" t="str">
        <x:v>Source-model mismatch</x:v>
      </x:c>
      <x:c r="C20" s="26" t="str">
        <x:v>Color Pie labels are semantic design concepts, not necessarily Oracle wording.</x:v>
      </x:c>
      <x:c r="D20" s="26" t="str">
        <x:v>Route through curated semantic mappings or mark unresolved.</x:v>
      </x:c>
      <x:c r="E20" s="26" t="str">
        <x:v>Correct</x:v>
      </x:c>
      <x:c r="F20" s="26" t="str">
        <x:v>Workbook source corpus + master-class policy</x:v>
      </x:c>
    </x:row>
    <x:row r="21">
      <x:c r="A21" s="26" t="str">
        <x:v>Deck archetype name -&gt; `otag:"Human Label"`</x:v>
      </x:c>
      <x:c r="B21" s="26" t="str">
        <x:v>Tag vocabulary mismatch</x:v>
      </x:c>
      <x:c r="C21" s="26" t="str">
        <x:v>Tagger uses exact governed tag names, often slug-like and not identical to archetype labels.</x:v>
      </x:c>
      <x:c r="D21" s="26" t="str">
        <x:v>Never synthesize otags by lowercasing/reformatting an archetype name.</x:v>
      </x:c>
      <x:c r="E21" s="26" t="str">
        <x:v>Correct</x:v>
      </x:c>
      <x:c r="F21" s="26" t="str">
        <x:v>https://scryfall.com/docs/tagger-tags</x:v>
      </x:c>
    </x:row>
    <x:row r="22">
      <x:c r="A22" s="26" t="str">
        <x:v>`def&gt;=5` for Battle defense</x:v>
      </x:c>
      <x:c r="B22" s="26" t="str">
        <x:v>Not present in supplied canonical syntax capture</x:v>
      </x:c>
      <x:c r="C22" s="26" t="str">
        <x:v>Keep as a pending capability until current official behavior is verified.</x:v>
      </x:c>
      <x:c r="D22" s="26" t="str">
        <x:v>Do not make production parser dependent on it yet.</x:v>
      </x:c>
      <x:c r="E22" s="26" t="str">
        <x:v>Review</x:v>
      </x:c>
      <x:c r="F22" s="26" t="str">
        <x:v>https://scryfall.com/docs/syntax</x:v>
      </x:c>
    </x:row>
  </x:sheetData>
  <x:mergeCells>
    <x:mergeCell ref="A1:F1"/>
    <x:mergeCell ref="A2:F2"/>
  </x:mergeCells>
  <x:pageMargins left="0.7" right="0.7" top="0.75" bottom="0.75" header="0.3" footer="0.3"/>
  <x:tableParts count="1">
    <x:tablePart xmlns:r="http://schemas.openxmlformats.org/officeDocument/2006/relationships" r:id="R65693016a3b249b9"/>
  </x:tableParts>
</x:worksheet>
</file>

<file path=xl/worksheets/sheet12.xml><?xml version="1.0" encoding="utf-8"?>
<x:worksheet xmlns:x="http://schemas.openxmlformats.org/spreadsheetml/2006/main">
  <x:sheetFormatPr defaultRowHeight="15"/>
  <x:cols>
    <x:col min="1" max="1" width="10" hidden="0" customWidth="1"/>
    <x:col min="2" max="2" width="30" hidden="0" customWidth="1"/>
    <x:col min="3" max="3" width="52" hidden="0" customWidth="1"/>
    <x:col min="4" max="4" width="32" hidden="0" customWidth="1"/>
    <x:col min="5" max="5" width="48" hidden="0" customWidth="1"/>
    <x:col min="6" max="6" width="48" hidden="0" customWidth="1"/>
    <x:col min="7" max="7" width="48" hidden="0" customWidth="1"/>
    <x:col min="8" max="8" width="16" hidden="0" customWidth="1"/>
  </x:cols>
  <x:sheetData>
    <x:row r="1" ht="30" customHeight="1">
      <x:c r="A1" s="11" t="str">
        <x:v>SOURCES, AUTHORITY &amp; GOVERNANCE</x:v>
      </x:c>
      <x:c r="B1" s="11"/>
      <x:c r="C1" s="11"/>
      <x:c r="D1" s="11"/>
      <x:c r="E1" s="11"/>
      <x:c r="F1" s="11"/>
      <x:c r="G1" s="11"/>
      <x:c r="H1" s="11"/>
    </x:row>
    <x:row r="2" ht="32" customHeight="1">
      <x:c r="A2" s="15" t="str">
        <x:v>Source authority and parser governance for keeping Implicit Maze accurate as Scryfall, Tagger, Magic rules vocabulary, and community terminology evolve.</x:v>
      </x:c>
      <x:c r="B2" s="15"/>
      <x:c r="C2" s="15"/>
      <x:c r="D2" s="15"/>
      <x:c r="E2" s="15"/>
      <x:c r="F2" s="15"/>
      <x:c r="G2" s="15"/>
      <x:c r="H2" s="15"/>
    </x:row>
    <x:row r="4">
      <x:c r="A4" s="20" t="str">
        <x:v>Priority</x:v>
      </x:c>
      <x:c r="B4" s="20" t="str">
        <x:v>Source</x:v>
      </x:c>
      <x:c r="C4" s="20" t="str">
        <x:v>URL</x:v>
      </x:c>
      <x:c r="D4" s="20" t="str">
        <x:v>Authority Role</x:v>
      </x:c>
      <x:c r="E4" s="20" t="str">
        <x:v>Use In Implicit Maze</x:v>
      </x:c>
      <x:c r="F4" s="20" t="str">
        <x:v>Known Limitation</x:v>
      </x:c>
      <x:c r="G4" s="20" t="str">
        <x:v>Maintenance Rule</x:v>
      </x:c>
      <x:c r="H4" s="20" t="str">
        <x:v>Reviewed</x:v>
      </x:c>
    </x:row>
    <x:row r="5">
      <x:c r="A5" s="31" t="n">
        <x:v>1</x:v>
      </x:c>
      <x:c r="B5" s="31" t="str">
        <x:v>Scryfall Search Reference</x:v>
      </x:c>
      <x:c r="C5" s="31" t="str">
        <x:v>https://scryfall.com/docs/syntax</x:v>
      </x:c>
      <x:c r="D5" s="31" t="str">
        <x:v>Authoritative syntax manual</x:v>
      </x:c>
      <x:c r="E5" s="31" t="str">
        <x:v>Canonical operators, aliases, comparisons, result controls</x:v>
      </x:c>
      <x:c r="F5" s="31" t="str">
        <x:v>Live site may evolve; automated fetch can be blocked</x:v>
      </x:c>
      <x:c r="G5" s="31" t="str">
        <x:v>Reconcile parser allowlist against this source before major releases</x:v>
      </x:c>
      <x:c r="H5" s="31" t="str">
        <x:v>2026-08-21</x:v>
      </x:c>
    </x:row>
    <x:row r="6">
      <x:c r="A6" s="31" t="n">
        <x:v>1</x:v>
      </x:c>
      <x:c r="B6" s="31" t="str">
        <x:v>Scryfall Regular Expressions</x:v>
      </x:c>
      <x:c r="C6" s="31" t="str">
        <x:v>https://scryfall.com/docs/regular-expressions</x:v>
      </x:c>
      <x:c r="D6" s="31" t="str">
        <x:v>Authoritative Scryfall regex behavior</x:v>
      </x:c>
      <x:c r="E6" s="31" t="str">
        <x:v>Supported regex fields and Scryfall-specific patterns</x:v>
      </x:c>
      <x:c r="F6" s="31" t="str">
        <x:v>Regex is wording-based, not semantic completeness</x:v>
      </x:c>
      <x:c r="G6" s="31" t="str">
        <x:v>Keep regex templates versioned and tested</x:v>
      </x:c>
      <x:c r="H6" s="31" t="str">
        <x:v>2026-08-21</x:v>
      </x:c>
    </x:row>
    <x:row r="7">
      <x:c r="A7" s="31" t="n">
        <x:v>1</x:v>
      </x:c>
      <x:c r="B7" s="31" t="str">
        <x:v>Scryfall Tagger Tags</x:v>
      </x:c>
      <x:c r="C7" s="31" t="str">
        <x:v>https://scryfall.com/docs/tagger-tags</x:v>
      </x:c>
      <x:c r="D7" s="31" t="str">
        <x:v>Authoritative Tagger vocabulary surface</x:v>
      </x:c>
      <x:c r="E7" s="31" t="str">
        <x:v>Exact functional/art tag names and semantic search</x:v>
      </x:c>
      <x:c r="F7" s="31" t="str">
        <x:v>Community-maintained and may evolve/incomplete</x:v>
      </x:c>
      <x:c r="G7" s="31" t="str">
        <x:v>Only production-generate allowlisted tags with last-verified date</x:v>
      </x:c>
      <x:c r="H7" s="31" t="str">
        <x:v>2026-08-21</x:v>
      </x:c>
    </x:row>
    <x:row r="8">
      <x:c r="A8" s="31" t="n">
        <x:v>1</x:v>
      </x:c>
      <x:c r="B8" s="31" t="str">
        <x:v>Scryfall Advanced Search</x:v>
      </x:c>
      <x:c r="C8" s="31" t="str">
        <x:v>https://scryfall.com/advanced</x:v>
      </x:c>
      <x:c r="D8" s="31" t="str">
        <x:v>Official visual query builder</x:v>
      </x:c>
      <x:c r="E8" s="31" t="str">
        <x:v>Useful for manual verification and operator discovery</x:v>
      </x:c>
      <x:c r="F8" s="31" t="str">
        <x:v>Does not replace parser governance</x:v>
      </x:c>
      <x:c r="G8" s="31" t="str">
        <x:v>Use as QA aid for unfamiliar filters</x:v>
      </x:c>
      <x:c r="H8" s="31" t="str">
        <x:v>2026-08-21</x:v>
      </x:c>
    </x:row>
    <x:row r="9">
      <x:c r="A9" s="31" t="n">
        <x:v>2</x:v>
      </x:c>
      <x:c r="B9" s="31" t="str">
        <x:v>EDHREC Guide to Scryfall Syntax</x:v>
      </x:c>
      <x:c r="C9" s="31" t="str">
        <x:v>https://edhrec.com/guides/guide-to-scryfall-syntax</x:v>
      </x:c>
      <x:c r="D9" s="31" t="str">
        <x:v>Commander-oriented teaching/examples</x:v>
      </x:c>
      <x:c r="E9" s="31" t="str">
        <x:v>Commander language, otag workflows, deckbuilding examples</x:v>
      </x:c>
      <x:c r="F9" s="31" t="str">
        <x:v>Secondary source; can use aliases/terminology not chosen as canonical</x:v>
      </x:c>
      <x:c r="G9" s="31" t="str">
        <x:v>Use for UX examples; official docs win on syntax conflicts</x:v>
      </x:c>
      <x:c r="H9" s="31" t="str">
        <x:v>2026-08-21</x:v>
      </x:c>
    </x:row>
    <x:row r="10">
      <x:c r="A10" s="31" t="n">
        <x:v>2</x:v>
      </x:c>
      <x:c r="B10" s="31" t="str">
        <x:v>Lucky Paper Regex Guide</x:v>
      </x:c>
      <x:c r="C10" s="31" t="str">
        <x:v>https://luckypaper.co/articles/regular-expressions/</x:v>
      </x:c>
      <x:c r="D10" s="31" t="str">
        <x:v>High-quality Scryfall-specific regex patterns</x:v>
      </x:c>
      <x:c r="E10" s="31" t="str">
        <x:v>Practical wildcard, anchors, boundaries, lookarounds, Magic templating</x:v>
      </x:c>
      <x:c r="F10" s="31" t="str">
        <x:v>Examples are patterns, not semantic guarantees</x:v>
      </x:c>
      <x:c r="G10" s="31" t="str">
        <x:v>Promote only tested templates into production library</x:v>
      </x:c>
      <x:c r="H10" s="31" t="str">
        <x:v>2026-08-21</x:v>
      </x:c>
    </x:row>
    <x:row r="11">
      <x:c r="A11" s="31" t="n">
        <x:v>3</x:v>
      </x:c>
      <x:c r="B11" s="31" t="str">
        <x:v>Reddit Scryfall Guide</x:v>
      </x:c>
      <x:c r="C11" s="31" t="str">
        <x:v>https://www.reddit.com/r/magicTCG/comments/1ib0i7l/guide_how_to_use_scryfall_to_do_basically/</x:v>
      </x:c>
      <x:c r="D11" s="31" t="str">
        <x:v>Community field usage</x:v>
      </x:c>
      <x:c r="E11" s="31" t="str">
        <x:v>Player language, aliases, practical edge cases</x:v>
      </x:c>
      <x:c r="F11" s="31" t="str">
        <x:v>Community posts can be stale or wrong</x:v>
      </x:c>
      <x:c r="G11" s="31" t="str">
        <x:v>Use for vocabulary discovery, never as sole syntax authority</x:v>
      </x:c>
      <x:c r="H11" s="31" t="str">
        <x:v>2026-08-21</x:v>
      </x:c>
    </x:row>
    <x:row r="12">
      <x:c r="A12" s="31" t="n">
        <x:v>3</x:v>
      </x:c>
      <x:c r="B12" s="31" t="str">
        <x:v>OffMeta Syntax Reference</x:v>
      </x:c>
      <x:c r="C12" s="31" t="str">
        <x:v>https://offmeta.app/docs/syntax</x:v>
      </x:c>
      <x:c r="D12" s="31" t="str">
        <x:v>Contemporary natural-language/Scryfall translation examples</x:v>
      </x:c>
      <x:c r="E12" s="31" t="str">
        <x:v>Useful comparison for player-language mappings and current tag examples</x:v>
      </x:c>
      <x:c r="F12" s="31" t="str">
        <x:v>Third-party implementation choices are not Scryfall authority</x:v>
      </x:c>
      <x:c r="G12" s="31" t="str">
        <x:v>Use only as secondary validation for UX patterns</x:v>
      </x:c>
      <x:c r="H12" s="31" t="str">
        <x:v>2026-08-21</x:v>
      </x:c>
    </x:row>
    <x:row r="15">
      <x:c r="A15" s="20" t="str">
        <x:v>Rule ID</x:v>
      </x:c>
      <x:c r="B15" s="20" t="str">
        <x:v>Governance Rule</x:v>
      </x:c>
      <x:c r="C15" s="20" t="str">
        <x:v>Why It Exists</x:v>
      </x:c>
      <x:c r="D15" s="20" t="str">
        <x:v>Implementation Requirement</x:v>
      </x:c>
      <x:c r="E15" s="20" t="str">
        <x:v>QA Evidence</x:v>
      </x:c>
    </x:row>
    <x:row r="16">
      <x:c r="A16" s="31" t="str">
        <x:v>GOV-01</x:v>
      </x:c>
      <x:c r="B16" s="31" t="str">
        <x:v>Native field before regex</x:v>
      </x:c>
      <x:c r="C16" s="31" t="str">
        <x:v>Native operators are clearer and less wording-sensitive.</x:v>
      </x:c>
      <x:c r="D16" s="31" t="str">
        <x:v>Try type/keyword/color/mana/format/etc. before regex.</x:v>
      </x:c>
      <x:c r="E16" s="31" t="str">
        <x:v>Eval cases show kw:flying vs o:flying and t:elf vs o:elf.</x:v>
      </x:c>
    </x:row>
    <x:row r="17">
      <x:c r="A17" s="31" t="str">
        <x:v>GOV-02</x:v>
      </x:c>
      <x:c r="B17" s="31" t="str">
        <x:v>Semantic tag before literal text when user asks for function</x:v>
      </x:c>
      <x:c r="C17" s="31" t="str">
        <x:v>Functional meaning often spans many Oracle templates.</x:v>
      </x:c>
      <x:c r="D17" s="31" t="str">
        <x:v>Use only allowlisted Tagger tags; keep fallback recipes.</x:v>
      </x:c>
      <x:c r="E17" s="31" t="str">
        <x:v>Ramp/removal/card-advantage evals.</x:v>
      </x:c>
    </x:row>
    <x:row r="18">
      <x:c r="A18" s="31" t="str">
        <x:v>GOV-03</x:v>
      </x:c>
      <x:c r="B18" s="31" t="str">
        <x:v>Never invent `is:` or `otag:` terms</x:v>
      </x:c>
      <x:c r="C18" s="31" t="str">
        <x:v>Scryfall conveniences and Tagger names are exact vocabularies.</x:v>
      </x:c>
      <x:c r="D18" s="31" t="str">
        <x:v>Unknown shortcuts stay unresolved until verified.</x:v>
      </x:c>
      <x:c r="E18" s="31" t="str">
        <x:v>Reconciliation sheet flags is:adventure / human-label otags.</x:v>
      </x:c>
    </x:row>
    <x:row r="19">
      <x:c r="A19" s="31" t="str">
        <x:v>GOV-04</x:v>
      </x:c>
      <x:c r="B19" s="31" t="str">
        <x:v>Separate card scope from printing scope</x:v>
      </x:c>
      <x:c r="C19" s="31" t="str">
        <x:v>Price, set printing, language, frame, foil are printing-level concerns.</x:v>
      </x:c>
      <x:c r="D19" s="31" t="str">
        <x:v>Parser schema stores printing/history constraints separately.</x:v>
      </x:c>
      <x:c r="E19" s="31" t="str">
        <x:v>Set vs in:, price, language evals.</x:v>
      </x:c>
    </x:row>
    <x:row r="20">
      <x:c r="A20" s="31" t="str">
        <x:v>GOV-05</x:v>
      </x:c>
      <x:c r="B20" s="31" t="str">
        <x:v>Commander context prefers color identity</x:v>
      </x:c>
      <x:c r="C20" s="31" t="str">
        <x:v>Playable card pool includes mono/colorless cards inside commander colors.</x:v>
      </x:c>
      <x:c r="D20" s="31" t="str">
        <x:v>Use id&lt;= for 'fits in/my deck' intent.</x:v>
      </x:c>
      <x:c r="E20" s="31" t="str">
        <x:v>Esper/Simic/Orzhov evals.</x:v>
      </x:c>
    </x:row>
    <x:row r="21">
      <x:c r="A21" s="31" t="str">
        <x:v>GOV-06</x:v>
      </x:c>
      <x:c r="B21" s="31" t="str">
        <x:v>Expose material assumptions</x:v>
      </x:c>
      <x:c r="C21" s="31" t="str">
        <x:v>Natural language can encode exact/subset/superset colors and subjective thresholds.</x:v>
      </x:c>
      <x:c r="D21" s="31" t="str">
        <x:v>Return assumption chips and alternatives, not silent guesses.</x:v>
      </x:c>
      <x:c r="E21" s="31" t="str">
        <x:v>ETB, cheap, budget, colors evals.</x:v>
      </x:c>
    </x:row>
    <x:row r="22">
      <x:c r="A22" s="31" t="str">
        <x:v>GOV-07</x:v>
      </x:c>
      <x:c r="B22" s="31" t="str">
        <x:v>Do not drop meaningful unresolved words</x:v>
      </x:c>
      <x:c r="C22" s="31" t="str">
        <x:v>Words like supports, good, synergizes, oppressive change intent.</x:v>
      </x:c>
      <x:c r="D22" s="31" t="str">
        <x:v>Track unresolved_terms; generate only deterministic subset if safe.</x:v>
      </x:c>
      <x:c r="E22" s="31" t="str">
        <x:v>Artifact support/goodstuff/stax evals.</x:v>
      </x:c>
    </x:row>
    <x:row r="23">
      <x:c r="A23" s="31" t="str">
        <x:v>GOV-08</x:v>
      </x:c>
      <x:c r="B23" s="31" t="str">
        <x:v>Preserve explicit valid syntax</x:v>
      </x:c>
      <x:c r="C23" s="31" t="str">
        <x:v>Experienced users may mix natural language with Scryfall tokens.</x:v>
      </x:c>
      <x:c r="D23" s="31" t="str">
        <x:v>Tokenize explicit operators first and leave them intact unless normalization is harmless.</x:v>
      </x:c>
      <x:c r="E23" s="31" t="str">
        <x:v>Syntax-preserve evals.</x:v>
      </x:c>
    </x:row>
    <x:row r="24">
      <x:c r="A24" s="31" t="str">
        <x:v>GOV-09</x:v>
      </x:c>
      <x:c r="B24" s="31" t="str">
        <x:v>Confidence measures parse fidelity, not card quality</x:v>
      </x:c>
      <x:c r="C24" s="31" t="str">
        <x:v>A correct query can still return weak cards and vice versa.</x:v>
      </x:c>
      <x:c r="D24" s="31" t="str">
        <x:v>Confidence is based on ambiguity and mapping quality.</x:v>
      </x:c>
      <x:c r="E24" s="31" t="str">
        <x:v>Parser schema confidence field.</x:v>
      </x:c>
    </x:row>
    <x:row r="25">
      <x:c r="A25" s="31" t="str">
        <x:v>GOV-10</x:v>
      </x:c>
      <x:c r="B25" s="31" t="str">
        <x:v>Tagger mappings are versioned allowlist entries</x:v>
      </x:c>
      <x:c r="C25" s="31" t="str">
        <x:v>Community tag vocabulary can change or be incomplete.</x:v>
      </x:c>
      <x:c r="D25" s="31" t="str">
        <x:v>Store exact tag, aliases, last verified date, fallback, source.</x:v>
      </x:c>
      <x:c r="E25" s="31" t="str">
        <x:v>Tag-dependent rows in Master_Lexicon.</x:v>
      </x:c>
    </x:row>
    <x:row r="26">
      <x:c r="A26" s="31" t="str">
        <x:v>GOV-11</x:v>
      </x:c>
      <x:c r="B26" s="31" t="str">
        <x:v>Subjective archetypes do not get fake precision</x:v>
      </x:c>
      <x:c r="C26" s="31" t="str">
        <x:v>Control/goodstuff/midrange/stax are strategic concepts, not single fields.</x:v>
      </x:c>
      <x:c r="D26" s="31" t="str">
        <x:v>Use curated composite recipes or refinement choices.</x:v>
      </x:c>
      <x:c r="E26" s="31" t="str">
        <x:v>Semantic status in Master_Lexicon.</x:v>
      </x:c>
    </x:row>
    <x:row r="27">
      <x:c r="A27" s="31" t="str">
        <x:v>GOV-12</x:v>
      </x:c>
      <x:c r="B27" s="31" t="str">
        <x:v>Every translation class gets positive and negative evals</x:v>
      </x:c>
      <x:c r="C27" s="31" t="str">
        <x:v>A parser can appear to work while overmatching.</x:v>
      </x:c>
      <x:c r="D27" s="31" t="str">
        <x:v>Test expected query plus Must NOT Generate behavior.</x:v>
      </x:c>
      <x:c r="E27" s="31" t="str">
        <x:v>QA_Evals sheet.</x:v>
      </x:c>
    </x:row>
  </x:sheetData>
  <x:mergeCells>
    <x:mergeCell ref="A1:H1"/>
    <x:mergeCell ref="A2:H2"/>
  </x:mergeCells>
  <x:pageMargins left="0.7" right="0.7" top="0.75" bottom="0.75" header="0.3" footer="0.3"/>
  <x:tableParts count="2">
    <x:tablePart xmlns:r="http://schemas.openxmlformats.org/officeDocument/2006/relationships" r:id="Rb174b852e1cc44c4"/>
    <x:tablePart xmlns:r="http://schemas.openxmlformats.org/officeDocument/2006/relationships" r:id="R88195568983a4587"/>
  </x:tableParts>
</x:worksheet>
</file>

<file path=xl/worksheets/sheet13.xml><?xml version="1.0" encoding="utf-8"?>
<x:worksheet xmlns:x="http://schemas.openxmlformats.org/spreadsheetml/2006/main">
  <x:sheetFormatPr defaultRowHeight="15"/>
  <x:cols>
    <x:col min="1" max="1" width="30" hidden="0" customWidth="1"/>
    <x:col min="2" max="2" width="16" hidden="0" customWidth="1"/>
    <x:col min="3" max="3" width="4" hidden="0" customWidth="1"/>
    <x:col min="4" max="4" width="34" hidden="0" customWidth="1"/>
    <x:col min="5" max="5" width="16" hidden="0" customWidth="1"/>
  </x:cols>
  <x:sheetData>
    <x:row r="1" ht="30" customHeight="1">
      <x:c r="A1" s="11" t="str">
        <x:v>MASTER SCRYFALL TRANSLATION — COVERAGE DASHBOARD</x:v>
      </x:c>
      <x:c r="B1" s="11"/>
      <x:c r="C1" s="11"/>
      <x:c r="D1" s="11"/>
      <x:c r="E1" s="11"/>
      <x:c r="F1" s="11"/>
      <x:c r="G1" s="11"/>
      <x:c r="H1" s="11"/>
    </x:row>
    <x:row r="2" ht="30" customHeight="1">
      <x:c r="A2" s="15" t="str">
        <x:v>Coverage summary for the enriched source corpus and Plain Reading QA assets. Counts are formula-driven from the master sheets.</x:v>
      </x:c>
      <x:c r="B2" s="15"/>
      <x:c r="C2" s="15"/>
      <x:c r="D2" s="15"/>
      <x:c r="E2" s="15"/>
      <x:c r="F2" s="15"/>
      <x:c r="G2" s="15"/>
      <x:c r="H2" s="15"/>
    </x:row>
    <x:row r="4">
      <x:c r="A4" s="20" t="str">
        <x:v>Corpus KPI</x:v>
      </x:c>
      <x:c r="B4" s="20" t="str">
        <x:v>Value</x:v>
      </x:c>
      <x:c r="C4" s="30"/>
      <x:c r="D4" s="20" t="str">
        <x:v>QA KPI</x:v>
      </x:c>
      <x:c r="E4" s="20" t="str">
        <x:v>Value</x:v>
      </x:c>
    </x:row>
    <x:row r="5">
      <x:c r="A5" s="45" t="str">
        <x:v>Master lexicon rows</x:v>
      </x:c>
      <x:c r="B5" s="45" t="n">
        <x:f>COUNTA(Master_Lexicon!C5:C1142)</x:f>
        <x:v>1138</x:v>
      </x:c>
      <x:c r="C5" s="30"/>
      <x:c r="D5" s="30" t="str">
        <x:v>Total evals</x:v>
      </x:c>
      <x:c r="E5" s="30" t="n">
        <x:f>COUNTA(QA_Evals!A5:A63)</x:f>
        <x:v>59</x:v>
      </x:c>
    </x:row>
    <x:row r="6">
      <x:c r="A6" s="45" t="str">
        <x:v>Production-ready</x:v>
      </x:c>
      <x:c r="B6" s="45" t="n">
        <x:f>COUNTIF(Master_Lexicon!N5:N1142,"Production-ready")</x:f>
        <x:v>663</x:v>
      </x:c>
      <x:c r="C6" s="30"/>
      <x:c r="D6" s="30" t="str">
        <x:v>P0 evals</x:v>
      </x:c>
      <x:c r="E6" s="30" t="n">
        <x:f>COUNTIF(QA_Evals!I5:I63,"P0")</x:f>
        <x:v>35</x:v>
      </x:c>
    </x:row>
    <x:row r="7">
      <x:c r="A7" s="45" t="str">
        <x:v>Needs review</x:v>
      </x:c>
      <x:c r="B7" s="45" t="n">
        <x:f>COUNTIF(Master_Lexicon!N5:N1142,"Review")</x:f>
        <x:v>283</x:v>
      </x:c>
      <x:c r="C7" s="30"/>
      <x:c r="D7" s="30" t="str">
        <x:v>High-tier expected</x:v>
      </x:c>
      <x:c r="E7" s="30" t="n">
        <x:f>COUNTIF(QA_Evals!J5:J63,"High")</x:f>
        <x:v>43</x:v>
      </x:c>
    </x:row>
    <x:row r="8">
      <x:c r="A8" s="45" t="str">
        <x:v>Semantic-only</x:v>
      </x:c>
      <x:c r="B8" s="45" t="n">
        <x:f>COUNTIF(Master_Lexicon!N5:N1142,"Semantic")</x:f>
        <x:v>192</x:v>
      </x:c>
      <x:c r="C8" s="30"/>
      <x:c r="D8" s="30" t="str">
        <x:v>Medium-tier expected</x:v>
      </x:c>
      <x:c r="E8" s="30" t="n">
        <x:f>COUNTIF(QA_Evals!J5:J63,"Medium")</x:f>
        <x:v>8</x:v>
      </x:c>
    </x:row>
    <x:row r="9">
      <x:c r="A9" s="45" t="str">
        <x:v>Operator catalog rows</x:v>
      </x:c>
      <x:c r="B9" s="45" t="n">
        <x:f>COUNTA(Operator_Catalog!B5:B135)</x:f>
        <x:v>131</x:v>
      </x:c>
      <x:c r="C9" s="30"/>
      <x:c r="D9" s="30" t="str">
        <x:v>Low-tier ambiguity</x:v>
      </x:c>
      <x:c r="E9" s="30" t="n">
        <x:f>COUNTIF(QA_Evals!J5:J63,"Low")</x:f>
        <x:v>8</x:v>
      </x:c>
    </x:row>
    <x:row r="10">
      <x:c r="A10" s="45" t="str">
        <x:v>Plain-language mappings</x:v>
      </x:c>
      <x:c r="B10" s="45" t="n">
        <x:f>COUNTA(Plain_Language!A5:A54)</x:f>
        <x:v>50</x:v>
      </x:c>
      <x:c r="C10" s="30"/>
      <x:c r="D10" s="30" t="str">
        <x:v>Reconciliation items</x:v>
      </x:c>
      <x:c r="E10" s="30" t="n">
        <x:f>COUNTA(Reconciliation!A5:A22)</x:f>
        <x:v>18</x:v>
      </x:c>
    </x:row>
    <x:row r="11">
      <x:c r="A11" s="45" t="str">
        <x:v>Query recipes</x:v>
      </x:c>
      <x:c r="B11" s="45" t="n">
        <x:f>COUNTA(Query_Recipes!A5:A61)</x:f>
        <x:v>57</x:v>
      </x:c>
      <x:c r="C11" s="30"/>
      <x:c r="D11" s="30" t="str">
        <x:v>Governance rules</x:v>
      </x:c>
      <x:c r="E11" s="30" t="n">
        <x:f>COUNTA(Sources_Governance!A16:A27)</x:f>
        <x:v>12</x:v>
      </x:c>
    </x:row>
    <x:row r="12">
      <x:c r="A12" s="45" t="str">
        <x:v>Regex recipes</x:v>
      </x:c>
      <x:c r="B12" s="45" t="n">
        <x:f>COUNTA(Regex_Library!A5:A36)</x:f>
        <x:v>32</x:v>
      </x:c>
      <x:c r="C12" s="30"/>
      <x:c r="D12" s="30" t="str">
        <x:v>Source references</x:v>
      </x:c>
      <x:c r="E12" s="30" t="n">
        <x:f>COUNTA(Sources_Governance!B5:B12)</x:f>
        <x:v>8</x:v>
      </x:c>
    </x:row>
    <x:row r="13">
      <x:c r="A13" s="30" t="str">
        <x:v>Tagger allowlist entries</x:v>
      </x:c>
      <x:c r="B13" s="30" t="n">
        <x:f>COUNTA(Tagger_Allowlist!A5:A21)</x:f>
        <x:v>17</x:v>
      </x:c>
      <x:c r="C13" s="30"/>
      <x:c r="D13" s="30"/>
      <x:c r="E13" s="30"/>
    </x:row>
    <x:row r="14">
      <x:c r="A14" s="30"/>
      <x:c r="B14" s="30"/>
      <x:c r="C14" s="30"/>
      <x:c r="D14" s="30"/>
      <x:c r="E14" s="30"/>
    </x:row>
    <x:row r="15">
      <x:c r="A15" s="20" t="str">
        <x:v>Translation Status</x:v>
      </x:c>
      <x:c r="B15" s="20" t="str">
        <x:v>Rows</x:v>
      </x:c>
      <x:c r="C15" s="30"/>
      <x:c r="D15" s="20" t="str">
        <x:v>Source Category</x:v>
      </x:c>
      <x:c r="E15" s="20" t="str">
        <x:v>Rows</x:v>
      </x:c>
    </x:row>
    <x:row r="16">
      <x:c r="A16" s="30" t="str">
        <x:v>Production-ready</x:v>
      </x:c>
      <x:c r="B16" s="30" t="n">
        <x:f>COUNTIF(Master_Lexicon!N5:N1142,"Production-ready")</x:f>
        <x:v>663</x:v>
      </x:c>
      <x:c r="C16" s="30"/>
      <x:c r="D16" s="30" t="str">
        <x:v>Ability Word</x:v>
      </x:c>
      <x:c r="E16" s="30" t="n">
        <x:f>COUNTIF(Master_Lexicon!B5:B1142,D16)</x:f>
        <x:v>79</x:v>
      </x:c>
    </x:row>
    <x:row r="17">
      <x:c r="A17" s="30" t="str">
        <x:v>Review</x:v>
      </x:c>
      <x:c r="B17" s="30" t="n">
        <x:f>COUNTIF(Master_Lexicon!N5:N1142,"Review")</x:f>
        <x:v>283</x:v>
      </x:c>
      <x:c r="C17" s="30"/>
      <x:c r="D17" s="30" t="str">
        <x:v>Ability Words</x:v>
      </x:c>
      <x:c r="E17" s="30" t="n">
        <x:f>COUNTIF(Master_Lexicon!B5:B1142,D17)</x:f>
        <x:v>25</x:v>
      </x:c>
    </x:row>
    <x:row r="18">
      <x:c r="A18" s="30" t="str">
        <x:v>Semantic</x:v>
      </x:c>
      <x:c r="B18" s="30" t="n">
        <x:f>COUNTIF(Master_Lexicon!N5:N1142,"Semantic")</x:f>
        <x:v>192</x:v>
      </x:c>
      <x:c r="C18" s="30"/>
      <x:c r="D18" s="30" t="str">
        <x:v>Artifact Type</x:v>
      </x:c>
      <x:c r="E18" s="30" t="n">
        <x:f>COUNTIF(Master_Lexicon!B5:B1142,D18)</x:f>
        <x:v>20</x:v>
      </x:c>
    </x:row>
    <x:row r="19">
      <x:c r="A19" s="30"/>
      <x:c r="B19" s="30"/>
      <x:c r="C19" s="30"/>
      <x:c r="D19" s="30" t="str">
        <x:v>Card Type</x:v>
      </x:c>
      <x:c r="E19" s="30" t="n">
        <x:f>COUNTIF(Master_Lexicon!B5:B1142,D19)</x:f>
        <x:v>19</x:v>
      </x:c>
    </x:row>
    <x:row r="20">
      <x:c r="A20" s="30"/>
      <x:c r="B20" s="30"/>
      <x:c r="C20" s="30"/>
      <x:c r="D20" s="30" t="str">
        <x:v>Color Pie Ability</x:v>
      </x:c>
      <x:c r="E20" s="30" t="n">
        <x:f>COUNTIF(Master_Lexicon!B5:B1142,D20)</x:f>
        <x:v>210</x:v>
      </x:c>
    </x:row>
    <x:row r="21">
      <x:c r="A21" s="30"/>
      <x:c r="B21" s="30"/>
      <x:c r="C21" s="30"/>
      <x:c r="D21" s="30" t="str">
        <x:v>Creature Type</x:v>
      </x:c>
      <x:c r="E21" s="30" t="n">
        <x:f>COUNTIF(Master_Lexicon!B5:B1142,D21)</x:f>
        <x:v>334</x:v>
      </x:c>
    </x:row>
    <x:row r="22">
      <x:c r="A22" s="30"/>
      <x:c r="B22" s="30"/>
      <x:c r="C22" s="30"/>
      <x:c r="D22" s="30" t="str">
        <x:v>Deck Archetype</x:v>
      </x:c>
      <x:c r="E22" s="30" t="n">
        <x:f>COUNTIF(Master_Lexicon!B5:B1142,D22)</x:f>
        <x:v>58</x:v>
      </x:c>
    </x:row>
    <x:row r="23">
      <x:c r="A23" s="30"/>
      <x:c r="B23" s="30"/>
      <x:c r="C23" s="30"/>
      <x:c r="D23" s="30" t="str">
        <x:v>Discontinued Keywords</x:v>
      </x:c>
      <x:c r="E23" s="30" t="n">
        <x:f>COUNTIF(Master_Lexicon!B5:B1142,D23)</x:f>
        <x:v>9</x:v>
      </x:c>
    </x:row>
    <x:row r="24">
      <x:c r="A24" s="30"/>
      <x:c r="B24" s="30"/>
      <x:c r="C24" s="30"/>
      <x:c r="D24" s="30" t="str">
        <x:v>Enchantment Type</x:v>
      </x:c>
      <x:c r="E24" s="30" t="n">
        <x:f>COUNTIF(Master_Lexicon!B5:B1142,D24)</x:f>
        <x:v>13</x:v>
      </x:c>
    </x:row>
    <x:row r="25">
      <x:c r="A25" s="30"/>
      <x:c r="B25" s="30"/>
      <x:c r="C25" s="30"/>
      <x:c r="D25" s="30" t="str">
        <x:v>Evergreen Keyword Actions</x:v>
      </x:c>
      <x:c r="E25" s="30" t="n">
        <x:f>COUNTIF(Master_Lexicon!B5:B1142,D25)</x:f>
        <x:v>8</x:v>
      </x:c>
    </x:row>
    <x:row r="26">
      <x:c r="A26" s="30"/>
      <x:c r="B26" s="30"/>
      <x:c r="C26" s="30"/>
      <x:c r="D26" s="30" t="str">
        <x:v>Evergreen Keywords</x:v>
      </x:c>
      <x:c r="E26" s="30" t="n">
        <x:f>COUNTIF(Master_Lexicon!B5:B1142,D26)</x:f>
        <x:v>18</x:v>
      </x:c>
    </x:row>
    <x:row r="27">
      <x:c r="A27" s="30"/>
      <x:c r="B27" s="30"/>
      <x:c r="C27" s="30"/>
      <x:c r="D27" s="30" t="str">
        <x:v>Keyword Action</x:v>
      </x:c>
      <x:c r="E27" s="30" t="n">
        <x:f>COUNTIF(Master_Lexicon!B5:B1142,D27)</x:f>
        <x:v>80</x:v>
      </x:c>
    </x:row>
    <x:row r="28">
      <x:c r="A28" s="30"/>
      <x:c r="B28" s="30"/>
      <x:c r="C28" s="30"/>
      <x:c r="D28" s="30" t="str">
        <x:v>Keyworded</x:v>
      </x:c>
      <x:c r="E28" s="30" t="n">
        <x:f>COUNTIF(Master_Lexicon!B5:B1142,D28)</x:f>
        <x:v>9</x:v>
      </x:c>
    </x:row>
    <x:row r="29">
      <x:c r="A29" s="30"/>
      <x:c r="B29" s="30"/>
      <x:c r="C29" s="30"/>
      <x:c r="D29" s="30" t="str">
        <x:v>Keywords from Expert-Level Expansions</x:v>
      </x:c>
      <x:c r="E29" s="30" t="n">
        <x:f>COUNTIF(Master_Lexicon!B5:B1142,D29)</x:f>
        <x:v>125</x:v>
      </x:c>
    </x:row>
    <x:row r="30">
      <x:c r="A30" s="30"/>
      <x:c r="B30" s="30"/>
      <x:c r="C30" s="30"/>
      <x:c r="D30" s="30" t="str">
        <x:v>Land Type</x:v>
      </x:c>
      <x:c r="E30" s="30" t="n">
        <x:f>COUNTIF(Master_Lexicon!B5:B1142,D30)</x:f>
        <x:v>18</x:v>
      </x:c>
    </x:row>
    <x:row r="31">
      <x:c r="A31" s="30"/>
      <x:c r="B31" s="30"/>
      <x:c r="C31" s="30"/>
      <x:c r="D31" s="30" t="str">
        <x:v>Planeswalker Type</x:v>
      </x:c>
      <x:c r="E31" s="30" t="n">
        <x:f>COUNTIF(Master_Lexicon!B5:B1142,D31)</x:f>
        <x:v>92</x:v>
      </x:c>
    </x:row>
    <x:row r="32">
      <x:c r="A32" s="30"/>
      <x:c r="B32" s="30"/>
      <x:c r="C32" s="30"/>
      <x:c r="D32" s="30" t="str">
        <x:v>Pseudo-evasion</x:v>
      </x:c>
      <x:c r="E32" s="30" t="n">
        <x:f>COUNTIF(Master_Lexicon!B5:B1142,D32)</x:f>
        <x:v>3</x:v>
      </x:c>
    </x:row>
    <x:row r="33">
      <x:c r="A33" s="30"/>
      <x:c r="B33" s="30"/>
      <x:c r="C33" s="30"/>
      <x:c r="D33" s="30" t="str">
        <x:v>Spell Type</x:v>
      </x:c>
      <x:c r="E33" s="30" t="n">
        <x:f>COUNTIF(Master_Lexicon!B5:B1142,D33)</x:f>
        <x:v>6</x:v>
      </x:c>
    </x:row>
    <x:row r="34">
      <x:c r="A34" s="30"/>
      <x:c r="B34" s="30"/>
      <x:c r="C34" s="30"/>
      <x:c r="D34" s="30" t="str">
        <x:v>Supertype</x:v>
      </x:c>
      <x:c r="E34" s="30" t="n">
        <x:f>COUNTIF(Master_Lexicon!B5:B1142,D34)</x:f>
        <x:v>7</x:v>
      </x:c>
    </x:row>
    <x:row r="35">
      <x:c r="A35" s="30"/>
      <x:c r="B35" s="30"/>
      <x:c r="C35" s="30"/>
      <x:c r="D35" s="30" t="str">
        <x:v>Unkeyworded (Colloquial)</x:v>
      </x:c>
      <x:c r="E35" s="30" t="n">
        <x:f>COUNTIF(Master_Lexicon!B5:B1142,D35)</x:f>
        <x:v>5</x:v>
      </x:c>
    </x:row>
    <x:row r="36">
      <x:c r="A36" s="30"/>
      <x:c r="B36" s="30"/>
      <x:c r="C36" s="30"/>
      <x:c r="D36" s="30"/>
      <x:c r="E36" s="30"/>
    </x:row>
    <x:row r="37">
      <x:c r="A37" s="30"/>
      <x:c r="B37" s="30"/>
      <x:c r="C37" s="30"/>
      <x:c r="D37" s="30"/>
      <x:c r="E37" s="30"/>
    </x:row>
    <x:row r="38">
      <x:c r="A38" s="30"/>
      <x:c r="B38" s="30"/>
      <x:c r="C38" s="30"/>
      <x:c r="D38" s="30"/>
      <x:c r="E38" s="30"/>
    </x:row>
    <x:row r="39">
      <x:c r="A39" s="30"/>
      <x:c r="B39" s="30"/>
      <x:c r="C39" s="30"/>
      <x:c r="D39" s="30"/>
      <x:c r="E39" s="30"/>
    </x:row>
    <x:row r="40">
      <x:c r="A40" s="30"/>
      <x:c r="B40" s="30"/>
      <x:c r="C40" s="30"/>
      <x:c r="D40" s="30"/>
      <x:c r="E40" s="30"/>
    </x:row>
  </x:sheetData>
  <x:mergeCells>
    <x:mergeCell ref="A1:H1"/>
    <x:mergeCell ref="A2:H2"/>
  </x:mergeCells>
  <x:pageMargins left="0.7" right="0.7" top="0.75" bottom="0.75" header="0.3" footer="0.3"/>
  <x:drawing xmlns:r="http://schemas.openxmlformats.org/officeDocument/2006/relationships" r:id="R5a19817315b14a3e"/>
</x:worksheet>
</file>

<file path=xl/worksheets/sheet14.xml><?xml version="1.0" encoding="utf-8"?>
<x:worksheet xmlns:x="http://schemas.openxmlformats.org/spreadsheetml/2006/main">
  <x:sheetFormatPr defaultRowHeight="15"/>
  <x:cols>
    <x:col min="1" max="1" width="24" hidden="0" customWidth="1"/>
    <x:col min="2" max="2" width="20" hidden="0" customWidth="1"/>
    <x:col min="3" max="3" width="38" hidden="0" customWidth="1"/>
    <x:col min="4" max="4" width="20" hidden="0" customWidth="1"/>
    <x:col min="5" max="5" width="38" hidden="0" customWidth="1"/>
    <x:col min="6" max="6" width="48" hidden="0" customWidth="1"/>
    <x:col min="7" max="7" width="48" hidden="0" customWidth="1"/>
    <x:col min="8" max="8" width="16" hidden="0" customWidth="1"/>
    <x:col min="9" max="9" width="52" hidden="0" customWidth="1"/>
  </x:cols>
  <x:sheetData>
    <x:row r="1" ht="28" customHeight="1">
      <x:c r="A1" s="33" t="str">
        <x:v>TAGGER PRODUCTION ALLOWLIST</x:v>
      </x:c>
      <x:c r="B1" s="33"/>
      <x:c r="C1" s="33"/>
      <x:c r="D1" s="33"/>
      <x:c r="E1" s="33"/>
      <x:c r="F1" s="33"/>
      <x:c r="G1" s="33"/>
      <x:c r="H1" s="33"/>
      <x:c r="I1" s="33"/>
    </x:row>
    <x:row r="2" ht="30" customHeight="1">
      <x:c r="A2" s="35" t="str">
        <x:v>Exact Tagger vocabulary that Plain Reading may generate. Production-ready entries have strong source support; Review entries require live/current Tagger verification before being promoted.</x:v>
      </x:c>
      <x:c r="B2" s="35"/>
      <x:c r="C2" s="35"/>
      <x:c r="D2" s="35"/>
      <x:c r="E2" s="35"/>
      <x:c r="F2" s="35"/>
      <x:c r="G2" s="35"/>
      <x:c r="H2" s="35"/>
      <x:c r="I2" s="35"/>
    </x:row>
    <x:row r="4" ht="28" customHeight="1">
      <x:c r="A4" s="39" t="str">
        <x:v>Exact Tag</x:v>
      </x:c>
      <x:c r="B4" s="39" t="str">
        <x:v>Domain</x:v>
      </x:c>
      <x:c r="C4" s="39" t="str">
        <x:v>Plain-Language Aliases</x:v>
      </x:c>
      <x:c r="D4" s="39" t="str">
        <x:v>Production Status</x:v>
      </x:c>
      <x:c r="E4" s="39" t="str">
        <x:v>Primary Use</x:v>
      </x:c>
      <x:c r="F4" s="39" t="str">
        <x:v>Fallback / Alternate</x:v>
      </x:c>
      <x:c r="G4" s="39" t="str">
        <x:v>Verification Source</x:v>
      </x:c>
      <x:c r="H4" s="39" t="str">
        <x:v>Last Verified</x:v>
      </x:c>
      <x:c r="I4" s="39" t="str">
        <x:v>Guardrail</x:v>
      </x:c>
    </x:row>
    <x:row r="5">
      <x:c r="A5" s="26" t="str">
        <x:v>ramp</x:v>
      </x:c>
      <x:c r="B5" s="26" t="str">
        <x:v>Oracle/function</x:v>
      </x:c>
      <x:c r="C5" s="26" t="str">
        <x:v>ramp; mana ramp</x:v>
      </x:c>
      <x:c r="D5" s="26" t="str">
        <x:v>Production-ready</x:v>
      </x:c>
      <x:c r="E5" s="26" t="str">
        <x:v>Semantic ramp search</x:v>
      </x:c>
      <x:c r="F5" s="26" t="str">
        <x:v>Use role-specific structural recipe if user asks land/artifact/creature ramp.</x:v>
      </x:c>
      <x:c r="G5" s="26" t="str">
        <x:v>https://edhrec.com/guides/guide-to-scryfall-syntax</x:v>
      </x:c>
      <x:c r="H5" s="26" t="str">
        <x:v>2026-08-21</x:v>
      </x:c>
      <x:c r="I5" s="26" t="str">
        <x:v>Exact Tagger vocabulary; do not pluralize or quote human labels.</x:v>
      </x:c>
    </x:row>
    <x:row r="6">
      <x:c r="A6" s="26" t="str">
        <x:v>removal</x:v>
      </x:c>
      <x:c r="B6" s="26" t="str">
        <x:v>Oracle/function</x:v>
      </x:c>
      <x:c r="C6" s="26" t="str">
        <x:v>removal; interaction</x:v>
      </x:c>
      <x:c r="D6" s="26" t="str">
        <x:v>Production-ready</x:v>
      </x:c>
      <x:c r="E6" s="26" t="str">
        <x:v>Broad removal search</x:v>
      </x:c>
      <x:c r="F6" s="26" t="str">
        <x:v>Refine target permanent type when stated.</x:v>
      </x:c>
      <x:c r="G6" s="26" t="str">
        <x:v>https://edhrec.com/guides/guide-to-scryfall-syntax</x:v>
      </x:c>
      <x:c r="H6" s="26" t="str">
        <x:v>2026-08-21</x:v>
      </x:c>
      <x:c r="I6" s="26" t="str">
        <x:v>Functional breadth is intentionally wider than destroy/exile wording.</x:v>
      </x:c>
    </x:row>
    <x:row r="7">
      <x:c r="A7" s="26" t="str">
        <x:v>card-advantage</x:v>
      </x:c>
      <x:c r="B7" s="26" t="str">
        <x:v>Oracle/function</x:v>
      </x:c>
      <x:c r="C7" s="26" t="str">
        <x:v>card advantage; value; draw/value</x:v>
      </x:c>
      <x:c r="D7" s="26" t="str">
        <x:v>Production-ready</x:v>
      </x:c>
      <x:c r="E7" s="26" t="str">
        <x:v>Semantic card advantage</x:v>
      </x:c>
      <x:c r="F7" s="26" t="str">
        <x:v>o:draw for literal draw requests.</x:v>
      </x:c>
      <x:c r="G7" s="26" t="str">
        <x:v>https://edhrec.com/guides/guide-to-scryfall-syntax</x:v>
      </x:c>
      <x:c r="H7" s="26" t="str">
        <x:v>2026-08-21</x:v>
      </x:c>
      <x:c r="I7" s="26" t="str">
        <x:v>Do not equate all card advantage with drawing.</x:v>
      </x:c>
    </x:row>
    <x:row r="8">
      <x:c r="A8" s="26" t="str">
        <x:v>synergy-mill</x:v>
      </x:c>
      <x:c r="B8" s="26" t="str">
        <x:v>Oracle/function</x:v>
      </x:c>
      <x:c r="C8" s="26" t="str">
        <x:v>mill synergy; mill payoff</x:v>
      </x:c>
      <x:c r="D8" s="26" t="str">
        <x:v>Production-ready</x:v>
      </x:c>
      <x:c r="E8" s="26" t="str">
        <x:v>Cards that benefit from mill</x:v>
      </x:c>
      <x:c r="F8" s="26" t="str">
        <x:v>Combine with identity/format.</x:v>
      </x:c>
      <x:c r="G8" s="26" t="str">
        <x:v>https://edhrec.com/guides/guide-to-scryfall-syntax</x:v>
      </x:c>
      <x:c r="H8" s="26" t="str">
        <x:v>2026-08-21</x:v>
      </x:c>
      <x:c r="I8" s="26" t="str">
        <x:v>Tagger may evolve; keep source date.</x:v>
      </x:c>
    </x:row>
    <x:row r="9">
      <x:c r="A9" s="26" t="str">
        <x:v>mill-opponent</x:v>
      </x:c>
      <x:c r="B9" s="26" t="str">
        <x:v>Oracle/function</x:v>
      </x:c>
      <x:c r="C9" s="26" t="str">
        <x:v>mill opponent; mill them</x:v>
      </x:c>
      <x:c r="D9" s="26" t="str">
        <x:v>Production-ready</x:v>
      </x:c>
      <x:c r="E9" s="26" t="str">
        <x:v>Opponent mill</x:v>
      </x:c>
      <x:c r="F9" s="26" t="str">
        <x:v>o:mill as broader fallback.</x:v>
      </x:c>
      <x:c r="G9" s="26" t="str">
        <x:v>https://edhrec.com/guides/guide-to-scryfall-syntax</x:v>
      </x:c>
      <x:c r="H9" s="26" t="str">
        <x:v>2026-08-21</x:v>
      </x:c>
      <x:c r="I9" s="26" t="str">
        <x:v>Subject direction matters.</x:v>
      </x:c>
    </x:row>
    <x:row r="10">
      <x:c r="A10" s="26" t="str">
        <x:v>mill-self</x:v>
      </x:c>
      <x:c r="B10" s="26" t="str">
        <x:v>Oracle/function</x:v>
      </x:c>
      <x:c r="C10" s="26" t="str">
        <x:v>self mill; mill myself</x:v>
      </x:c>
      <x:c r="D10" s="26" t="str">
        <x:v>Production-ready</x:v>
      </x:c>
      <x:c r="E10" s="26" t="str">
        <x:v>Self-mill</x:v>
      </x:c>
      <x:c r="F10" s="26" t="str">
        <x:v>Oracle self-mill regex fallback.</x:v>
      </x:c>
      <x:c r="G10" s="26" t="str">
        <x:v>https://edhrec.com/guides/guide-to-scryfall-syntax</x:v>
      </x:c>
      <x:c r="H10" s="26" t="str">
        <x:v>2026-08-21</x:v>
      </x:c>
      <x:c r="I10" s="26" t="str">
        <x:v>Do not substitute generic mill when user specifies self.</x:v>
      </x:c>
    </x:row>
    <x:row r="11">
      <x:c r="A11" s="26" t="str">
        <x:v>mill</x:v>
      </x:c>
      <x:c r="B11" s="26" t="str">
        <x:v>Oracle/function</x:v>
      </x:c>
      <x:c r="C11" s="26" t="str">
        <x:v>mill; milling</x:v>
      </x:c>
      <x:c r="D11" s="26" t="str">
        <x:v>Production-ready</x:v>
      </x:c>
      <x:c r="E11" s="26" t="str">
        <x:v>Broad mill function</x:v>
      </x:c>
      <x:c r="F11" s="26" t="str">
        <x:v>Offer self/opponent refinement.</x:v>
      </x:c>
      <x:c r="G11" s="26" t="str">
        <x:v>https://edhrec.com/guides/guide-to-scryfall-syntax</x:v>
      </x:c>
      <x:c r="H11" s="26" t="str">
        <x:v>2026-08-21</x:v>
      </x:c>
      <x:c r="I11" s="26" t="str">
        <x:v>Broad tag family.</x:v>
      </x:c>
    </x:row>
    <x:row r="12">
      <x:c r="A12" s="26" t="str">
        <x:v>pp-counters-matter</x:v>
      </x:c>
      <x:c r="B12" s="26" t="str">
        <x:v>Oracle/function</x:v>
      </x:c>
      <x:c r="C12" s="26" t="str">
        <x:v>+1/+1 counter payoff; counters matter</x:v>
      </x:c>
      <x:c r="D12" s="26" t="str">
        <x:v>Production-ready</x:v>
      </x:c>
      <x:c r="E12" s="26" t="str">
        <x:v>+1/+1 counter payoffs</x:v>
      </x:c>
      <x:c r="F12" s="26" t="str">
        <x:v>o:/\+1\/\+1 counter/ literal fallback.</x:v>
      </x:c>
      <x:c r="G12" s="26" t="str">
        <x:v>https://edhrec.com/guides/guide-to-scryfall-syntax</x:v>
      </x:c>
      <x:c r="H12" s="26" t="str">
        <x:v>2026-08-21</x:v>
      </x:c>
      <x:c r="I12" s="26" t="str">
        <x:v>`pp` is Tagger vocabulary, not player-facing copy.</x:v>
      </x:c>
    </x:row>
    <x:row r="13">
      <x:c r="A13" s="26" t="str">
        <x:v>gives-pp-counters</x:v>
      </x:c>
      <x:c r="B13" s="26" t="str">
        <x:v>Oracle/function</x:v>
      </x:c>
      <x:c r="C13" s="26" t="str">
        <x:v>puts +1/+1 counters; counter producer</x:v>
      </x:c>
      <x:c r="D13" s="26" t="str">
        <x:v>Production-ready</x:v>
      </x:c>
      <x:c r="E13" s="26" t="str">
        <x:v>+1/+1 counter producers</x:v>
      </x:c>
      <x:c r="F13" s="26" t="str">
        <x:v>Oracle +1/+1 counter regex.</x:v>
      </x:c>
      <x:c r="G13" s="26" t="str">
        <x:v>https://edhrec.com/guides/guide-to-scryfall-syntax</x:v>
      </x:c>
      <x:c r="H13" s="26" t="str">
        <x:v>2026-08-21</x:v>
      </x:c>
      <x:c r="I13" s="26" t="str">
        <x:v>Keep producer/payoff roles distinct.</x:v>
      </x:c>
    </x:row>
    <x:row r="14">
      <x:c r="A14" s="26" t="str">
        <x:v>counterspell</x:v>
      </x:c>
      <x:c r="B14" s="26" t="str">
        <x:v>Oracle/function</x:v>
      </x:c>
      <x:c r="C14" s="26" t="str">
        <x:v>counterspell; counter magic</x:v>
      </x:c>
      <x:c r="D14" s="26" t="str">
        <x:v>Production-ready</x:v>
      </x:c>
      <x:c r="E14" s="26" t="str">
        <x:v>Semantic counterspells</x:v>
      </x:c>
      <x:c r="F14" s="26" t="str">
        <x:v>o:/counter target.*spell/ for wording-specific search.</x:v>
      </x:c>
      <x:c r="G14" s="26" t="str">
        <x:v>https://scryfall.com/docs/tagger-tags | https://offmeta.app/docs/syntax</x:v>
      </x:c>
      <x:c r="H14" s="26" t="str">
        <x:v>2026-08-21</x:v>
      </x:c>
      <x:c r="I14" s="26" t="str">
        <x:v>Tag is semantic and may include conditional counterspells.</x:v>
      </x:c>
    </x:row>
    <x:row r="15">
      <x:c r="A15" s="26" t="str">
        <x:v>blink</x:v>
      </x:c>
      <x:c r="B15" s="26" t="str">
        <x:v>Oracle/function</x:v>
      </x:c>
      <x:c r="C15" s="26" t="str">
        <x:v>blink; flicker</x:v>
      </x:c>
      <x:c r="D15" s="26" t="str">
        <x:v>Production-ready</x:v>
      </x:c>
      <x:c r="E15" s="26" t="str">
        <x:v>Blink/flicker effects</x:v>
      </x:c>
      <x:c r="F15" s="26" t="str">
        <x:v>o:/exile.*return/.</x:v>
      </x:c>
      <x:c r="G15" s="26" t="str">
        <x:v>https://scryfall.com/docs/tagger-tags | https://luckypaper.co/articles/regular-expressions/</x:v>
      </x:c>
      <x:c r="H15" s="26" t="str">
        <x:v>2026-08-21</x:v>
      </x:c>
      <x:c r="I15" s="26" t="str">
        <x:v>ETB payoff is a separate relationship intent.</x:v>
      </x:c>
    </x:row>
    <x:row r="16">
      <x:c r="A16" s="26" t="str">
        <x:v>sacrifice-outlet</x:v>
      </x:c>
      <x:c r="B16" s="26" t="str">
        <x:v>Oracle/function</x:v>
      </x:c>
      <x:c r="C16" s="26" t="str">
        <x:v>sac outlet; sacrifice outlet</x:v>
      </x:c>
      <x:c r="D16" s="26" t="str">
        <x:v>Production-ready</x:v>
      </x:c>
      <x:c r="E16" s="26" t="str">
        <x:v>Sacrifice outlets</x:v>
      </x:c>
      <x:c r="F16" s="26" t="str">
        <x:v>o:/sacrifice.*:/ structural fallback.</x:v>
      </x:c>
      <x:c r="G16" s="26" t="str">
        <x:v>https://scryfall.com/docs/tagger-tags | https://offmeta.app/docs/syntax</x:v>
      </x:c>
      <x:c r="H16" s="26" t="str">
        <x:v>2026-08-21</x:v>
      </x:c>
      <x:c r="I16" s="26" t="str">
        <x:v>Only use when 'outlet' intent is clear.</x:v>
      </x:c>
    </x:row>
    <x:row r="17">
      <x:c r="A17" s="26" t="str">
        <x:v>mm-counters-matter</x:v>
      </x:c>
      <x:c r="B17" s="26" t="str">
        <x:v>Oracle/function</x:v>
      </x:c>
      <x:c r="C17" s="26" t="str">
        <x:v>-1/-1 counters matter; minus counters payoff</x:v>
      </x:c>
      <x:c r="D17" s="26" t="str">
        <x:v>Review</x:v>
      </x:c>
      <x:c r="E17" s="26" t="str">
        <x:v>+1? No: -1/-1 counter payoffs</x:v>
      </x:c>
      <x:c r="F17" s="26" t="str">
        <x:v>o:/-1\/-1 counter/ literal fallback.</x:v>
      </x:c>
      <x:c r="G17" s="26" t="str">
        <x:v>https://www.reddit.com/r/mtg/comments/1ptq1ww/cannot_find_11_counter_cards_on_scryfall/</x:v>
      </x:c>
      <x:c r="H17" s="26" t="str">
        <x:v>2026-08-21</x:v>
      </x:c>
      <x:c r="I17" s="26" t="str">
        <x:v>Recent community evidence; revalidate against Tagger before release.</x:v>
      </x:c>
    </x:row>
    <x:row r="18">
      <x:c r="A18" s="26" t="str">
        <x:v>gives-mm-counters</x:v>
      </x:c>
      <x:c r="B18" s="26" t="str">
        <x:v>Oracle/function</x:v>
      </x:c>
      <x:c r="C18" s="26" t="str">
        <x:v>put -1/-1 counters; minus counter producer</x:v>
      </x:c>
      <x:c r="D18" s="26" t="str">
        <x:v>Review</x:v>
      </x:c>
      <x:c r="E18" s="26" t="str">
        <x:v>-1/-1 counter producers</x:v>
      </x:c>
      <x:c r="F18" s="26" t="str">
        <x:v>o:/-1\/-1 counter/ literal fallback.</x:v>
      </x:c>
      <x:c r="G18" s="26" t="str">
        <x:v>https://www.reddit.com/r/mtg/comments/1ptq1ww/cannot_find_11_counter_cards_on_scryfall/</x:v>
      </x:c>
      <x:c r="H18" s="26" t="str">
        <x:v>2026-08-21</x:v>
      </x:c>
      <x:c r="I18" s="26" t="str">
        <x:v>Recent community evidence; revalidate against Tagger before release.</x:v>
      </x:c>
    </x:row>
    <x:row r="19">
      <x:c r="A19" s="26" t="str">
        <x:v>sweeper-creature</x:v>
      </x:c>
      <x:c r="B19" s="26" t="str">
        <x:v>Oracle/function</x:v>
      </x:c>
      <x:c r="C19" s="26" t="str">
        <x:v>board wipe; wrath; creature sweeper</x:v>
      </x:c>
      <x:c r="D19" s="26" t="str">
        <x:v>Review</x:v>
      </x:c>
      <x:c r="E19" s="26" t="str">
        <x:v>Creature sweepers</x:v>
      </x:c>
      <x:c r="F19" s="26" t="str">
        <x:v>Composite Oracle recipes for destroy/exile/-X/-X/damage/bounce.</x:v>
      </x:c>
      <x:c r="G19" s="26" t="str">
        <x:v>https://www.reddit.com/r/mtg/comments/1e5sgfy</x:v>
      </x:c>
      <x:c r="H19" s="26" t="str">
        <x:v>2026-08-21</x:v>
      </x:c>
      <x:c r="I19" s="26" t="str">
        <x:v>Board wipe is broader than creature sweeper; expose scope.</x:v>
      </x:c>
    </x:row>
    <x:row r="20">
      <x:c r="A20" s="26" t="str">
        <x:v>board-wipe</x:v>
      </x:c>
      <x:c r="B20" s="26" t="str">
        <x:v>Oracle/function</x:v>
      </x:c>
      <x:c r="C20" s="26" t="str">
        <x:v>board wipe; wrath</x:v>
      </x:c>
      <x:c r="D20" s="26" t="str">
        <x:v>Review</x:v>
      </x:c>
      <x:c r="E20" s="26" t="str">
        <x:v>Third-party contemporary board-wipe mapping</x:v>
      </x:c>
      <x:c r="F20" s="26" t="str">
        <x:v>Prefer validated sweeper family or composite fallback.</x:v>
      </x:c>
      <x:c r="G20" s="26" t="str">
        <x:v>https://offmeta.app/docs/syntax</x:v>
      </x:c>
      <x:c r="H20" s="26" t="str">
        <x:v>2026-08-21</x:v>
      </x:c>
      <x:c r="I20" s="26" t="str">
        <x:v>Do not rely on this tag until exact current Tagger vocabulary is verified.</x:v>
      </x:c>
    </x:row>
    <x:row r="21">
      <x:c r="A21" s="26" t="str">
        <x:v>mana-rock</x:v>
      </x:c>
      <x:c r="B21" s="26" t="str">
        <x:v>Oracle/function</x:v>
      </x:c>
      <x:c r="C21" s="26" t="str">
        <x:v>mana rock; rocks</x:v>
      </x:c>
      <x:c r="D21" s="26" t="str">
        <x:v>Review</x:v>
      </x:c>
      <x:c r="E21" s="26" t="str">
        <x:v>Mana artifacts</x:v>
      </x:c>
      <x:c r="F21" s="26" t="str">
        <x:v>t:artifact -t:creature o:/\{T\}: Add/.</x:v>
      </x:c>
      <x:c r="G21" s="26" t="str">
        <x:v>https://offmeta.app/docs/syntax</x:v>
      </x:c>
      <x:c r="H21" s="26" t="str">
        <x:v>2026-08-21</x:v>
      </x:c>
      <x:c r="I21" s="26" t="str">
        <x:v>Structural fallback may miss unconventional rocks.</x:v>
      </x:c>
    </x:row>
  </x:sheetData>
  <x:mergeCells>
    <x:mergeCell ref="A1:I1"/>
    <x:mergeCell ref="A2:I2"/>
  </x:mergeCells>
  <x:conditionalFormatting sqref="D5:D21">
    <x:cfRule type="expression" dxfId="16" priority="1">
      <x:formula>D5="Production-ready"</x:formula>
    </x:cfRule>
    <x:cfRule type="expression" dxfId="17" priority="2">
      <x:formula>D5="Review"</x:formula>
    </x:cfRule>
  </x:conditionalFormatting>
  <x:pageMargins left="0.7" right="0.7" top="0.75" bottom="0.75" header="0.3" footer="0.3"/>
  <x:tableParts count="1">
    <x:tablePart xmlns:r="http://schemas.openxmlformats.org/officeDocument/2006/relationships" r:id="R459acda10d3f49cb"/>
  </x:tableParts>
</x:worksheet>
</file>