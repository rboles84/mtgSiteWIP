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130f91ae737464c" /></Relationships>
</file>

<file path=xl/workbook.xml><?xml version="1.0" encoding="utf-8"?>
<x:workbook xmlns:x="http://schemas.openxmlformats.org/spreadsheetml/2006/main">
  <x:sheets>
    <x:sheet xmlns:r="http://schemas.openxmlformats.org/officeDocument/2006/relationships" name="README" sheetId="1" r:id="Rea88354b2c4b4fd7"/>
    <x:sheet xmlns:r="http://schemas.openxmlformats.org/officeDocument/2006/relationships" name="Finding a Table" sheetId="2" r:id="Ra21aa44f26fa4233"/>
    <x:sheet xmlns:r="http://schemas.openxmlformats.org/officeDocument/2006/relationships" name="Before the Game" sheetId="3" r:id="R1fd75d641c674aea"/>
    <x:sheet xmlns:r="http://schemas.openxmlformats.org/officeDocument/2006/relationships" name="During the Game" sheetId="4" r:id="Rc693ad0ad14b467d"/>
    <x:sheet xmlns:r="http://schemas.openxmlformats.org/officeDocument/2006/relationships" name="State Transitions" sheetId="5" r:id="R8f5c4eeec8414352"/>
    <x:sheet xmlns:r="http://schemas.openxmlformats.org/officeDocument/2006/relationships" name="Navigation and Regression" sheetId="6" r:id="R2307cb3453ca4969"/>
    <x:sheet xmlns:r="http://schemas.openxmlformats.org/officeDocument/2006/relationships" name="Human QA Log" sheetId="7" r:id="Rb598ec42f44b4c46"/>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9">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
      <x:patternFill patternType="solid">
        <x:fgColor rgb="FF1F728B"/>
      </x:patternFill>
    </x:fill>
    <x:fill>
      <x:patternFill patternType="solid">
        <x:fgColor rgb="FFE5EEF3"/>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horizontal="center" wrapText="1"/>
    </x:xf>
    <x:xf numFmtId="0" fontId="0" fillId="8" borderId="0" xfId="0" applyNumberFormat="1" applyFont="1" applyFill="1" applyBorder="1" applyAlignment="1">
      <x:alignment horizontal="center" vertical="center" wrapText="1"/>
    </x:xf>
    <x:xf numFmtId="0" fontId="9" fillId="0" borderId="0" xfId="0" applyNumberFormat="1" applyFont="1" applyFill="1" applyBorder="1" applyAlignment="1">
      <x:alignment wrapText="1"/>
    </x:xf>
    <x:xf numFmtId="0" fontId="9" fillId="0" borderId="7" xfId="0" applyNumberFormat="1" applyFont="1" applyFill="1" applyBorder="1" applyAlignment="1">
      <x:alignment wrapText="1"/>
    </x:xf>
    <x:xf numFmtId="0" fontId="10" fillId="4" borderId="0" xfId="0" applyNumberFormat="1" applyFont="1" applyFill="1" applyBorder="1" applyAlignment="1">
      <x:alignment wrapText="1"/>
    </x:xf>
    <x:xf numFmtId="0" fontId="12" fillId="5" borderId="5" xfId="0" applyNumberFormat="1" applyFont="1" applyFill="1" applyBorder="1" applyAlignment="1">
      <x:alignment wrapText="1"/>
    </x:xf>
    <x:xf numFmtId="0" fontId="10" fillId="4" borderId="7" xfId="0" applyNumberFormat="1" applyFont="1" applyFill="1" applyBorder="1" applyAlignment="1">
      <x:alignment wrapText="1"/>
    </x:xf>
  </x:cellXfs>
  <x:cellStyles count="1">
    <x:cellStyle name="Normal" xfId="0"/>
  </x:cellStyles>
  <x:dxfs count="38">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color rgb="FF276221"/>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color rgb="FF666666"/>
      </x:font>
      <x:fill>
        <x:patternFill patternType="solid">
          <x:bgColor rgb="FFEDEDED"/>
        </x:patternFill>
      </x:fill>
    </x:dxf>
    <x:dxf>
      <x:font>
        <x:color rgb="FF276221"/>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color rgb="FF666666"/>
      </x:font>
      <x:fill>
        <x:patternFill patternType="solid">
          <x:bgColor rgb="FFEDEDED"/>
        </x:patternFill>
      </x:fill>
    </x:dxf>
    <x:dxf>
      <x:font>
        <x:color rgb="FF276221"/>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color rgb="FF666666"/>
      </x:font>
      <x:fill>
        <x:patternFill patternType="solid">
          <x:bgColor rgb="FFEDEDED"/>
        </x:patternFill>
      </x:fill>
    </x:dxf>
    <x:dxf>
      <x:font>
        <x:color rgb="FF276221"/>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color rgb="FF666666"/>
      </x:font>
      <x:fill>
        <x:patternFill patternType="solid">
          <x:bgColor rgb="FFEDEDED"/>
        </x:patternFill>
      </x:fill>
    </x:dxf>
    <x:dxf>
      <x:font>
        <x:color rgb="FF276221"/>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color rgb="FF666666"/>
      </x:font>
      <x:fill>
        <x:patternFill patternType="solid">
          <x:bgColor rgb="FFEDEDE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8495a0ca664d73" /><Relationship Type="http://schemas.openxmlformats.org/officeDocument/2006/relationships/theme" Target="/xl/theme/theme1.xml" Id="R4b0f94bbbe2c4a1b" /><Relationship Type="http://schemas.openxmlformats.org/officeDocument/2006/relationships/sharedStrings" Target="/xl/sharedStrings.xml" Id="R133fbbf45c524a96" /><Relationship Type="http://schemas.openxmlformats.org/officeDocument/2006/relationships/worksheet" Target="/xl/worksheets/sheet1.xml" Id="Rea88354b2c4b4fd7" /><Relationship Type="http://schemas.openxmlformats.org/officeDocument/2006/relationships/worksheet" Target="/xl/worksheets/sheet2.xml" Id="Ra21aa44f26fa4233" /><Relationship Type="http://schemas.openxmlformats.org/officeDocument/2006/relationships/worksheet" Target="/xl/worksheets/sheet3.xml" Id="R1fd75d641c674aea" /><Relationship Type="http://schemas.openxmlformats.org/officeDocument/2006/relationships/worksheet" Target="/xl/worksheets/sheet4.xml" Id="Rc693ad0ad14b467d" /><Relationship Type="http://schemas.openxmlformats.org/officeDocument/2006/relationships/worksheet" Target="/xl/worksheets/sheet5.xml" Id="R8f5c4eeec8414352" /><Relationship Type="http://schemas.openxmlformats.org/officeDocument/2006/relationships/worksheet" Target="/xl/worksheets/sheet6.xml" Id="R2307cb3453ca4969" /><Relationship Type="http://schemas.openxmlformats.org/officeDocument/2006/relationships/worksheet" Target="/xl/worksheets/sheet7.xml" Id="Rb598ec42f44b4c46"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7d5b493331c4fa9" /></Relationships>
</file>

<file path=xl/worksheets/_rels/sheet3.xml.rels>&#65279;<?xml version="1.0" encoding="utf-8"?><Relationships xmlns="http://schemas.openxmlformats.org/package/2006/relationships"><Relationship Type="http://schemas.openxmlformats.org/officeDocument/2006/relationships/table" Target="/xl/tables/table2.xml" Id="R2b7e5fb7094e40a0" /></Relationships>
</file>

<file path=xl/worksheets/_rels/sheet4.xml.rels>&#65279;<?xml version="1.0" encoding="utf-8"?><Relationships xmlns="http://schemas.openxmlformats.org/package/2006/relationships"><Relationship Type="http://schemas.openxmlformats.org/officeDocument/2006/relationships/table" Target="/xl/tables/table3.xml" Id="Ref67fb53903e431c" /></Relationships>
</file>

<file path=xl/worksheets/_rels/sheet5.xml.rels>&#65279;<?xml version="1.0" encoding="utf-8"?><Relationships xmlns="http://schemas.openxmlformats.org/package/2006/relationships"><Relationship Type="http://schemas.openxmlformats.org/officeDocument/2006/relationships/table" Target="/xl/tables/table4.xml" Id="Ra560e367238a4829" /></Relationships>
</file>

<file path=xl/worksheets/_rels/sheet6.xml.rels>&#65279;<?xml version="1.0" encoding="utf-8"?><Relationships xmlns="http://schemas.openxmlformats.org/package/2006/relationships"><Relationship Type="http://schemas.openxmlformats.org/officeDocument/2006/relationships/table" Target="/xl/tables/table5.xml" Id="R801ea49300a8499d" /></Relationships>
</file>

<file path=xl/worksheets/_rels/sheet7.xml.rels>&#65279;<?xml version="1.0" encoding="utf-8"?><Relationships xmlns="http://schemas.openxmlformats.org/package/2006/relationships"><Relationship Type="http://schemas.openxmlformats.org/officeDocument/2006/relationships/table" Target="/xl/tables/table6.xml" Id="R24209cdef9fc47f3"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 min="8" max="8" width="18"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6f807816a81ca347cbd180a8c1ab413df84dce69</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after automated QA</x:v>
      </x:c>
      <x:c r="B10" s="55" t="str">
        <x:v>Objective rows are populated with Automated Pass, Automated Fail, Owner Review Required, or Blocked; no owner acceptance is claimed.</x:v>
      </x:c>
      <x:c r="C10" s="83"/>
      <x:c r="D10" s="54" t="str">
        <x:v>Navigation and Regression</x:v>
      </x:c>
      <x:c r="E10" s="84" t="n">
        <x:f>COUNTA('Navigation and Regression'!$A$5:$A$1000)</x:f>
        <x:v>18</x:v>
      </x:c>
      <x:c r="F10" s="83"/>
      <x:c r="G10" s="83"/>
      <x:c r="H10" s="30"/>
    </x:row>
    <x:row r="11">
      <x:c r="A11" s="83" t="str">
        <x:v>Candidate HEAD tested</x:v>
      </x:c>
      <x:c r="B11" s="83" t="str">
        <x:v>6f807816a81ca347cbd180a8c1ab413df84dce69</x:v>
      </x:c>
      <x:c r="C11" s="83"/>
      <x:c r="D11" s="54" t="str">
        <x:v>Human QA Log</x:v>
      </x:c>
      <x:c r="E11" s="84" t="n">
        <x:f>COUNTA('Human QA Log'!$A$5:$A$1000)</x:f>
        <x:v>14</x:v>
      </x:c>
      <x:c r="F11" s="83"/>
      <x:c r="G11" s="83"/>
      <x:c r="H11" s="30"/>
    </x:row>
    <x:row r="12">
      <x:c r="A12" s="83"/>
      <x:c r="B12" s="83"/>
      <x:c r="C12" s="83"/>
      <x:c r="D12" s="83"/>
      <x:c r="E12" s="83"/>
      <x:c r="F12" s="83"/>
      <x:c r="G12" s="83"/>
      <x:c r="H12" s="30"/>
    </x:row>
    <x:row r="13">
      <x:c r="A13" s="85" t="str">
        <x:v>Coverage-reduction rationale</x:v>
      </x:c>
      <x:c r="B13" s="85"/>
      <x:c r="C13" s="83"/>
      <x:c r="D13" s="85" t="str">
        <x:v>Execution status roll-up</x:v>
      </x:c>
      <x:c r="E13" s="85"/>
      <x:c r="F13" s="85"/>
      <x:c r="G13" s="85"/>
      <x:c r="H13" s="30"/>
    </x:row>
    <x:row r="14">
      <x:c r="A14" s="58" t="str">
        <x:v>Technique</x:v>
      </x:c>
      <x:c r="B14" s="58" t="str">
        <x:v>How this workbook reduces low-value repetition</x:v>
      </x:c>
      <x:c r="C14" s="83"/>
      <x:c r="D14" s="86" t="str">
        <x:v>Sheet</x:v>
      </x:c>
      <x:c r="E14" s="86" t="str">
        <x:v>Automated Pass</x:v>
      </x:c>
      <x:c r="F14" s="86" t="str">
        <x:v>Automated Fail</x:v>
      </x:c>
      <x:c r="G14" s="86" t="str">
        <x:v>Owner Review Required</x:v>
      </x:c>
      <x:c r="H14" s="78" t="str">
        <x:v>Blocked</x:v>
      </x:c>
    </x:row>
    <x:row r="15" ht="56" customHeight="1">
      <x:c r="A15" s="59" t="str">
        <x:v>Decision tables</x:v>
      </x:c>
      <x:c r="B15" s="60" t="str">
        <x:v>Finding a Table cases cover each result predicate and contrast the input signals that change the read, explanation, follow-up, and mismatch warning.</x:v>
      </x:c>
      <x:c r="C15" s="83"/>
      <x:c r="D15" s="54" t="str">
        <x:v>Finding a Table</x:v>
      </x:c>
      <x:c r="E15" s="84" t="n">
        <x:f>COUNTIF('Finding a Table'!$N$5:$N$1000,"Automated Pass")</x:f>
        <x:v>12</x:v>
      </x:c>
      <x:c r="F15" s="84" t="n">
        <x:f>COUNTIF('Finding a Table'!$N$5:$N$1000,"Automated Fail")</x:f>
        <x:v>1</x:v>
      </x:c>
      <x:c r="G15" s="84" t="n">
        <x:f>COUNTIF('Finding a Table'!$N$5:$N$1000,"Owner Review Required")</x:f>
        <x:v>1</x:v>
      </x:c>
      <x:c r="H15" s="82" t="n">
        <x:f>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83"/>
      <x:c r="D16" s="54" t="str">
        <x:v>Before the Game</x:v>
      </x:c>
      <x:c r="E16" s="84" t="n">
        <x:f>COUNTIF('Before the Game'!$N$5:$N$1000,"Automated Pass")</x:f>
        <x:v>1</x:v>
      </x:c>
      <x:c r="F16" s="84" t="n">
        <x:f>COUNTIF('Before the Game'!$N$5:$N$1000,"Automated Fail")</x:f>
        <x:v>26</x:v>
      </x:c>
      <x:c r="G16" s="84" t="n">
        <x:f>COUNTIF('Before the Game'!$N$5:$N$1000,"Owner Review Required")</x:f>
        <x:v>2</x:v>
      </x:c>
      <x:c r="H16" s="82" t="n">
        <x:f>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83"/>
      <x:c r="D17" s="54" t="str">
        <x:v>During the Game</x:v>
      </x:c>
      <x:c r="E17" s="84" t="n">
        <x:f>COUNTIF('During the Game'!$N$5:$N$1000,"Automated Pass")</x:f>
        <x:v>4</x:v>
      </x:c>
      <x:c r="F17" s="84" t="n">
        <x:f>COUNTIF('During the Game'!$N$5:$N$1000,"Automated Fail")</x:f>
        <x:v>9</x:v>
      </x:c>
      <x:c r="G17" s="84" t="n">
        <x:f>COUNTIF('During the Game'!$N$5:$N$1000,"Owner Review Required")</x:f>
        <x:v>1</x:v>
      </x:c>
      <x:c r="H17" s="82" t="n">
        <x:f>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83"/>
      <x:c r="D18" s="54" t="str">
        <x:v>State Transitions</x:v>
      </x:c>
      <x:c r="E18" s="84" t="n">
        <x:f>COUNTIF('State Transitions'!$N$5:$N$1000,"Automated Pass")</x:f>
        <x:v>16</x:v>
      </x:c>
      <x:c r="F18" s="84" t="n">
        <x:f>COUNTIF('State Transitions'!$N$5:$N$1000,"Automated Fail")</x:f>
        <x:v>2</x:v>
      </x:c>
      <x:c r="G18" s="84" t="n">
        <x:f>COUNTIF('State Transitions'!$N$5:$N$1000,"Owner Review Required")</x:f>
        <x:v>1</x:v>
      </x:c>
      <x:c r="H18" s="82" t="n">
        <x:f>COUNTIF('State Transitions'!$N$5:$N$1000,"Blocked")</x:f>
        <x:v>1</x:v>
      </x:c>
    </x:row>
    <x:row r="19">
      <x:c r="A19" s="83"/>
      <x:c r="B19" s="83"/>
      <x:c r="C19" s="83"/>
      <x:c r="D19" s="54" t="str">
        <x:v>Navigation and Regression</x:v>
      </x:c>
      <x:c r="E19" s="84" t="n">
        <x:f>COUNTIF('Navigation and Regression'!$N$5:$N$1000,"Automated Pass")</x:f>
        <x:v>14</x:v>
      </x:c>
      <x:c r="F19" s="84" t="n">
        <x:f>COUNTIF('Navigation and Regression'!$N$5:$N$1000,"Automated Fail")</x:f>
        <x:v>0</x:v>
      </x:c>
      <x:c r="G19" s="84" t="n">
        <x:f>COUNTIF('Navigation and Regression'!$N$5:$N$1000,"Owner Review Required")</x:f>
        <x:v>4</x:v>
      </x:c>
      <x:c r="H19" s="82" t="n">
        <x:f>COUNTIF('Navigation and Regression'!$N$5:$N$1000,"Blocked")</x:f>
        <x:v>0</x:v>
      </x:c>
    </x:row>
    <x:row r="20">
      <x:c r="A20" s="85" t="str">
        <x:v>Owner execution workflow</x:v>
      </x:c>
      <x:c r="B20" s="85"/>
      <x:c r="C20" s="85"/>
      <x:c r="D20" s="87" t="str">
        <x:v>Human QA Log</x:v>
      </x:c>
      <x:c r="E20" s="87" t="n">
        <x:f>COUNTIF('Human QA Log'!$N$5:$N$1000,"Automated Pass")</x:f>
        <x:v>4</x:v>
      </x:c>
      <x:c r="F20" s="87" t="n">
        <x:f>COUNTIF('Human QA Log'!$N$5:$N$1000,"Automated Fail")</x:f>
        <x:v>4</x:v>
      </x:c>
      <x:c r="G20" s="87" t="n">
        <x:f>COUNTIF('Human QA Log'!$N$5:$N$1000,"Owner Review Required")</x:f>
        <x:v>6</x:v>
      </x:c>
      <x:c r="H20" s="82" t="n">
        <x:f>COUNTIF('Human QA Log'!$N$5:$N$1000,"Blocked")</x:f>
        <x:v>0</x:v>
      </x:c>
    </x:row>
    <x:row r="21" ht="84" customHeight="1">
      <x:c r="A21" s="62" t="str">
        <x:v>Owner execution workflow</x:v>
      </x:c>
      <x:c r="B21" s="62" t="str">
        <x:v>Objective checks are complete where marked Automated Pass or Automated Fail. Review the owner checklist only for the remaining visual, editorial, tone, and environment judgments; record owner Pass/Fail and notes there. Known automated defects remain in the workbook for remediation triage. Do not treat this execution set as owner acceptance or certification.</x:v>
      </x:c>
      <x:c r="C21" s="62"/>
      <x:c r="D21" s="62"/>
      <x:c r="E21" s="62"/>
      <x:c r="F21" s="62"/>
      <x:c r="G21" s="62"/>
      <x:c r="H21" s="30"/>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Automated Pass</x:v>
      </x:c>
      <x:c r="O5" s="70" t="str">
        <x:v>Deterministic evaluator exercised 1,200 combinations: all three categories appeared, five cards rendered, 100 distinct explanations, 5 follow-up variants, and 3 mismatch warnings; prohibited compatibility claims were absent.</x:v>
      </x:c>
      <x:c r="P5" s="70" t="str">
        <x:v>docs/qa/evidence/evaluator-audit.json; npm.cmd run test:strategium-lifecycle; browser trace</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Automated Pass</x:v>
      </x:c>
      <x:c r="O6" s="70" t="str">
        <x:v>Deterministic evaluator exercised 1,200 combinations: all three categories appeared, five cards rendered, 100 distinct explanations, 5 follow-up variants, and 3 mismatch warnings; prohibited compatibility claims were absent.</x:v>
      </x:c>
      <x:c r="P6" s="70" t="str">
        <x:v>docs/qa/evidence/evaluator-audit.json; npm.cmd run test:strategium-lifecycle; browser trace</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Automated Pass</x:v>
      </x:c>
      <x:c r="O7" s="70" t="str">
        <x:v>Deterministic evaluator exercised 1,200 combinations: all three categories appeared, five cards rendered, 100 distinct explanations, 5 follow-up variants, and 3 mismatch warnings; prohibited compatibility claims were absent.</x:v>
      </x:c>
      <x:c r="P7" s="70" t="str">
        <x:v>docs/qa/evidence/evaluator-audit.json; npm.cmd run test:strategium-lifecycle; browser trace</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Automated Pass</x:v>
      </x:c>
      <x:c r="O8" s="70" t="str">
        <x:v>Deterministic evaluator exercised 1,200 combinations: all three categories appeared, five cards rendered, 100 distinct explanations, 5 follow-up variants, and 3 mismatch warnings; prohibited compatibility claims were absent.</x:v>
      </x:c>
      <x:c r="P8" s="70" t="str">
        <x:v>docs/qa/evidence/evaluator-audit.json; npm.cmd run test:strategium-lifecycle; browser trace</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Automated Pass</x:v>
      </x:c>
      <x:c r="O9" s="70" t="str">
        <x:v>Deterministic evaluator exercised 1,200 combinations: all three categories appeared, five cards rendered, 100 distinct explanations, 5 follow-up variants, and 3 mismatch warnings; prohibited compatibility claims were absent.</x:v>
      </x:c>
      <x:c r="P9" s="70" t="str">
        <x:v>docs/qa/evidence/evaluator-audit.json; npm.cmd run test:strategium-lifecycle; browser trace</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Automated Pass</x:v>
      </x:c>
      <x:c r="O10" s="70" t="str">
        <x:v>Deterministic evaluator exercised 1,200 combinations: all three categories appeared, five cards rendered, 100 distinct explanations, 5 follow-up variants, and 3 mismatch warnings; prohibited compatibility claims were absent.</x:v>
      </x:c>
      <x:c r="P10" s="70" t="str">
        <x:v>docs/qa/evidence/evaluator-audit.json; npm.cmd run test:strategium-lifecycle; browser trace</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Automated Pass</x:v>
      </x:c>
      <x:c r="O11" s="70" t="str">
        <x:v>Deterministic evaluator exercised 1,200 combinations: all three categories appeared, five cards rendered, 100 distinct explanations, 5 follow-up variants, and 3 mismatch warnings; prohibited compatibility claims were absent.</x:v>
      </x:c>
      <x:c r="P11" s="70" t="str">
        <x:v>docs/qa/evidence/evaluator-audit.json; npm.cmd run test:strategium-lifecycle; browser trace</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Automated Pass</x:v>
      </x:c>
      <x:c r="O12" s="70" t="str">
        <x:v>Deterministic evaluator exercised 1,200 combinations: all three categories appeared, five cards rendered, 100 distinct explanations, 5 follow-up variants, and 3 mismatch warnings; prohibited compatibility claims were absent.</x:v>
      </x:c>
      <x:c r="P12" s="70" t="str">
        <x:v>docs/qa/evidence/evaluator-audit.json; npm.cmd run test:strategium-lifecycle; browser trace</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Automated Pass</x:v>
      </x:c>
      <x:c r="O13" s="70" t="str">
        <x:v>Deterministic evaluator exercised 1,200 combinations: all three categories appeared, five cards rendered, 100 distinct explanations, 5 follow-up variants, and 3 mismatch warnings; prohibited compatibility claims were absent.</x:v>
      </x:c>
      <x:c r="P13" s="70" t="str">
        <x:v>docs/qa/evidence/evaluator-audit.json; npm.cmd run test:strategium-lifecycle; browser trace</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Automated Pass</x:v>
      </x:c>
      <x:c r="O14" s="70" t="str">
        <x:v>Deterministic evaluator exercised 1,200 combinations: all three categories appeared, five cards rendered, 100 distinct explanations, 5 follow-up variants, and 3 mismatch warnings; prohibited compatibility claims were absent.</x:v>
      </x:c>
      <x:c r="P14" s="70" t="str">
        <x:v>docs/qa/evidence/evaluator-audit.json; npm.cmd run test:strategium-lifecycle; browser trace</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Automated Pass</x:v>
      </x:c>
      <x:c r="O15" s="70" t="str">
        <x:v>Deterministic evaluator exercised 1,200 combinations: all three categories appeared, five cards rendered, 100 distinct explanations, 5 follow-up variants, and 3 mismatch warnings; prohibited compatibility claims were absent.</x:v>
      </x:c>
      <x:c r="P15" s="70" t="str">
        <x:v>docs/qa/evidence/evaluator-audit.json; npm.cmd run test:strategium-lifecycle; browser trace</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Automated Pass</x:v>
      </x:c>
      <x:c r="O16" s="70" t="str">
        <x:v>Deterministic evaluator exercised 1,200 combinations: all three categories appeared, five cards rendered, 100 distinct explanations, 5 follow-up variants, and 3 mismatch warnings; prohibited compatibility claims were absent.</x:v>
      </x:c>
      <x:c r="P16" s="70" t="str">
        <x:v>docs/qa/evidence/evaluator-audit.json; npm.cmd run test:strategium-lifecycle; browser trace</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Automated Fail</x:v>
      </x:c>
      <x:c r="O17" s="70" t="str">
        <x:v>Invalid/extra URL state normalized to the nearest valid question, but no visible recovery notice was rendered; this violates the workbook's required announced recovery behavior.</x:v>
      </x:c>
      <x:c r="P17" s="70" t="str">
        <x:v>docs/qa/evidence/finding-a-table-invalid-recovery.png; browser URL trace</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Owner Review Required</x:v>
      </x:c>
      <x:c r="O18" s="71" t="str">
        <x:v>Objective five-viewport audit passed no horizontal overflow and focused-heading bounds; owner must judge readable composition, clipping, and visual comfort at each width.</x:v>
      </x:c>
      <x:c r="P18" s="71" t="str">
        <x:v>docs/qa/evidence/strategium-hub-1440x900.png; docs/qa/evidence/during-game-initial-320x568-viewport-settled.png; responsive browser trace</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conditionalFormatting sqref="N5:N19">
    <x:cfRule type="containsText" dxfId="18" priority="4" operator="containsText" text="Automated Pass"/>
    <x:cfRule type="containsText" dxfId="19" priority="5" operator="containsText" text="Automated Fail"/>
    <x:cfRule type="containsText" dxfId="20" priority="6" operator="containsText" text="Owner Review Required"/>
    <x:cfRule type="containsText" dxfId="21"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77d5b493331c4fa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Automated Fail</x:v>
      </x:c>
      <x:c r="O5" s="70" t="str">
        <x:v>Route/options/category are reachable, but the generated statement uses a two-semicolon chain in every 1,935,360 enumerated output, contrary to the required natural statement grammar.</x:v>
      </x:c>
      <x:c r="P5" s="70" t="str">
        <x:v>docs/qa/evidence/evaluator-audit.json; npm.cmd run test:strategium-lifecycle; browser trace</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Automated Fail</x:v>
      </x:c>
      <x:c r="O6" s="70" t="str">
        <x:v>Route/options/category are reachable, but the generated statement uses a two-semicolon chain in every 1,935,360 enumerated output, contrary to the required natural statement grammar.</x:v>
      </x:c>
      <x:c r="P6" s="70" t="str">
        <x:v>docs/qa/evidence/evaluator-audit.json; npm.cmd run test:strategium-lifecycle; browser trace</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Automated Fail</x:v>
      </x:c>
      <x:c r="O7" s="70" t="str">
        <x:v>Route/options/category are reachable, but the generated statement uses a two-semicolon chain in every 1,935,360 enumerated output, contrary to the required natural statement grammar.</x:v>
      </x:c>
      <x:c r="P7" s="70" t="str">
        <x:v>docs/qa/evidence/evaluator-audit.json; npm.cmd run test:strategium-lifecycle; browser trace</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Automated Fail</x:v>
      </x:c>
      <x:c r="O8" s="70" t="str">
        <x:v>Route reaches a result, but Tutors does not trigger the expected name-the-surprise category and the house-rule agreement is dropped from generated output; every generated statement also uses a semicolon chain.</x:v>
      </x:c>
      <x:c r="P8" s="70" t="str">
        <x:v>docs/qa/evidence/evaluator-audit.json; npm.cmd run test:strategium-lifecycle; browser trace</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Automated Fail</x:v>
      </x:c>
      <x:c r="O9" s="70" t="str">
        <x:v>Route reaches a result, but one or more selected disclosure/agreement values disappear because UI option IDs do not match evaluator copy keys; generated statements also use a semicolon chain.</x:v>
      </x:c>
      <x:c r="P9" s="70" t="str">
        <x:v>docs/qa/evidence/evaluator-audit.json; npm.cmd run test:strategium-lifecycle; browser trace</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Automated Fail</x:v>
      </x:c>
      <x:c r="O10" s="70" t="str">
        <x:v>Route/options/category are reachable, but the generated statement uses a two-semicolon chain in every 1,935,360 enumerated output, contrary to the required natural statement grammar.</x:v>
      </x:c>
      <x:c r="P10" s="70" t="str">
        <x:v>docs/qa/evidence/evaluator-audit.json; npm.cmd run test:strategium-lifecycle; browser trace</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Automated Fail</x:v>
      </x:c>
      <x:c r="O11" s="70" t="str">
        <x:v>Route/options/category are reachable, but the generated statement uses a two-semicolon chain in every 1,935,360 enumerated output, contrary to the required natural statement grammar.</x:v>
      </x:c>
      <x:c r="P11" s="70" t="str">
        <x:v>docs/qa/evidence/evaluator-audit.json; npm.cmd run test:strategium-lifecycle; browser trace</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Automated Fail</x:v>
      </x:c>
      <x:c r="O12" s="70" t="str">
        <x:v>Route/options/category are reachable, but the generated statement uses a two-semicolon chain in every 1,935,360 enumerated output, contrary to the required natural statement grammar.</x:v>
      </x:c>
      <x:c r="P12" s="70" t="str">
        <x:v>docs/qa/evidence/evaluator-audit.json; npm.cmd run test:strategium-lifecycle; browser trace</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Automated Fail</x:v>
      </x:c>
      <x:c r="O13" s="70" t="str">
        <x:v>Route/options/category are reachable, but the generated statement uses a two-semicolon chain in every 1,935,360 enumerated output, contrary to the required natural statement grammar.</x:v>
      </x:c>
      <x:c r="P13" s="70" t="str">
        <x:v>docs/qa/evidence/evaluator-audit.json; npm.cmd run test:strategium-lifecycle; browser trace</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Automated Fail</x:v>
      </x:c>
      <x:c r="O14" s="70" t="str">
        <x:v>Route/options/category are reachable, but the generated statement uses a two-semicolon chain in every 1,935,360 enumerated output, contrary to the required natural statement grammar.</x:v>
      </x:c>
      <x:c r="P14" s="70" t="str">
        <x:v>docs/qa/evidence/evaluator-audit.json; npm.cmd run test:strategium-lifecycle; browser trace</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Automated Fail</x:v>
      </x:c>
      <x:c r="O15" s="70" t="str">
        <x:v>Route reaches a result, but Fast mana is absent from disclosure and statement because the UI ID does not match the evaluator copy key; generated statements also use a semicolon chain.</x:v>
      </x:c>
      <x:c r="P15" s="70" t="str">
        <x:v>docs/qa/evidence/evaluator-audit.json; npm.cmd run test:strategium-lifecycle; browser trace</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Automated Fail</x:v>
      </x:c>
      <x:c r="O16" s="70" t="str">
        <x:v>Selected disclosure reaches a result and appears in the output, but the generated statement uses the same two-semicolon chain found in all 1,935,360 enumerated outputs.</x:v>
      </x:c>
      <x:c r="P16" s="70" t="str">
        <x:v>docs/qa/evidence/evaluator-audit.json; npm.cmd run test:strategium-lifecycle; browser trace</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Automated Fail</x:v>
      </x:c>
      <x:c r="O17" s="70" t="str">
        <x:v>Selected disclosure reaches a result and appears in the output, but the generated statement uses the same two-semicolon chain found in all 1,935,360 enumerated outputs.</x:v>
      </x:c>
      <x:c r="P17" s="70" t="str">
        <x:v>docs/qa/evidence/evaluator-audit.json; npm.cmd run test:strategium-lifecycle; browser trace</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Automated Fail</x:v>
      </x:c>
      <x:c r="O18" s="70" t="str">
        <x:v>Route reaches a result, but one or more selected disclosure/agreement values disappear because UI option IDs do not match evaluator copy keys; generated statements also use a semicolon chain.</x:v>
      </x:c>
      <x:c r="P18" s="70" t="str">
        <x:v>docs/qa/evidence/evaluator-audit.json; npm.cmd run test:strategium-lifecycle; browser trace</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Automated Fail</x:v>
      </x:c>
      <x:c r="O19" s="70" t="str">
        <x:v>Route reaches a result, but one or more selected disclosure/agreement values disappear because UI option IDs do not match evaluator copy keys; generated statements also use a semicolon chain.</x:v>
      </x:c>
      <x:c r="P19" s="70" t="str">
        <x:v>docs/qa/evidence/evaluator-audit.json; npm.cmd run test:strategium-lifecycle; browser trace</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Automated Fail</x:v>
      </x:c>
      <x:c r="O20" s="70" t="str">
        <x:v>Route reaches a result, but one or more selected disclosure/agreement values disappear because UI option IDs do not match evaluator copy keys; generated statements also use a semicolon chain.</x:v>
      </x:c>
      <x:c r="P20" s="70" t="str">
        <x:v>docs/qa/evidence/evaluator-audit.json; npm.cmd run test:strategium-lifecycle; browser trace</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Automated Fail</x:v>
      </x:c>
      <x:c r="O21" s="70" t="str">
        <x:v>Selected disclosure reaches a result and appears in the output, but the generated statement uses the same two-semicolon chain found in all 1,935,360 enumerated outputs.</x:v>
      </x:c>
      <x:c r="P21" s="70" t="str">
        <x:v>docs/qa/evidence/evaluator-audit.json; npm.cmd run test:strategium-lifecycle; browser trace</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Automated Fail</x:v>
      </x:c>
      <x:c r="O22" s="70" t="str">
        <x:v>Selected disclosure reaches a result and appears in the output, but the generated statement uses the same two-semicolon chain found in all 1,935,360 enumerated outputs.</x:v>
      </x:c>
      <x:c r="P22" s="70" t="str">
        <x:v>docs/qa/evidence/evaluator-audit.json; npm.cmd run test:strategium-lifecycle; browser trace</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Automated Pass</x:v>
      </x:c>
      <x:c r="O23" s="70" t="str">
        <x:v>Multi-select audit passed: selecting a value clears None, selecting None clears prior values, and the URL stays unchanged until Continue.</x:v>
      </x:c>
      <x:c r="P23" s="70" t="str">
        <x:v>docs/qa/evidence/evaluator-audit.json; npm.cmd run test:strategium-lifecycle; browser trace</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Automated Fail</x:v>
      </x:c>
      <x:c r="O24" s="70" t="str">
        <x:v>Route reaches a result, but one or more selected disclosure/agreement values disappear because UI option IDs do not match evaluator copy keys; generated statements also use a semicolon chain.</x:v>
      </x:c>
      <x:c r="P24" s="70" t="str">
        <x:v>docs/qa/evidence/evaluator-audit.json; npm.cmd run test:strategium-lifecycle; browser trace</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Automated Fail</x:v>
      </x:c>
      <x:c r="O25" s="70" t="str">
        <x:v>Route reaches a result, but one or more selected disclosure/agreement values disappear because UI option IDs do not match evaluator copy keys; generated statements also use a semicolon chain.</x:v>
      </x:c>
      <x:c r="P25" s="70" t="str">
        <x:v>docs/qa/evidence/evaluator-audit.json; npm.cmd run test:strategium-lifecycle; browser trace</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Automated Fail</x:v>
      </x:c>
      <x:c r="O26" s="70" t="str">
        <x:v>Route reaches a result, but one or more selected disclosure/agreement values disappear because UI option IDs do not match evaluator copy keys; generated statements also use a semicolon chain.</x:v>
      </x:c>
      <x:c r="P26" s="70" t="str">
        <x:v>docs/qa/evidence/evaluator-audit.json; npm.cmd run test:strategium-lifecycle; browser trace</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Automated Fail</x:v>
      </x:c>
      <x:c r="O27" s="70" t="str">
        <x:v>Route/options/category are reachable, but the generated statement uses a two-semicolon chain in every 1,935,360 enumerated output, contrary to the required natural statement grammar.</x:v>
      </x:c>
      <x:c r="P27" s="70" t="str">
        <x:v>docs/qa/evidence/evaluator-audit.json; docs/qa/evidence/before-the-game-result-1440x900.png</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Automated Fail</x:v>
      </x:c>
      <x:c r="O28" s="70" t="str">
        <x:v>Route/options/category are reachable, but the generated statement uses a two-semicolon chain in every 1,935,360 enumerated output, contrary to the required natural statement grammar.</x:v>
      </x:c>
      <x:c r="P28" s="70" t="str">
        <x:v>docs/qa/evidence/evaluator-audit.json; docs/qa/evidence/before-the-game-result-1440x900.png</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Automated Fail</x:v>
      </x:c>
      <x:c r="O29" s="70" t="str">
        <x:v>Route/options/category are reachable, but the generated statement uses a two-semicolon chain in every 1,935,360 enumerated output, contrary to the required natural statement grammar.</x:v>
      </x:c>
      <x:c r="P29" s="70" t="str">
        <x:v>docs/qa/evidence/evaluator-audit.json; docs/qa/evidence/before-the-game-result-1440x900.png</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Automated Fail</x:v>
      </x:c>
      <x:c r="O30" s="70" t="str">
        <x:v>Route/options/category are reachable, but the generated statement uses a two-semicolon chain in every 1,935,360 enumerated output, contrary to the required natural statement grammar.</x:v>
      </x:c>
      <x:c r="P30" s="70" t="str">
        <x:v>docs/qa/evidence/evaluator-audit.json; docs/qa/evidence/before-the-game-result-1440x900.png</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Owner Review Required</x:v>
      </x:c>
      <x:c r="O31" s="70" t="str">
        <x:v>Clipboard-available browser run copied the exact visible sentence and showed ‘Copied for the table.’; blocked-clipboard fallback was not independently forced. Owner must judge fallback affordance and editorial naturalness.</x:v>
      </x:c>
      <x:c r="P31" s="70" t="str">
        <x:v>browser clipboard trace; docs/qa/evidence/before-the-game-result-1440x900.png</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Automated Fail</x:v>
      </x:c>
      <x:c r="O32" s="70" t="str">
        <x:v>Route/options/category are reachable, but the generated statement uses a two-semicolon chain in every 1,935,360 enumerated output, contrary to the required natural statement grammar.</x:v>
      </x:c>
      <x:c r="P32" s="70" t="str">
        <x:v>docs/qa/evidence/before-game-final-step-continue.png; browser URL trace</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Owner Review Required</x:v>
      </x:c>
      <x:c r="O33" s="71" t="str">
        <x:v>Objective five-viewport audit passed overflow and focus-bound checks; owner must judge long-copy wrapping, card readability, and visual/editorial comfort.</x:v>
      </x:c>
      <x:c r="P33" s="71" t="str">
        <x:v>docs/qa/evidence/strategium-hub-1440x900.png; docs/qa/evidence/during-game-initial-320x568-viewport-settled.png; responsive browser trace</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conditionalFormatting sqref="N5:N34">
    <x:cfRule type="containsText" dxfId="22" priority="4" operator="containsText" text="Automated Pass"/>
    <x:cfRule type="containsText" dxfId="23" priority="5" operator="containsText" text="Automated Fail"/>
    <x:cfRule type="containsText" dxfId="24" priority="6" operator="containsText" text="Owner Review Required"/>
    <x:cfRule type="containsText" dxfId="25" priority="7" operator="containsText" text="Blocked"/>
  </x:conditionalFormatting>
  <x:dataValidations count="2">
    <x:dataValidation type="list" sqref="N5:N33">
      <x:formula1>"Not Run,Pass,Fail,Blocked,Not Applicable"</x:formula1>
    </x:dataValidation>
    <x:dataValidation type="list" sqref="N5:N34">
      <x:formula1>"Automated Pass,Automated Fail,Owner Review Required,Blocked"</x:formula1>
    </x:dataValidation>
  </x:dataValidations>
  <x:pageMargins left="0.7" right="0.7" top="0.75" bottom="0.75" header="0.3" footer="0.3"/>
  <x:tableParts count="1">
    <x:tablePart xmlns:r="http://schemas.openxmlformats.org/officeDocument/2006/relationships" r:id="R2b7e5fb7094e40a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Automated Fail</x:v>
      </x:c>
      <x:c r="O5" s="70" t="str">
        <x:v>Moment/category and four-card result are correct, but the selected response renders the fallback ‘Choose the smallest useful response’ instead of the requested response label.</x:v>
      </x:c>
      <x:c r="P5" s="70" t="str">
        <x:v>docs/qa/evidence/during-response-pair-audit.json; docs/qa/evidence/during-the-game-rules-result-1440x900.png</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Automated Fail</x:v>
      </x:c>
      <x:c r="O6" s="70" t="str">
        <x:v>Moment/category and four-card result are correct, but the selected response renders the fallback ‘Choose the smallest useful response’ instead of the requested response label.</x:v>
      </x:c>
      <x:c r="P6" s="70" t="str">
        <x:v>docs/qa/evidence/during-response-pair-audit.json; docs/qa/evidence/during-the-game-rules-result-1440x900.png</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Automated Fail</x:v>
      </x:c>
      <x:c r="O7" s="70" t="str">
        <x:v>Moment/category and four-card result are correct, but the selected response renders the fallback ‘Choose the smallest useful response’ instead of the requested response label.</x:v>
      </x:c>
      <x:c r="P7" s="70" t="str">
        <x:v>docs/qa/evidence/during-response-pair-audit.json; docs/qa/evidence/during-the-game-rules-result-1440x900.png</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Automated Fail</x:v>
      </x:c>
      <x:c r="O8" s="70" t="str">
        <x:v>Moment/category and four-card result are correct, but the selected response renders the fallback ‘Choose the smallest useful response’ instead of the requested response label.</x:v>
      </x:c>
      <x:c r="P8" s="70" t="str">
        <x:v>docs/qa/evidence/during-response-pair-audit.json; docs/qa/evidence/during-the-game-rules-result-1440x900.png</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Automated Fail</x:v>
      </x:c>
      <x:c r="O9" s="70" t="str">
        <x:v>Moment/category and four-card result are correct, but the selected response renders the fallback ‘Choose the smallest useful response’ instead of the requested response label.</x:v>
      </x:c>
      <x:c r="P9" s="70" t="str">
        <x:v>docs/qa/evidence/during-response-pair-audit.json; docs/qa/evidence/during-the-game-rules-result-1440x900.png</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Automated Fail</x:v>
      </x:c>
      <x:c r="O10" s="70" t="str">
        <x:v>Moment/category and four-card result are correct, but the selected response renders the fallback ‘Choose the smallest useful response’ instead of the requested response label.</x:v>
      </x:c>
      <x:c r="P10" s="70" t="str">
        <x:v>docs/qa/evidence/during-response-pair-audit.json; docs/qa/evidence/during-the-game-rules-result-1440x900.png</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Automated Fail</x:v>
      </x:c>
      <x:c r="O11" s="70" t="str">
        <x:v>All 48 moment/response pairs reached deterministic results, but all 48 rendered the fallback ‘Choose the smallest useful response’ instead of the selected response label.</x:v>
      </x:c>
      <x:c r="P11" s="70" t="str">
        <x:v>docs/qa/evidence/during-response-pair-audit.json; docs/qa/evidence/during-the-game-rules-result-1440x900.png</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Automated Fail</x:v>
      </x:c>
      <x:c r="O12" s="70" t="str">
        <x:v>All 48 moment/response pairs reached deterministic results, but all 48 rendered the fallback ‘Choose the smallest useful response’ instead of the selected response label.</x:v>
      </x:c>
      <x:c r="P12" s="70" t="str">
        <x:v>docs/qa/evidence/during-response-pair-audit.json; docs/qa/evidence/during-the-game-rules-result-1440x900.png</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Automated Pass</x:v>
      </x:c>
      <x:c r="O13" s="70" t="str">
        <x:v>Deterministic evaluator exercised all six moments and 48 response pairs; categories and four-card output were stable, and the targeted safety scan found no affirmative prohibited advice.</x:v>
      </x:c>
      <x:c r="P13" s="70" t="str">
        <x:v>docs/qa/evidence/evaluator-audit.json; docs/qa/evidence/during-response-pair-audit.json; npm.cmd run test:strategium-lifecycle; browser trace</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Automated Pass</x:v>
      </x:c>
      <x:c r="O14" s="70" t="str">
        <x:v>Deterministic evaluator exercised all six moments and 48 response pairs; categories and four-card output were stable, and the targeted safety scan found no affirmative prohibited advice.</x:v>
      </x:c>
      <x:c r="P14" s="70" t="str">
        <x:v>docs/qa/evidence/evaluator-audit.json; docs/qa/evidence/during-response-pair-audit.json; npm.cmd run test:strategium-lifecycle; browser trace</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Automated Pass</x:v>
      </x:c>
      <x:c r="O15" s="70" t="str">
        <x:v>Deterministic evaluator exercised all six moments and 48 response pairs; categories and four-card output were stable, and the targeted safety scan found no affirmative prohibited advice.</x:v>
      </x:c>
      <x:c r="P15" s="70" t="str">
        <x:v>docs/qa/evidence/evaluator-audit.json; docs/qa/evidence/during-response-pair-audit.json; npm.cmd run test:strategium-lifecycle; browser trace</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Automated Pass</x:v>
      </x:c>
      <x:c r="O16" s="70" t="str">
        <x:v>Deterministic evaluator exercised all six moments and 48 response pairs; categories and four-card output were stable, and the targeted safety scan found no affirmative prohibited advice.</x:v>
      </x:c>
      <x:c r="P16" s="70" t="str">
        <x:v>docs/qa/evidence/evaluator-audit.json; docs/qa/evidence/during-response-pair-audit.json; npm.cmd run test:strategium-lifecycle; browser trace</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Owner Review Required</x:v>
      </x:c>
      <x:c r="O17" s="70" t="str">
        <x:v>Objective responsive/focus audit passed at the required sizes; owner must judge the thin-flow visual hierarchy and readability.</x:v>
      </x:c>
      <x:c r="P17" s="70" t="str">
        <x:v>docs/qa/evidence/strategium-hub-1440x900.png; docs/qa/evidence/during-game-initial-320x568-viewport-settled.png; responsive browser trace</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Automated Fail</x:v>
      </x:c>
      <x:c r="O18" s="71" t="str">
        <x:v>Invalid/extra URL state normalized to the nearest valid question, but no visible recovery notice was rendered; this violates the workbook's required announced recovery behavior.</x:v>
      </x:c>
      <x:c r="P18" s="71" t="str">
        <x:v>docs/qa/evidence/finding-a-table-invalid-recovery.png; browser URL trace</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conditionalFormatting sqref="N5:N19">
    <x:cfRule type="containsText" dxfId="26" priority="4" operator="containsText" text="Automated Pass"/>
    <x:cfRule type="containsText" dxfId="27" priority="5" operator="containsText" text="Automated Fail"/>
    <x:cfRule type="containsText" dxfId="28" priority="6" operator="containsText" text="Owner Review Required"/>
    <x:cfRule type="containsText" dxfId="29"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ef67fb53903e431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Automated Pass</x:v>
      </x:c>
      <x:c r="O5" s="70" t="str">
        <x:v>Focused lifecycle suite and browser trace verified URL/state behavior for the covered transition; see row-specific recovery/keyboard findings.</x:v>
      </x:c>
      <x:c r="P5" s="70" t="str">
        <x:v>npm.cmd run test:strategium-lifecycle; browser history/recovery trace</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Automated Pass</x:v>
      </x:c>
      <x:c r="O6" s="70" t="str">
        <x:v>Focused lifecycle suite and browser trace verified URL/state behavior for the covered transition; see row-specific recovery/keyboard findings.</x:v>
      </x:c>
      <x:c r="P6" s="70" t="str">
        <x:v>npm.cmd run test:strategium-lifecycle; browser history/recovery trace</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Automated Pass</x:v>
      </x:c>
      <x:c r="O7" s="70" t="str">
        <x:v>Focused lifecycle suite and browser trace verified URL/state behavior for the covered transition; see row-specific recovery/keyboard findings.</x:v>
      </x:c>
      <x:c r="P7" s="70" t="str">
        <x:v>npm.cmd run test:strategium-lifecycle; browser history/recovery trace</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Automated Pass</x:v>
      </x:c>
      <x:c r="O8" s="70" t="str">
        <x:v>Focused lifecycle suite and browser trace verified URL/state behavior for the covered transition; see row-specific recovery/keyboard findings.</x:v>
      </x:c>
      <x:c r="P8" s="70" t="str">
        <x:v>npm.cmd run test:strategium-lifecycle; browser history/recovery trace</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Automated Pass</x:v>
      </x:c>
      <x:c r="O9" s="70" t="str">
        <x:v>Focused lifecycle suite and browser trace verified URL/state behavior for the covered transition; see row-specific recovery/keyboard findings.</x:v>
      </x:c>
      <x:c r="P9" s="70" t="str">
        <x:v>npm.cmd run test:strategium-lifecycle; browser history/recovery trace</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Automated Pass</x:v>
      </x:c>
      <x:c r="O10" s="70" t="str">
        <x:v>Focused lifecycle suite and browser trace verified URL/state behavior for the covered transition; see row-specific recovery/keyboard findings.</x:v>
      </x:c>
      <x:c r="P10" s="70" t="str">
        <x:v>npm.cmd run test:strategium-lifecycle; browser history/recovery trace</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Automated Pass</x:v>
      </x:c>
      <x:c r="O11" s="70" t="str">
        <x:v>Focused lifecycle suite and browser trace verified URL/state behavior for the covered transition; see row-specific recovery/keyboard findings.</x:v>
      </x:c>
      <x:c r="P11" s="70" t="str">
        <x:v>npm.cmd run test:strategium-lifecycle; browser history/recovery trace</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Automated Pass</x:v>
      </x:c>
      <x:c r="O12" s="70" t="str">
        <x:v>Focused lifecycle suite and browser trace verified URL/state behavior for the covered transition; see row-specific recovery/keyboard findings.</x:v>
      </x:c>
      <x:c r="P12" s="70" t="str">
        <x:v>npm.cmd run test:strategium-lifecycle; browser history/recovery trace</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Automated Pass</x:v>
      </x:c>
      <x:c r="O13" s="70" t="str">
        <x:v>Focused lifecycle suite and browser trace verified URL/state behavior for the covered transition; see row-specific recovery/keyboard findings.</x:v>
      </x:c>
      <x:c r="P13" s="70" t="str">
        <x:v>npm.cmd run test:strategium-lifecycle; browser history/recovery trace</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Automated Pass</x:v>
      </x:c>
      <x:c r="O14" s="70" t="str">
        <x:v>Focused lifecycle suite and browser trace verified URL/state behavior for the covered transition; see row-specific recovery/keyboard findings.</x:v>
      </x:c>
      <x:c r="P14" s="70" t="str">
        <x:v>npm.cmd run test:strategium-lifecycle; browser history/recovery trace</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Automated Pass</x:v>
      </x:c>
      <x:c r="O15" s="70" t="str">
        <x:v>Focused lifecycle suite and browser trace verified URL/state behavior for the covered transition; see row-specific recovery/keyboard findings.</x:v>
      </x:c>
      <x:c r="P15" s="70" t="str">
        <x:v>npm.cmd run test:strategium-lifecycle; browser history/recovery trace</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Automated Pass</x:v>
      </x:c>
      <x:c r="O16" s="70" t="str">
        <x:v>Focused lifecycle suite and browser trace verified URL/state behavior for the covered transition; see row-specific recovery/keyboard findings.</x:v>
      </x:c>
      <x:c r="P16" s="70" t="str">
        <x:v>npm.cmd run test:strategium-lifecycle; browser history/recovery trace</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Automated Pass</x:v>
      </x:c>
      <x:c r="O17" s="70" t="str">
        <x:v>Focused lifecycle suite and browser trace verified URL/state behavior for the covered transition; see row-specific recovery/keyboard findings.</x:v>
      </x:c>
      <x:c r="P17" s="70" t="str">
        <x:v>npm.cmd run test:strategium-lifecycle; browser history/recovery trace</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Automated Pass</x:v>
      </x:c>
      <x:c r="O18" s="70" t="str">
        <x:v>Focused lifecycle suite and browser trace verified URL/state behavior for the covered transition; see row-specific recovery/keyboard findings.</x:v>
      </x:c>
      <x:c r="P18" s="70" t="str">
        <x:v>npm.cmd run test:strategium-lifecycle; browser history/recovery trace</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Blocked</x:v>
      </x:c>
      <x:c r="O19" s="70" t="str">
        <x:v>Native button/link semantics and focus styles are present, but this browser automation surface did not activate buttons through isolated Enter/Space presses; keyboard-only activation remains blocked for this run.</x:v>
      </x:c>
      <x:c r="P19" s="70" t="str">
        <x:v>browser keyboard trace; native button/link static inspection</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Automated Fail</x:v>
      </x:c>
      <x:c r="O20" s="70" t="str">
        <x:v>Invalid/extra URL state normalized to the nearest valid question, but no visible recovery notice was rendered; this violates the workbook's required announced recovery behavior.</x:v>
      </x:c>
      <x:c r="P20" s="70" t="str">
        <x:v>docs/qa/evidence/finding-a-table-invalid-recovery.png; browser URL trace</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Automated Fail</x:v>
      </x:c>
      <x:c r="O21" s="70" t="str">
        <x:v>Invalid/extra URL state normalized to the nearest valid question, but no visible recovery notice was rendered; this violates the workbook's required announced recovery behavior.</x:v>
      </x:c>
      <x:c r="P21" s="70" t="str">
        <x:v>docs/qa/evidence/finding-a-table-invalid-recovery.png; browser URL trace</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Owner Review Required</x:v>
      </x:c>
      <x:c r="O22" s="70" t="str">
        <x:v>Objective bounds passed at 1440, 1024, 768, 390, and 320 widths; owner must judge visible focus ring, visual overlap, and settled scrolling.</x:v>
      </x:c>
      <x:c r="P22" s="70" t="str">
        <x:v>docs/qa/evidence/strategium-hub-1440x900.png; docs/qa/evidence/during-game-initial-320x568-viewport-settled.png; responsive browser trace</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Automated Pass</x:v>
      </x:c>
      <x:c r="O23" s="70" t="str">
        <x:v>Focused lifecycle suite and browser trace verified URL/state behavior for the covered transition; see row-specific recovery/keyboard findings.</x:v>
      </x:c>
      <x:c r="P23" s="70" t="str">
        <x:v>npm.cmd run test:strategium-lifecycle; browser history/recovery trace</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Automated Pass</x:v>
      </x:c>
      <x:c r="O24" s="71" t="str">
        <x:v>Focused lifecycle suite and browser trace verified URL/state behavior for the covered transition; see row-specific recovery/keyboard findings.</x:v>
      </x:c>
      <x:c r="P24" s="71" t="str">
        <x:v>npm.cmd run test:strategium-lifecycle; browser history/recovery trace</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conditionalFormatting sqref="N5:N25">
    <x:cfRule type="containsText" dxfId="30" priority="4" operator="containsText" text="Automated Pass"/>
    <x:cfRule type="containsText" dxfId="31" priority="5" operator="containsText" text="Automated Fail"/>
    <x:cfRule type="containsText" dxfId="32" priority="6" operator="containsText" text="Owner Review Required"/>
    <x:cfRule type="containsText" dxfId="33" priority="7" operator="containsText" text="Blocked"/>
  </x:conditionalFormatting>
  <x:dataValidations count="2">
    <x:dataValidation type="list" sqref="N5:N24">
      <x:formula1>"Not Run,Pass,Fail,Blocked,Not Applicable"</x:formula1>
    </x:dataValidation>
    <x:dataValidation type="list" sqref="N5:N25">
      <x:formula1>"Automated Pass,Automated Fail,Owner Review Required,Blocked"</x:formula1>
    </x:dataValidation>
  </x:dataValidations>
  <x:pageMargins left="0.7" right="0.7" top="0.75" bottom="0.75" header="0.3" footer="0.3"/>
  <x:tableParts count="1">
    <x:tablePart xmlns:r="http://schemas.openxmlformats.org/officeDocument/2006/relationships" r:id="Ra560e367238a482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Automated Pass</x:v>
      </x:c>
      <x:c r="O5" s="70" t="str">
        <x:v>Review/regression suites and browser checks verified route/link/metadata behavior; visual portions remain owner-gated where marked.</x:v>
      </x:c>
      <x:c r="P5" s="70" t="str">
        <x:v>npm.cmd run test:strategium-review; npm.cmd run test:browser-smoke; npm.cmd run test:route-metadata; browser trace</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Automated Pass</x:v>
      </x:c>
      <x:c r="O6" s="70" t="str">
        <x:v>Review/regression suites and browser checks verified route/link/metadata behavior; visual portions remain owner-gated where marked.</x:v>
      </x:c>
      <x:c r="P6" s="70" t="str">
        <x:v>npm.cmd run test:strategium-review; npm.cmd run test:browser-smoke; npm.cmd run test:route-metadata; browser trace</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Automated Pass</x:v>
      </x:c>
      <x:c r="O7" s="70" t="str">
        <x:v>Review/regression suites and browser checks verified route/link/metadata behavior; visual portions remain owner-gated where marked.</x:v>
      </x:c>
      <x:c r="P7" s="70" t="str">
        <x:v>npm.cmd run test:strategium-review; npm.cmd run test:browser-smoke; npm.cmd run test:route-metadata; browser trace</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Automated Pass</x:v>
      </x:c>
      <x:c r="O8" s="70" t="str">
        <x:v>Review/regression suites and browser checks verified route/link/metadata behavior; visual portions remain owner-gated where marked.</x:v>
      </x:c>
      <x:c r="P8" s="70" t="str">
        <x:v>npm.cmd run test:strategium-review; npm.cmd run test:browser-smoke; npm.cmd run test:route-metadata; browser trace</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Automated Pass</x:v>
      </x:c>
      <x:c r="O9" s="70" t="str">
        <x:v>Review/regression suites and browser checks verified route/link/metadata behavior; visual portions remain owner-gated where marked.</x:v>
      </x:c>
      <x:c r="P9" s="70" t="str">
        <x:v>npm.cmd run test:strategium-review; npm.cmd run test:browser-smoke; npm.cmd run test:route-metadata; browser trace</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Automated Pass</x:v>
      </x:c>
      <x:c r="O10" s="70" t="str">
        <x:v>Review/regression suites and browser checks verified route/link/metadata behavior; visual portions remain owner-gated where marked.</x:v>
      </x:c>
      <x:c r="P10" s="70" t="str">
        <x:v>npm.cmd run test:strategium-review; npm.cmd run test:browser-smoke; npm.cmd run test:route-metadata; browser trace</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Automated Pass</x:v>
      </x:c>
      <x:c r="O11" s="70" t="str">
        <x:v>Review/regression suites and browser checks verified route/link/metadata behavior; visual portions remain owner-gated where marked.</x:v>
      </x:c>
      <x:c r="P11" s="70" t="str">
        <x:v>npm.cmd run test:strategium-review; npm.cmd run test:browser-smoke; npm.cmd run test:route-metadata; browser trace</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Automated Pass</x:v>
      </x:c>
      <x:c r="O12" s="70" t="str">
        <x:v>Review/regression suites and browser checks verified route/link/metadata behavior; visual portions remain owner-gated where marked.</x:v>
      </x:c>
      <x:c r="P12" s="70" t="str">
        <x:v>npm.cmd run test:strategium-review; npm.cmd run test:browser-smoke; npm.cmd run test:route-metadata; browser trace</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Automated Pass</x:v>
      </x:c>
      <x:c r="O13" s="70" t="str">
        <x:v>Review/regression suites and browser checks verified route/link/metadata behavior; visual portions remain owner-gated where marked.</x:v>
      </x:c>
      <x:c r="P13" s="70" t="str">
        <x:v>npm.cmd run test:strategium-review; npm.cmd run test:browser-smoke; npm.cmd run test:route-metadata; browser trace</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Owner Review Required</x:v>
      </x:c>
      <x:c r="O14" s="70" t="str">
        <x:v>Objective link/count/overflow/focus or static reduced-motion checks passed; owner must judge visual balance, focus-ring visibility, and settled motion behavior.</x:v>
      </x:c>
      <x:c r="P14" s="70" t="str">
        <x:v>docs/qa/evidence/strategium-hub-1440x900.png; docs/qa/evidence/during-game-initial-320x568-viewport-settled.png; responsive browser trace</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Owner Review Required</x:v>
      </x:c>
      <x:c r="O15" s="70" t="str">
        <x:v>Objective link/count/overflow/focus or static reduced-motion checks passed; owner must judge visual balance, focus-ring visibility, and settled motion behavior.</x:v>
      </x:c>
      <x:c r="P15" s="70" t="str">
        <x:v>docs/qa/evidence/strategium-hub-1440x900.png; docs/qa/evidence/during-game-initial-320x568-viewport-settled.png; responsive browser trace</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Owner Review Required</x:v>
      </x:c>
      <x:c r="O16" s="70" t="str">
        <x:v>Clipboard-available success feedback was verified; blocked-clipboard behavior was not forced. Owner must judge fallback feedback and lack of misleading persistence language.</x:v>
      </x:c>
      <x:c r="P16" s="70" t="str">
        <x:v>browser clipboard trace; docs/qa/evidence/before-the-game-result-1440x900.png</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Automated Pass</x:v>
      </x:c>
      <x:c r="O17" s="70" t="str">
        <x:v>Review/regression suites and browser checks verified route/link/metadata behavior; visual portions remain owner-gated where marked.</x:v>
      </x:c>
      <x:c r="P17" s="70" t="str">
        <x:v>npm.cmd run test:strategium-review; npm.cmd run test:browser-smoke; npm.cmd run test:route-metadata; browser trace</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Automated Pass</x:v>
      </x:c>
      <x:c r="O18" s="70" t="str">
        <x:v>Review/regression suites and browser checks verified route/link/metadata behavior; visual portions remain owner-gated where marked.</x:v>
      </x:c>
      <x:c r="P18" s="70" t="str">
        <x:v>npm.cmd run test:strategium-review; npm.cmd run test:browser-smoke; npm.cmd run test:route-metadata; browser trace</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Automated Pass</x:v>
      </x:c>
      <x:c r="O19" s="70" t="str">
        <x:v>Review/regression suites and browser checks verified route/link/metadata behavior; visual portions remain owner-gated where marked.</x:v>
      </x:c>
      <x:c r="P19" s="70" t="str">
        <x:v>npm.cmd run test:strategium-review; npm.cmd run test:browser-smoke; npm.cmd run test:route-metadata; browser trace</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Automated Pass</x:v>
      </x:c>
      <x:c r="O20" s="70" t="str">
        <x:v>Review/regression suites and browser checks verified route/link/metadata behavior; visual portions remain owner-gated where marked.</x:v>
      </x:c>
      <x:c r="P20" s="70" t="str">
        <x:v>npm.cmd run test:strategium-review; npm.cmd run test:browser-smoke; npm.cmd run test:route-metadata; browser trace</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Owner Review Required</x:v>
      </x:c>
      <x:c r="O21" s="70" t="str">
        <x:v>Objective link/count/overflow/focus or static reduced-motion checks passed; owner must judge visual balance, focus-ring visibility, and settled motion behavior.</x:v>
      </x:c>
      <x:c r="P21" s="70" t="str">
        <x:v>docs/qa/evidence/strategium-hub-1440x900.png; docs/qa/evidence/during-game-initial-320x568-viewport-settled.png; responsive browser trace</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Automated Pass</x:v>
      </x:c>
      <x:c r="O22" s="71" t="str">
        <x:v>Review/regression suites and browser checks verified route/link/metadata behavior; visual portions remain owner-gated where marked.</x:v>
      </x:c>
      <x:c r="P22" s="71" t="str">
        <x:v>npm.cmd run test:strategium-review; npm.cmd run test:browser-smoke; npm.cmd run test:route-metadata; browser trace</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conditionalFormatting sqref="N5:N23">
    <x:cfRule type="containsText" dxfId="34" priority="4" operator="containsText" text="Automated Pass"/>
    <x:cfRule type="containsText" dxfId="35" priority="5" operator="containsText" text="Automated Fail"/>
    <x:cfRule type="containsText" dxfId="36" priority="6" operator="containsText" text="Owner Review Required"/>
    <x:cfRule type="containsText" dxfId="37" priority="7" operator="containsText" text="Blocked"/>
  </x:conditionalFormatting>
  <x:dataValidations count="2">
    <x:dataValidation type="list" sqref="N5:N22">
      <x:formula1>"Not Run,Pass,Fail,Blocked,Not Applicable"</x:formula1>
    </x:dataValidation>
    <x:dataValidation type="list" sqref="N5:N23">
      <x:formula1>"Automated Pass,Automated Fail,Owner Review Required,Blocked"</x:formula1>
    </x:dataValidation>
  </x:dataValidations>
  <x:pageMargins left="0.7" right="0.7" top="0.75" bottom="0.75" header="0.3" footer="0.3"/>
  <x:tableParts count="1">
    <x:tablePart xmlns:r="http://schemas.openxmlformats.org/officeDocument/2006/relationships" r:id="R801ea49300a8499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Owner Review Required</x:v>
      </x:c>
      <x:c r="O5" s="70" t="str">
        <x:v>Prior evidence preserved; this execution phase does not treat subjective visual acceptance as automated Pass.</x:v>
      </x:c>
      <x:c r="P5" s="70" t="str">
        <x:v>docs/qa/strategium-game-lifecycle-mvp.md; browser evidence</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Owner Review Required</x:v>
      </x:c>
      <x:c r="O6" s="70" t="str">
        <x:v>Prior multi-select/copy evidence remains useful; current browser verified exact copy success, while fallback and generated-copy editorial issues remain open.</x:v>
      </x:c>
      <x:c r="P6" s="70" t="str">
        <x:v>docs/qa/strategium-game-lifecycle-mvp.md; browser evidence</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Automated Pass</x:v>
      </x:c>
      <x:c r="O7" s="70" t="str">
        <x:v>Objective rules-safety or preserved-surface regression evidence was rechecked by evaluator/regression suites.</x:v>
      </x:c>
      <x:c r="P7" s="70" t="str">
        <x:v>docs/qa/strategium-game-lifecycle-mvp.md; npm.cmd run test:strategium-review</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Owner Review Required</x:v>
      </x:c>
      <x:c r="O8" s="70" t="str">
        <x:v>Prior 320px overlap remediation remains recorded; current bounds pass, while owner visual acceptance remains open.</x:v>
      </x:c>
      <x:c r="P8" s="70" t="str">
        <x:v>docs/qa/strategium-game-lifecycle-mvp.md; browser evidence</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Owner Review Required</x:v>
      </x:c>
      <x:c r="O9" s="70" t="str">
        <x:v>Prior 390px readability evidence remains recorded; owner visual acceptance remains open.</x:v>
      </x:c>
      <x:c r="P9" s="70" t="str">
        <x:v>docs/qa/strategium-game-lifecycle-mvp.md; browser evidence</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Automated Pass</x:v>
      </x:c>
      <x:c r="O10" s="71" t="str">
        <x:v>Objective rules-safety or preserved-surface regression evidence was rechecked by evaluator/regression suites.</x:v>
      </x:c>
      <x:c r="P10" s="71" t="str">
        <x:v>docs/qa/strategium-game-lifecycle-mvp.md; npm.cmd run test:strategium-review</x:v>
      </x:c>
    </x:row>
    <x:row r="11">
      <x:c r="A11" t="str">
        <x:v>LOG-007</x:v>
      </x:c>
      <x:c r="B11" t="str">
        <x:v>QA execution metadata</x:v>
      </x:c>
      <x:c r="C11" t="str">
        <x:v>P1</x:v>
      </x:c>
      <x:c r="D11" t="str">
        <x:v>Candidate authority</x:v>
      </x:c>
      <x:c r="E11" t="str">
        <x:v>Exact candidate identity and clean starting state</x:v>
      </x:c>
      <x:c r="F11" t="str">
        <x:v>Authority gate completed before workbook edits.</x:v>
      </x:c>
      <x:c r="G11" t="str">
        <x:v>Candidate SHA 6f807816a81ca347cbd180a8c1ab413df84dce69; execution date 2026-07-31; branch codex/strategium-game-lifecycle-completion.</x:v>
      </x:c>
      <x:c r="H11" t="str">
        <x:v>Verify candidate path, branch, HEAD, control cleanliness, workbook existence, and seven sheets.</x:v>
      </x:c>
      <x:c r="I11" t="str">
        <x:v>Execution metadata</x:v>
      </x:c>
      <x:c r="J11" t="str">
        <x:v>Authority matched; workbook contained seven required sheets.</x:v>
      </x:c>
      <x:c r="K11" t="str">
        <x:v>No execution against a different SHA or dirty product candidate.</x:v>
      </x:c>
      <x:c r="L11" t="str">
        <x:v>Desktop runtime</x:v>
      </x:c>
      <x:c r="M11" t="str">
        <x:v>N/A</x:v>
      </x:c>
      <x:c r="N11" t="str">
        <x:v>Automated Pass</x:v>
      </x:c>
      <x:c r="O11" t="str">
        <x:v>Candidate authority matched before QA; workbook was restored from HEAD before execution.</x:v>
      </x:c>
      <x:c r="P11" t="str">
        <x:v>git status/rev-parse; workbook artifact-tool inspect</x:v>
      </x:c>
    </x:row>
    <x:row r="12">
      <x:c r="A12" t="str">
        <x:v>LOG-008</x:v>
      </x:c>
      <x:c r="B12" t="str">
        <x:v>QA execution summary</x:v>
      </x:c>
      <x:c r="C12" t="str">
        <x:v>P1</x:v>
      </x:c>
      <x:c r="D12" t="str">
        <x:v>All lifecycle routes</x:v>
      </x:c>
      <x:c r="E12" t="str">
        <x:v>Automated objective validation summary</x:v>
      </x:c>
      <x:c r="F12" t="str">
        <x:v>Exact candidate loaded in local static server.</x:v>
      </x:c>
      <x:c r="G12" t="str">
        <x:v>Lifecycle, review, browser-smoke, lint, copy-boundary, metadata, frontend, parser, and full repository commands.</x:v>
      </x:c>
      <x:c r="H12" t="str">
        <x:v>Run objective suites and record result categories, output shapes, navigation, safety, and responsive checks.</x:v>
      </x:c>
      <x:c r="I12" t="str">
        <x:v>Execution summary</x:v>
      </x:c>
      <x:c r="J12" t="str">
        <x:v>Focused lifecycle/review/browser/static/full suites passed; generated-copy and recovery audits found defects recorded below.</x:v>
      </x:c>
      <x:c r="K12" t="str">
        <x:v>No remediation or implementation change.</x:v>
      </x:c>
      <x:c r="L12" t="str">
        <x:v>1440×900, 1024×768, 768×1024, 390×844, 320×568</x:v>
      </x:c>
      <x:c r="M12" t="str">
        <x:v>Browser automation plus keyboard attempt</x:v>
      </x:c>
      <x:c r="N12" t="str">
        <x:v>Automated Fail</x:v>
      </x:c>
      <x:c r="O12" t="str">
        <x:v>The command suites passed where they ran, but independent evaluator/browser audits found repeated response fallback, semicolon-chain copy, and missing recovery notice.</x:v>
      </x:c>
      <x:c r="P12" t="str">
        <x:v>docs/qa/evidence/evaluator-audit.json; docs/qa/evidence/during-response-pair-audit.json; command outputs</x:v>
      </x:c>
    </x:row>
    <x:row r="13">
      <x:c r="A13" t="str">
        <x:v>LOG-009</x:v>
      </x:c>
      <x:c r="B13" t="str">
        <x:v>Deterministic evaluator audit</x:v>
      </x:c>
      <x:c r="C13" t="str">
        <x:v>P1</x:v>
      </x:c>
      <x:c r="D13" t="str">
        <x:v>/strategium/find-a-table/</x:v>
      </x:c>
      <x:c r="E13" t="str">
        <x:v>All Finding-a-Table combinations and distinct outputs</x:v>
      </x:c>
      <x:c r="F13" t="str">
        <x:v>Lifecycle module imported from exact candidate.</x:v>
      </x:c>
      <x:c r="G13" t="str">
        <x:v>5×4×3×4×5 = 1,200 combinations.</x:v>
      </x:c>
      <x:c r="H13" t="str">
        <x:v>Enumerate all combinations and compare category, explanation, follow-up, mismatch warning, card count, and prohibited claims.</x:v>
      </x:c>
      <x:c r="I13" t="str">
        <x:v>Evaluator coverage</x:v>
      </x:c>
      <x:c r="J13" t="str">
        <x:v>All three categories, 100 explanations, 5 follow-up variants, 3 mismatch warnings, and five-card results observed.</x:v>
      </x:c>
      <x:c r="K13" t="str">
        <x:v>No scores, percentages, matchmaking certainty, player ratings, or permanent labels.</x:v>
      </x:c>
      <x:c r="L13" t="str">
        <x:v>Node evaluator</x:v>
      </x:c>
      <x:c r="M13" t="str">
        <x:v>N/A</x:v>
      </x:c>
      <x:c r="N13" t="str">
        <x:v>Automated Pass</x:v>
      </x:c>
      <x:c r="O13" t="str">
        <x:v>Finding-a-Table deterministic evaluator coverage passed.</x:v>
      </x:c>
      <x:c r="P13" t="str">
        <x:v>docs/qa/evidence/evaluator-audit.json; npm.cmd run test:strategium-lifecycle</x:v>
      </x:c>
    </x:row>
    <x:row r="14">
      <x:c r="A14" t="str">
        <x:v>LOG-010</x:v>
      </x:c>
      <x:c r="B14" t="str">
        <x:v>Generated-copy audit</x:v>
      </x:c>
      <x:c r="C14" t="str">
        <x:v>P1</x:v>
      </x:c>
      <x:c r="D14" t="str">
        <x:v>/strategium/before-game/</x:v>
      </x:c>
      <x:c r="E14" t="str">
        <x:v>Complete reachable statement space and disclosure retention</x:v>
      </x:c>
      <x:c r="F14" t="str">
        <x:v>Lifecycle evaluator imported from exact candidate.</x:v>
      </x:c>
      <x:c r="G14" t="str">
        <x:v>1,935,360 bracket/deck/finish/timing/disclosure/agreement combinations.</x:v>
      </x:c>
      <x:c r="H14" t="str">
        <x:v>Enumerate statements, punctuation, grammar, omitted fields, selected disclosures, categories, and copy equality.</x:v>
      </x:c>
      <x:c r="I14" t="str">
        <x:v>Generated-copy audit</x:v>
      </x:c>
      <x:c r="J14" t="str">
        <x:v>All statements copy exactly and avoid broken placeholders/duplicate punctuation, but all 1,935,360 contain a two-semicolon chain; Fast mana, Resource denial, Extra turns, Long turns, Time, and House-rule selections are dropped.</x:v>
      </x:c>
      <x:c r="K14" t="str">
        <x:v>No empty fragment, pod-consent claim, or bracket definition.</x:v>
      </x:c>
      <x:c r="L14" t="str">
        <x:v>Node evaluator + browser</x:v>
      </x:c>
      <x:c r="M14" t="str">
        <x:v>N/A</x:v>
      </x:c>
      <x:c r="N14" t="str">
        <x:v>Automated Fail</x:v>
      </x:c>
      <x:c r="O14" t="str">
        <x:v>Generated-copy and option-ID defects recorded; no implementation was changed.</x:v>
      </x:c>
      <x:c r="P14" t="str">
        <x:v>docs/qa/evidence/evaluator-audit.json; docs/qa/evidence/before-the-game-result-1440x900.png</x:v>
      </x:c>
    </x:row>
    <x:row r="15">
      <x:c r="A15" t="str">
        <x:v>LOG-011</x:v>
      </x:c>
      <x:c r="B15" t="str">
        <x:v>During safety and response audit</x:v>
      </x:c>
      <x:c r="C15" t="str">
        <x:v>P1</x:v>
      </x:c>
      <x:c r="D15" t="str">
        <x:v>/strategium/during-game/</x:v>
      </x:c>
      <x:c r="E15" t="str">
        <x:v>All six moments, 48 response pairs, and prohibited-content scan</x:v>
      </x:c>
      <x:c r="F15" t="str">
        <x:v>Lifecycle evaluator and browser route loaded.</x:v>
      </x:c>
      <x:c r="G15" t="str">
        <x:v>6 entry moments × 8 response choices.</x:v>
      </x:c>
      <x:c r="H15" t="str">
        <x:v>Enumerate output category/cards/safety and compare selected response label.</x:v>
      </x:c>
      <x:c r="I15" t="str">
        <x:v>Rules/safety audit</x:v>
      </x:c>
      <x:c r="J15" t="str">
        <x:v>All six categories and four-card results are neutral and rules-safe; rules text routes to official lookup/judge/resource; every response label rendered the fallback phrase.</x:v>
      </x:c>
      <x:c r="K15" t="str">
        <x:v>No target, attack, removal, score, rating, tactical sequencing, invented ruling, or affirmative correctness declaration.</x:v>
      </x:c>
      <x:c r="L15" t="str">
        <x:v>Node evaluator + browser</x:v>
      </x:c>
      <x:c r="M15" t="str">
        <x:v>N/A</x:v>
      </x:c>
      <x:c r="N15" t="str">
        <x:v>Automated Fail</x:v>
      </x:c>
      <x:c r="O15" t="str">
        <x:v>Response-label fallback is a concrete defect; safety boundary itself passed.</x:v>
      </x:c>
      <x:c r="P15" t="str">
        <x:v>docs/qa/evidence/during-response-pair-audit.json; docs/qa/evidence/during-the-game-rules-result-1440x900.png</x:v>
      </x:c>
    </x:row>
    <x:row r="16">
      <x:c r="A16" t="str">
        <x:v>LOG-012</x:v>
      </x:c>
      <x:c r="B16" t="str">
        <x:v>State/recovery audit</x:v>
      </x:c>
      <x:c r="C16" t="str">
        <x:v>P1</x:v>
      </x:c>
      <x:c r="D16" t="str">
        <x:v>All lifecycle routes</x:v>
      </x:c>
      <x:c r="E16" t="str">
        <x:v>URL/history/recovery/keyboard behavior</x:v>
      </x:c>
      <x:c r="F16" t="str">
        <x:v>Static server running; exact candidate loaded.</x:v>
      </x:c>
      <x:c r="G16" t="str">
        <x:v>Initial, selection, back, reset, refresh, direct partial/complete, invalid, Back/Forward, Enter/Space.</x:v>
      </x:c>
      <x:c r="H16" t="str">
        <x:v>Exercise route state and record focus/recovery/activation results.</x:v>
      </x:c>
      <x:c r="I16" t="str">
        <x:v>State audit</x:v>
      </x:c>
      <x:c r="J16" t="str">
        <x:v>Selection/back/reset/refresh/direct valid/history/focus bounds passed; invalid paths silently normalize without recovery notice; isolated keyboard presses did not activate controls.</x:v>
      </x:c>
      <x:c r="K16" t="str">
        <x:v>No fabricated result or unsafe HTML.</x:v>
      </x:c>
      <x:c r="L16" t="str">
        <x:v>All required viewports</x:v>
      </x:c>
      <x:c r="M16" t="str">
        <x:v>Enter/Space attempt blocked</x:v>
      </x:c>
      <x:c r="N16" t="str">
        <x:v>Automated Fail</x:v>
      </x:c>
      <x:c r="O16" t="str">
        <x:v>Two recovery failures and one blocked keyboard-control path are recorded; no product changes made.</x:v>
      </x:c>
      <x:c r="P16" t="str">
        <x:v>docs/qa/evidence/finding-a-table-invalid-recovery.png; browser history/keyboard trace; npm.cmd run test:strategium-lifecycle</x:v>
      </x:c>
    </x:row>
    <x:row r="17">
      <x:c r="A17" t="str">
        <x:v>LOG-013</x:v>
      </x:c>
      <x:c r="B17" t="str">
        <x:v>Responsive/accessibility audit</x:v>
      </x:c>
      <x:c r="C17" t="str">
        <x:v>P1</x:v>
      </x:c>
      <x:c r="D17" t="str">
        <x:v>All Strategium routes</x:v>
      </x:c>
      <x:c r="E17" t="str">
        <x:v>Required viewport, focus, names, console, and owner boundary</x:v>
      </x:c>
      <x:c r="F17" t="str">
        <x:v>In-app browser local candidate.</x:v>
      </x:c>
      <x:c r="G17" t="str">
        <x:v>1440×900, 1024×768, 768×1024, 390×844, 320×568; hub, route initial, result, copy, console logs.</x:v>
      </x:c>
      <x:c r="H17" t="str">
        <x:v>Check overflow, heading bounds, focus, names, console errors, screenshots, reduced-motion boundary.</x:v>
      </x:c>
      <x:c r="I17" t="str">
        <x:v>Responsive/accessibility</x:v>
      </x:c>
      <x:c r="J17" t="str">
        <x:v>No horizontal overflow; focus headings clear sticky header; controls have names; browser console error/warning log empty. Visual composition and reduced-motion emulation remain owner judgment.</x:v>
      </x:c>
      <x:c r="K17" t="str">
        <x:v>No clipped/hidden control or console error was observed.</x:v>
      </x:c>
      <x:c r="L17" t="str">
        <x:v>All required viewports</x:v>
      </x:c>
      <x:c r="M17" t="str">
        <x:v>Keyboard traversal partially blocked by automation surface</x:v>
      </x:c>
      <x:c r="N17" t="str">
        <x:v>Owner Review Required</x:v>
      </x:c>
      <x:c r="O17" t="str">
        <x:v>Owner must judge visual balance, focus-ring appearance, reduced-motion settling, and mobile composition.</x:v>
      </x:c>
      <x:c r="P17" t="str">
        <x:v>docs/qa/evidence/strategium-hub-1440x900.png; docs/qa/evidence/during-game-initial-320x568-viewport-settled.png; browser console trace</x:v>
      </x:c>
    </x:row>
    <x:row r="18">
      <x:c r="A18" t="str">
        <x:v>LOG-014</x:v>
      </x:c>
      <x:c r="B18" t="str">
        <x:v>Owner acceptance subset</x:v>
      </x:c>
      <x:c r="C18" t="str">
        <x:v>P1</x:v>
      </x:c>
      <x:c r="D18" t="str">
        <x:v>Strategium owner review</x:v>
      </x:c>
      <x:c r="E18" t="str">
        <x:v>Remaining subjective/editorial acceptance</x:v>
      </x:c>
      <x:c r="F18" t="str">
        <x:v>Objective workbook rows completed; known automated defects recorded.</x:v>
      </x:c>
      <x:c r="G18" t="str">
        <x:v>21 focused checks in owner checklist.</x:v>
      </x:c>
      <x:c r="H18" t="str">
        <x:v>Review only visual/editorial/tone judgments; do not repeat objective matrix checks.</x:v>
      </x:c>
      <x:c r="I18" t="str">
        <x:v>Owner acceptance</x:v>
      </x:c>
      <x:c r="J18" t="str">
        <x:v>Owner judgment remains required for hub balance, representative output tone, six moments, desktop/mobile sweep, After, and Console.</x:v>
      </x:c>
      <x:c r="K18" t="str">
        <x:v>No claim of owner acceptance from automation.</x:v>
      </x:c>
      <x:c r="L18" t="str">
        <x:v>Desktop/mobile</x:v>
      </x:c>
      <x:c r="M18" t="str">
        <x:v>Keyboard review where listed</x:v>
      </x:c>
      <x:c r="N18" t="str">
        <x:v>Owner Review Required</x:v>
      </x:c>
      <x:c r="O18" t="str">
        <x:v>Owner acceptance is not claimed; checklist is prepared for the remaining subjective gate.</x:v>
      </x:c>
      <x:c r="P18" t="str">
        <x:v>docs/qa/strategium-lifecycle-owner-acceptance-checklist.md</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2">
    <x:dataValidation type="list" sqref="N5:N10">
      <x:formula1>"Not Run,Pass,Fail,Blocked,Not Applicable"</x:formula1>
    </x:dataValidation>
    <x:dataValidation type="list" sqref="N5:N11">
      <x:formula1>"Automated Pass,Automated Fail,Owner Review Required,Blocked"</x:formula1>
    </x:dataValidation>
  </x:dataValidations>
  <x:pageMargins left="0.7" right="0.7" top="0.75" bottom="0.75" header="0.3" footer="0.3"/>
  <x:tableParts count="1">
    <x:tablePart xmlns:r="http://schemas.openxmlformats.org/officeDocument/2006/relationships" r:id="R24209cdef9fc47f3"/>
  </x:tableParts>
</x:worksheet>
</file>